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24226"/>
  <mc:AlternateContent xmlns:mc="http://schemas.openxmlformats.org/markup-compatibility/2006">
    <mc:Choice Requires="x15">
      <x15ac:absPath xmlns:x15ac="http://schemas.microsoft.com/office/spreadsheetml/2010/11/ac" url="/Users/K.Smaili_ZHAW/Desktop/ZHAW/4. Semester/PoDSV_Project Orientated Digital Storytelling and Visualization/PODSV_Visualisierungsprojekt/data/whopays/raw_whopays/"/>
    </mc:Choice>
  </mc:AlternateContent>
  <xr:revisionPtr revIDLastSave="0" documentId="8_{B0C65EC1-7F40-B04F-917F-0C07793DD3F3}" xr6:coauthVersionLast="47" xr6:coauthVersionMax="47" xr10:uidLastSave="{00000000-0000-0000-0000-000000000000}"/>
  <bookViews>
    <workbookView xWindow="200" yWindow="500" windowWidth="19760" windowHeight="9000" xr2:uid="{90AABF78-3F65-C147-8B3D-C8A6CA436B95}"/>
  </bookViews>
  <sheets>
    <sheet name="Info" sheetId="1" r:id="rId1"/>
    <sheet name="Ad" sheetId="159" r:id="rId2"/>
    <sheet name="Bd" sheetId="158" r:id="rId3"/>
    <sheet name="B1d" sheetId="157" r:id="rId4"/>
    <sheet name="F1d" sheetId="155" r:id="rId5"/>
    <sheet name="F2d" sheetId="154" r:id="rId6"/>
    <sheet name="F3d" sheetId="160" r:id="rId7"/>
    <sheet name="Jd" sheetId="80" r:id="rId8"/>
    <sheet name="T1d" sheetId="4" r:id="rId9"/>
    <sheet name="101d" sheetId="5" r:id="rId10"/>
    <sheet name="102d" sheetId="6" r:id="rId11"/>
    <sheet name="103d" sheetId="7" r:id="rId12"/>
    <sheet name="104d" sheetId="8" r:id="rId13"/>
    <sheet name="105d" sheetId="9" r:id="rId14"/>
    <sheet name="106d" sheetId="10" r:id="rId15"/>
    <sheet name="107d" sheetId="15" r:id="rId16"/>
    <sheet name="108d" sheetId="13" r:id="rId17"/>
    <sheet name="109d" sheetId="14" r:id="rId18"/>
    <sheet name="110d" sheetId="17" r:id="rId19"/>
    <sheet name="111d" sheetId="16" r:id="rId20"/>
    <sheet name="112d" sheetId="129" r:id="rId21"/>
    <sheet name="113d" sheetId="128" r:id="rId22"/>
    <sheet name="T2d" sheetId="24" r:id="rId23"/>
    <sheet name="201d" sheetId="23" r:id="rId24"/>
    <sheet name="202d" sheetId="108" r:id="rId25"/>
    <sheet name="203d" sheetId="84" r:id="rId26"/>
    <sheet name="204d" sheetId="22" r:id="rId27"/>
    <sheet name="205d" sheetId="83" r:id="rId28"/>
    <sheet name="206d" sheetId="109" r:id="rId29"/>
    <sheet name="207d" sheetId="21" r:id="rId30"/>
    <sheet name="208d" sheetId="82" r:id="rId31"/>
    <sheet name="209d" sheetId="110" r:id="rId32"/>
    <sheet name="210d" sheetId="20" r:id="rId33"/>
    <sheet name="211d" sheetId="111" r:id="rId34"/>
    <sheet name="212d" sheetId="19" r:id="rId35"/>
    <sheet name="213d" sheetId="81" r:id="rId36"/>
    <sheet name="214d" sheetId="112" r:id="rId37"/>
    <sheet name="215d" sheetId="113" r:id="rId38"/>
    <sheet name="216d" sheetId="39" r:id="rId39"/>
    <sheet name="217d" sheetId="38" r:id="rId40"/>
    <sheet name="218d" sheetId="37" r:id="rId41"/>
    <sheet name="219d" sheetId="36" r:id="rId42"/>
    <sheet name="220d" sheetId="18" r:id="rId43"/>
    <sheet name="221d" sheetId="114" r:id="rId44"/>
    <sheet name="222d" sheetId="115" r:id="rId45"/>
    <sheet name="223d" sheetId="88" r:id="rId46"/>
    <sheet name="224d" sheetId="87" r:id="rId47"/>
    <sheet name="225d" sheetId="86" r:id="rId48"/>
    <sheet name="226d" sheetId="85" r:id="rId49"/>
    <sheet name="T3d" sheetId="33" r:id="rId50"/>
    <sheet name="301d" sheetId="54" r:id="rId51"/>
    <sheet name="302d" sheetId="56" r:id="rId52"/>
    <sheet name="303d" sheetId="55" r:id="rId53"/>
    <sheet name="304d" sheetId="34" r:id="rId54"/>
    <sheet name="305d" sheetId="59" r:id="rId55"/>
    <sheet name="306d" sheetId="35" r:id="rId56"/>
    <sheet name="307d" sheetId="58" r:id="rId57"/>
    <sheet name="308d" sheetId="57" r:id="rId58"/>
    <sheet name="T4d" sheetId="89" r:id="rId59"/>
    <sheet name="401d" sheetId="90" r:id="rId60"/>
    <sheet name="402d" sheetId="91" r:id="rId61"/>
    <sheet name="403d" sheetId="92" r:id="rId62"/>
    <sheet name="404d" sheetId="93" r:id="rId63"/>
    <sheet name="405d" sheetId="94" r:id="rId64"/>
    <sheet name="406d" sheetId="95" r:id="rId65"/>
    <sheet name="407d" sheetId="96" r:id="rId66"/>
    <sheet name="408d" sheetId="97" r:id="rId67"/>
    <sheet name="409d" sheetId="121" r:id="rId68"/>
    <sheet name="410d" sheetId="98" r:id="rId69"/>
    <sheet name="411d" sheetId="99" r:id="rId70"/>
    <sheet name="T5d" sheetId="120" r:id="rId71"/>
    <sheet name="501d" sheetId="78" r:id="rId72"/>
    <sheet name="502d" sheetId="77" r:id="rId73"/>
    <sheet name="503d" sheetId="73" r:id="rId74"/>
    <sheet name="504d" sheetId="75" r:id="rId75"/>
    <sheet name="505d" sheetId="76" r:id="rId76"/>
    <sheet name="506d" sheetId="156" r:id="rId77"/>
    <sheet name="507d" sheetId="119" r:id="rId78"/>
    <sheet name="508d" sheetId="118" r:id="rId79"/>
    <sheet name="509d" sheetId="117" r:id="rId80"/>
    <sheet name="510d" sheetId="134" r:id="rId81"/>
    <sheet name="T6d" sheetId="30" r:id="rId82"/>
    <sheet name="601d" sheetId="61" r:id="rId83"/>
    <sheet name="602d" sheetId="29" r:id="rId84"/>
    <sheet name="603d" sheetId="60" r:id="rId85"/>
    <sheet name="604d" sheetId="26" r:id="rId86"/>
    <sheet name="605d" sheetId="27" r:id="rId87"/>
    <sheet name="606d" sheetId="25" r:id="rId88"/>
    <sheet name="T7d" sheetId="32" r:id="rId89"/>
    <sheet name="701d" sheetId="31" r:id="rId90"/>
    <sheet name="702d" sheetId="28" r:id="rId91"/>
    <sheet name="T8d" sheetId="48" r:id="rId92"/>
    <sheet name="801d" sheetId="131" r:id="rId93"/>
    <sheet name="802d" sheetId="130" r:id="rId94"/>
    <sheet name="803d" sheetId="133" r:id="rId95"/>
    <sheet name="804d" sheetId="53" r:id="rId96"/>
    <sheet name="805d" sheetId="46" r:id="rId97"/>
    <sheet name="806d" sheetId="45" r:id="rId98"/>
    <sheet name="807d" sheetId="44" r:id="rId99"/>
    <sheet name="808d" sheetId="43" r:id="rId100"/>
    <sheet name="809d" sheetId="42" r:id="rId101"/>
    <sheet name="810d" sheetId="41" r:id="rId102"/>
    <sheet name="811d" sheetId="40" r:id="rId103"/>
    <sheet name="T9d" sheetId="136" r:id="rId104"/>
    <sheet name="901d" sheetId="147" r:id="rId105"/>
    <sheet name="902d" sheetId="146" r:id="rId106"/>
    <sheet name="903d" sheetId="145" r:id="rId107"/>
    <sheet name="904d" sheetId="135" r:id="rId108"/>
    <sheet name="905d" sheetId="137" r:id="rId109"/>
    <sheet name="906d" sheetId="144" r:id="rId110"/>
    <sheet name="907d" sheetId="138" r:id="rId111"/>
    <sheet name="908d" sheetId="139" r:id="rId112"/>
    <sheet name="909d" sheetId="140" r:id="rId113"/>
    <sheet name="910d" sheetId="148" r:id="rId114"/>
    <sheet name="911d" sheetId="149" r:id="rId115"/>
    <sheet name="912d" sheetId="150" r:id="rId116"/>
    <sheet name="913d" sheetId="151" r:id="rId117"/>
    <sheet name="914d" sheetId="152" r:id="rId118"/>
    <sheet name="915d" sheetId="153" r:id="rId119"/>
    <sheet name="T10d" sheetId="122" r:id="rId120"/>
    <sheet name="1001d" sheetId="123" r:id="rId121"/>
    <sheet name="1002d" sheetId="127" r:id="rId122"/>
    <sheet name="1003d" sheetId="126" r:id="rId123"/>
    <sheet name="1004d" sheetId="125" r:id="rId124"/>
    <sheet name="1005d" sheetId="124" r:id="rId125"/>
    <sheet name="T11d" sheetId="49" r:id="rId126"/>
    <sheet name="1101d" sheetId="64" r:id="rId127"/>
    <sheet name="1102d" sheetId="63" r:id="rId128"/>
    <sheet name="1103d" sheetId="116" r:id="rId129"/>
    <sheet name="1104d" sheetId="141" r:id="rId130"/>
    <sheet name="1105d" sheetId="52" r:id="rId131"/>
    <sheet name="1106d" sheetId="51" r:id="rId132"/>
    <sheet name="1107d" sheetId="68" r:id="rId133"/>
    <sheet name="1108d" sheetId="67" r:id="rId134"/>
    <sheet name="1109d" sheetId="66" r:id="rId135"/>
    <sheet name="1110d" sheetId="143" r:id="rId136"/>
    <sheet name="1111d" sheetId="132" r:id="rId137"/>
    <sheet name="1112d" sheetId="142" r:id="rId138"/>
    <sheet name="1113d" sheetId="65" r:id="rId139"/>
    <sheet name="1114d" sheetId="50" r:id="rId140"/>
    <sheet name="1115d" sheetId="72" r:id="rId141"/>
    <sheet name="1116d" sheetId="71" r:id="rId142"/>
    <sheet name="1117d" sheetId="70" r:id="rId143"/>
    <sheet name="1118d" sheetId="69" r:id="rId144"/>
    <sheet name="T12d" sheetId="107" r:id="rId145"/>
    <sheet name="1201d" sheetId="106" r:id="rId146"/>
    <sheet name="1202d" sheetId="105" r:id="rId147"/>
    <sheet name="1203d" sheetId="104" r:id="rId148"/>
    <sheet name="1204d" sheetId="103" r:id="rId149"/>
    <sheet name="1205d" sheetId="102" r:id="rId150"/>
    <sheet name="1206d" sheetId="101" r:id="rId151"/>
    <sheet name="1207d" sheetId="100" r:id="rId152"/>
  </sheets>
  <definedNames>
    <definedName name="_xlnm.Print_Area" localSheetId="120">'1001d'!$A$1:$G$33</definedName>
    <definedName name="_xlnm.Print_Area" localSheetId="121">'1002d'!$A$1:$K$38</definedName>
    <definedName name="_xlnm.Print_Area" localSheetId="122">'1003d'!$A$1:$H$35</definedName>
    <definedName name="_xlnm.Print_Area" localSheetId="123">'1004d'!$A$1:$H$47</definedName>
    <definedName name="_xlnm.Print_Area" localSheetId="124">'1005d'!$A$1:$G$49</definedName>
    <definedName name="_xlnm.Print_Area" localSheetId="9">'101d'!$A$1:$X$58</definedName>
    <definedName name="_xlnm.Print_Area" localSheetId="10">'102d'!$A$1:$D$63</definedName>
    <definedName name="_xlnm.Print_Area" localSheetId="11">'103d'!$A$1:$D$57</definedName>
    <definedName name="_xlnm.Print_Area" localSheetId="12">'104d'!$A$1:$D$57</definedName>
    <definedName name="_xlnm.Print_Area" localSheetId="13">'105d'!$A$1:$D$57</definedName>
    <definedName name="_xlnm.Print_Area" localSheetId="14">'106d'!$A$1:$D$57</definedName>
    <definedName name="_xlnm.Print_Area" localSheetId="15">'107d'!$A$1:$D$62</definedName>
    <definedName name="_xlnm.Print_Area" localSheetId="16">'108d'!$A$1:$G$30</definedName>
    <definedName name="_xlnm.Print_Area" localSheetId="17">'109d'!$A$1:$G$30</definedName>
    <definedName name="_xlnm.Print_Area" localSheetId="126">'1101d'!$A$1:$G$33</definedName>
    <definedName name="_xlnm.Print_Area" localSheetId="127">'1102d'!$A$1:$H$34</definedName>
    <definedName name="_xlnm.Print_Area" localSheetId="128">'1103d'!$A$1:$G$47</definedName>
    <definedName name="_xlnm.Print_Area" localSheetId="129">'1104d'!$A$1:$G$36</definedName>
    <definedName name="_xlnm.Print_Area" localSheetId="130">'1105d'!$A$1:$G$32</definedName>
    <definedName name="_xlnm.Print_Area" localSheetId="131">'1106d'!$A$1:$G$22</definedName>
    <definedName name="_xlnm.Print_Area" localSheetId="132">'1107d'!$A$1:$G$32</definedName>
    <definedName name="_xlnm.Print_Area" localSheetId="133">'1108d'!$A$2:$P$45</definedName>
    <definedName name="_xlnm.Print_Area" localSheetId="134">'1109d'!$A$2:$P$45</definedName>
    <definedName name="_xlnm.Print_Area" localSheetId="18">'110d'!$A$1:$H$30</definedName>
    <definedName name="_xlnm.Print_Area" localSheetId="135">'1110d'!$A$1:$G$40</definedName>
    <definedName name="_xlnm.Print_Area" localSheetId="136">'1111d'!$A$1:$F$40</definedName>
    <definedName name="_xlnm.Print_Area" localSheetId="137">'1112d'!$A$1:$F$52</definedName>
    <definedName name="_xlnm.Print_Area" localSheetId="138">'1113d'!$A$1:$F$35</definedName>
    <definedName name="_xlnm.Print_Area" localSheetId="139">'1114d'!$A$1:$G$43</definedName>
    <definedName name="_xlnm.Print_Area" localSheetId="140">'1115d'!$A$1:$G$39</definedName>
    <definedName name="_xlnm.Print_Area" localSheetId="141">'1116d'!$A$1:$H$45</definedName>
    <definedName name="_xlnm.Print_Area" localSheetId="142">'1117d'!$A$1:$I$31</definedName>
    <definedName name="_xlnm.Print_Area" localSheetId="143">'1118d'!$A$1:$S$42</definedName>
    <definedName name="_xlnm.Print_Area" localSheetId="19">'111d'!$A$1:$H$33</definedName>
    <definedName name="_xlnm.Print_Area" localSheetId="20">'112d'!$A$1:$H$36</definedName>
    <definedName name="_xlnm.Print_Area" localSheetId="21">'113d'!$A$1:$G$34</definedName>
    <definedName name="_xlnm.Print_Area" localSheetId="145">'1201d'!$A$1:$H$46</definedName>
    <definedName name="_xlnm.Print_Area" localSheetId="146">'1202d'!$A$1:$H$45</definedName>
    <definedName name="_xlnm.Print_Area" localSheetId="147">'1203d'!$A$1:$H$45</definedName>
    <definedName name="_xlnm.Print_Area" localSheetId="148">'1204d'!$A$1:$H$45</definedName>
    <definedName name="_xlnm.Print_Area" localSheetId="149">'1205d'!$A$1:$G$46</definedName>
    <definedName name="_xlnm.Print_Area" localSheetId="150">'1206d'!$A$1:$G$46</definedName>
    <definedName name="_xlnm.Print_Area" localSheetId="151">'1207d'!$A$1:$G$46</definedName>
    <definedName name="_xlnm.Print_Area" localSheetId="23">'201d'!$A$1:$H$34</definedName>
    <definedName name="_xlnm.Print_Area" localSheetId="24">'202d'!$A$1:$H$65</definedName>
    <definedName name="_xlnm.Print_Area" localSheetId="25">'203d'!$A$1:$S$43</definedName>
    <definedName name="_xlnm.Print_Area" localSheetId="26">'204d'!$A$1:$E$44</definedName>
    <definedName name="_xlnm.Print_Area" localSheetId="27">'205d'!$A$1:$F$44</definedName>
    <definedName name="_xlnm.Print_Area" localSheetId="28">'206d'!$A$1:$H$41</definedName>
    <definedName name="_xlnm.Print_Area" localSheetId="29">'207d'!$A$1:$E$44</definedName>
    <definedName name="_xlnm.Print_Area" localSheetId="30">'208d'!$A$1:$G$45</definedName>
    <definedName name="_xlnm.Print_Area" localSheetId="31">'209d'!$A$1:$H$41</definedName>
    <definedName name="_xlnm.Print_Area" localSheetId="32">'210d'!$A$1:$F$44</definedName>
    <definedName name="_xlnm.Print_Area" localSheetId="33">'211d'!$A$1:$H$41</definedName>
    <definedName name="_xlnm.Print_Area" localSheetId="34">'212d'!$A$1:$G$44</definedName>
    <definedName name="_xlnm.Print_Area" localSheetId="35">'213d'!$A$1:$G$44</definedName>
    <definedName name="_xlnm.Print_Area" localSheetId="36">'214d'!$A$1:$G$33</definedName>
    <definedName name="_xlnm.Print_Area" localSheetId="37">'215d'!$A$1:$H$64</definedName>
    <definedName name="_xlnm.Print_Area" localSheetId="38">'216d'!$A$1:$N$64</definedName>
    <definedName name="_xlnm.Print_Area" localSheetId="39">'217d'!$A$1:$H$43</definedName>
    <definedName name="_xlnm.Print_Area" localSheetId="40">'218d'!$A$1:$N$63</definedName>
    <definedName name="_xlnm.Print_Area" localSheetId="41">'219d'!$A$1:$H$43</definedName>
    <definedName name="_xlnm.Print_Area" localSheetId="42">'220d'!$A$1:$G$35</definedName>
    <definedName name="_xlnm.Print_Area" localSheetId="43">'221d'!$A$1:$H$64</definedName>
    <definedName name="_xlnm.Print_Area" localSheetId="44">'222d'!$A$1:$G$20</definedName>
    <definedName name="_xlnm.Print_Area" localSheetId="45">'223d'!$A$1:$G$45</definedName>
    <definedName name="_xlnm.Print_Area" localSheetId="46">'224d'!$A$1:$G$45</definedName>
    <definedName name="_xlnm.Print_Area" localSheetId="47">'225d'!$A$1:$S$42</definedName>
    <definedName name="_xlnm.Print_Area" localSheetId="48">'226d'!$A$1:$S$41</definedName>
    <definedName name="_xlnm.Print_Area" localSheetId="50">'301d'!$A$1:$G$17</definedName>
    <definedName name="_xlnm.Print_Area" localSheetId="51">'302d'!$A$2:$G$34</definedName>
    <definedName name="_xlnm.Print_Area" localSheetId="52">'303d'!$A$1:$G$44</definedName>
    <definedName name="_xlnm.Print_Area" localSheetId="53">'304d'!$A$1:$F$46</definedName>
    <definedName name="_xlnm.Print_Area" localSheetId="54">'305d'!$A$1:$H$63</definedName>
    <definedName name="_xlnm.Print_Area" localSheetId="55">'306d'!$A$1:$E$44</definedName>
    <definedName name="_xlnm.Print_Area" localSheetId="56">'307d'!$A$1:$H$39</definedName>
    <definedName name="_xlnm.Print_Area" localSheetId="57">'308d'!$A$1:$S$43</definedName>
    <definedName name="_xlnm.Print_Area" localSheetId="59">'401d'!$A$1:$H$40</definedName>
    <definedName name="_xlnm.Print_Area" localSheetId="60">'402d'!$A$1:$H$46</definedName>
    <definedName name="_xlnm.Print_Area" localSheetId="61">'403d'!$A$1:$F$35</definedName>
    <definedName name="_xlnm.Print_Area" localSheetId="62">'404d'!$A$1:$L$50</definedName>
    <definedName name="_xlnm.Print_Area" localSheetId="63">'405d'!$A$1:$K$43</definedName>
    <definedName name="_xlnm.Print_Area" localSheetId="64">'406d'!$A$1:$I$44</definedName>
    <definedName name="_xlnm.Print_Area" localSheetId="65">'407d'!$A$1:$H$47</definedName>
    <definedName name="_xlnm.Print_Area" localSheetId="66">'408d'!$A$1:$H$46</definedName>
    <definedName name="_xlnm.Print_Area" localSheetId="67">'409d'!$A$2:$H$44</definedName>
    <definedName name="_xlnm.Print_Area" localSheetId="68">'410d'!$A$1:$G$46</definedName>
    <definedName name="_xlnm.Print_Area" localSheetId="69">'411d'!$A$1:$I$44</definedName>
    <definedName name="_xlnm.Print_Area" localSheetId="71">'501d'!$A$1:$AF$83</definedName>
    <definedName name="_xlnm.Print_Area" localSheetId="72">'502d'!$A$1:$K$97</definedName>
    <definedName name="_xlnm.Print_Area" localSheetId="73">'503d'!$A$1:$F$94</definedName>
    <definedName name="_xlnm.Print_Area" localSheetId="74">'504d'!$A$1:$I$23</definedName>
    <definedName name="_xlnm.Print_Area" localSheetId="75">'505d'!$A$1:$I$97</definedName>
    <definedName name="_xlnm.Print_Area" localSheetId="76">'506d'!$A$1:$AG$87</definedName>
    <definedName name="_xlnm.Print_Area" localSheetId="77">'507d'!$A$1:$AE$85</definedName>
    <definedName name="_xlnm.Print_Area" localSheetId="78">'508d'!$A$1:$F$84</definedName>
    <definedName name="_xlnm.Print_Area" localSheetId="79">'509d'!$A$1:$F$84</definedName>
    <definedName name="_xlnm.Print_Area" localSheetId="80">'510d'!$A$1:$AE$84</definedName>
    <definedName name="_xlnm.Print_Area" localSheetId="82">'601d'!$A$1:$G$33</definedName>
    <definedName name="_xlnm.Print_Area" localSheetId="83">'602d'!$A$1:$G$30</definedName>
    <definedName name="_xlnm.Print_Area" localSheetId="84">'603d'!$A$1:$E$39</definedName>
    <definedName name="_xlnm.Print_Area" localSheetId="85">'604d'!$A$1:$D$50</definedName>
    <definedName name="_xlnm.Print_Area" localSheetId="86">'605d'!$A$1:$D$52</definedName>
    <definedName name="_xlnm.Print_Area" localSheetId="87">'606d'!$A$1:$D$52</definedName>
    <definedName name="_xlnm.Print_Area" localSheetId="89">'701d'!$A$1:$G$38</definedName>
    <definedName name="_xlnm.Print_Area" localSheetId="90">'702d'!$A$1:$D$63</definedName>
    <definedName name="_xlnm.Print_Area" localSheetId="92">'801d'!$A$1:$H$35</definedName>
    <definedName name="_xlnm.Print_Area" localSheetId="93">'802d'!$A$1:$I$30</definedName>
    <definedName name="_xlnm.Print_Area" localSheetId="94">'803d'!$A$1:$N$35</definedName>
    <definedName name="_xlnm.Print_Area" localSheetId="95">'804d'!$A$1:$H$35</definedName>
    <definedName name="_xlnm.Print_Area" localSheetId="96">'805d'!$A$1:$D$73</definedName>
    <definedName name="_xlnm.Print_Area" localSheetId="97">'806d'!$A$1:$D$63</definedName>
    <definedName name="_xlnm.Print_Area" localSheetId="98">'807d'!$A$1:$G$34</definedName>
    <definedName name="_xlnm.Print_Area" localSheetId="99">'808d'!$A$1:$H$33</definedName>
    <definedName name="_xlnm.Print_Area" localSheetId="100">'809d'!$A$1:$E$55</definedName>
    <definedName name="_xlnm.Print_Area" localSheetId="101">'810d'!$A$1:$E$59</definedName>
    <definedName name="_xlnm.Print_Area" localSheetId="102">'811d'!$A$1:$E$70</definedName>
    <definedName name="_xlnm.Print_Area" localSheetId="104">'901d'!$A$1:$J$51</definedName>
    <definedName name="_xlnm.Print_Area" localSheetId="105">'902d'!$A$1:$I$34</definedName>
    <definedName name="_xlnm.Print_Area" localSheetId="106">'903d'!$A$1:$K$47</definedName>
    <definedName name="_xlnm.Print_Area" localSheetId="107">'904d'!$A$1:$I$67</definedName>
    <definedName name="_xlnm.Print_Area" localSheetId="108">'905d'!$A$1:$K$63</definedName>
    <definedName name="_xlnm.Print_Area" localSheetId="109">'906d'!$A$1:$O$36</definedName>
    <definedName name="_xlnm.Print_Area" localSheetId="110">'907d'!$A$1:$G$61</definedName>
    <definedName name="_xlnm.Print_Area" localSheetId="111">'908d'!$A$1:$G$36</definedName>
    <definedName name="_xlnm.Print_Area" localSheetId="112">'909d'!$A$1:$G$35</definedName>
    <definedName name="_xlnm.Print_Area" localSheetId="113">'910d'!$A$1:$K$44</definedName>
    <definedName name="_xlnm.Print_Area" localSheetId="114">'911d'!$A$1:$J$46</definedName>
    <definedName name="_xlnm.Print_Area" localSheetId="115">'912d'!$A$1:$S$62</definedName>
    <definedName name="_xlnm.Print_Area" localSheetId="116">'913d'!$A$1:$I$35</definedName>
    <definedName name="_xlnm.Print_Area" localSheetId="117">'914d'!$A$1:$I$35</definedName>
    <definedName name="_xlnm.Print_Area" localSheetId="118">'915d'!$A$1:$T$88</definedName>
    <definedName name="_xlnm.Print_Area" localSheetId="3">B1d!$A$1:$R$220</definedName>
    <definedName name="_xlnm.Print_Area" localSheetId="4">F1d!$A$1:$E$84</definedName>
    <definedName name="_xlnm.Print_Area" localSheetId="5">F2d!$A$1:$E$82</definedName>
    <definedName name="_xlnm.Print_Area" localSheetId="6">F3d!$A$1:$I$54</definedName>
    <definedName name="_xlnm.Print_Area" localSheetId="0">Info!$A$1:$K$74</definedName>
    <definedName name="_xlnm.Print_Area" localSheetId="7">Jd!$A$1:$P$71</definedName>
    <definedName name="_xlnm.Print_Area" localSheetId="119">T10d!$A$1:$H$11</definedName>
    <definedName name="_xlnm.Print_Area" localSheetId="125">T11d!$A$1:$H$24</definedName>
    <definedName name="_xlnm.Print_Area" localSheetId="144">T12d!$A$1:$H$13</definedName>
    <definedName name="_xlnm.Print_Area" localSheetId="8">T1d!$A$1:$I$19</definedName>
    <definedName name="_xlnm.Print_Area" localSheetId="22">T2d!$A$1:$H$32</definedName>
    <definedName name="_xlnm.Print_Area" localSheetId="49">T3d!$A$1:$H$14</definedName>
    <definedName name="_xlnm.Print_Area" localSheetId="58">T4d!$A$1:$I$15</definedName>
    <definedName name="_xlnm.Print_Area" localSheetId="70">T5d!$A$1:$I$15</definedName>
    <definedName name="_xlnm.Print_Area" localSheetId="91">T8d!$A$1:$H$17</definedName>
    <definedName name="_xlnm.Print_Titles" localSheetId="71">'501d'!$A:$B,'501d'!$1:$10</definedName>
    <definedName name="_xlnm.Print_Titles" localSheetId="73">'503d'!$1:$9</definedName>
    <definedName name="_xlnm.Print_Titles" localSheetId="74">'504d'!$A:$A,'504d'!$1:$7</definedName>
    <definedName name="_xlnm.Print_Titles" localSheetId="75">'505d'!$1:$11</definedName>
    <definedName name="_xlnm.Print_Titles" localSheetId="76">'506d'!$A:$B,'506d'!$1:$8</definedName>
    <definedName name="_xlnm.Print_Titles" localSheetId="77">'507d'!$A:$B,'507d'!$1:$8</definedName>
    <definedName name="_xlnm.Print_Titles" localSheetId="78">'508d'!$A:$B,'508d'!$1:$8</definedName>
    <definedName name="_xlnm.Print_Titles" localSheetId="79">'509d'!$A:$B,'509d'!$1:$8</definedName>
    <definedName name="_xlnm.Print_Titles" localSheetId="80">'510d'!$A:$B</definedName>
    <definedName name="_xlnm.Print_Titles" localSheetId="3">B1d!$5:$5</definedName>
    <definedName name="Z_E58FEA52_E3A2_4787_9824_12DA55A527FE_.wvu.Cols" localSheetId="66" hidden="1">'408d'!$I:$I</definedName>
    <definedName name="Z_E58FEA52_E3A2_4787_9824_12DA55A527FE_.wvu.PrintArea" localSheetId="66" hidden="1">'408d'!$A$1:$E$45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58" l="1"/>
  <c r="G3" i="158" s="1"/>
  <c r="K3" i="158" s="1"/>
  <c r="D3" i="158"/>
  <c r="I3" i="158" s="1"/>
  <c r="M3" i="158" s="1"/>
  <c r="R218" i="157"/>
  <c r="Q218" i="157"/>
  <c r="P218" i="157"/>
  <c r="O218" i="157"/>
  <c r="N218" i="157"/>
  <c r="M218" i="157"/>
  <c r="L218" i="157"/>
  <c r="K218" i="157"/>
  <c r="J218" i="157"/>
  <c r="I218" i="157"/>
  <c r="H218" i="157"/>
  <c r="G218" i="157"/>
  <c r="F218" i="157"/>
  <c r="E218" i="157"/>
  <c r="D218" i="157"/>
  <c r="C218" i="157"/>
  <c r="B218" i="157"/>
  <c r="A218" i="157"/>
  <c r="C75" i="155"/>
  <c r="C74" i="155"/>
  <c r="C73" i="155"/>
  <c r="C72" i="155"/>
  <c r="C71" i="155"/>
  <c r="A56" i="138"/>
  <c r="AE75" i="134"/>
  <c r="AE88" i="134" s="1"/>
  <c r="AD75" i="134"/>
  <c r="AD88" i="134" s="1"/>
  <c r="AC75" i="134"/>
  <c r="AC88" i="134" s="1"/>
  <c r="AB75" i="134"/>
  <c r="AB88" i="134" s="1"/>
  <c r="AA75" i="134"/>
  <c r="AA88" i="134" s="1"/>
  <c r="Z75" i="134"/>
  <c r="Z88" i="134" s="1"/>
  <c r="Y75" i="134"/>
  <c r="Y88" i="134" s="1"/>
  <c r="X75" i="134"/>
  <c r="X88" i="134" s="1"/>
  <c r="W75" i="134"/>
  <c r="W88" i="134" s="1"/>
  <c r="V75" i="134"/>
  <c r="V88" i="134" s="1"/>
  <c r="U75" i="134"/>
  <c r="U88" i="134" s="1"/>
  <c r="T75" i="134"/>
  <c r="T88" i="134" s="1"/>
  <c r="S75" i="134"/>
  <c r="S88" i="134" s="1"/>
  <c r="R75" i="134"/>
  <c r="R88" i="134" s="1"/>
  <c r="Q75" i="134"/>
  <c r="Q88" i="134" s="1"/>
  <c r="P75" i="134"/>
  <c r="P88" i="134" s="1"/>
  <c r="O75" i="134"/>
  <c r="O88" i="134" s="1"/>
  <c r="N75" i="134"/>
  <c r="N88" i="134" s="1"/>
  <c r="M75" i="134"/>
  <c r="M88" i="134" s="1"/>
  <c r="L75" i="134"/>
  <c r="L88" i="134" s="1"/>
  <c r="K75" i="134"/>
  <c r="K88" i="134" s="1"/>
  <c r="J75" i="134"/>
  <c r="J88" i="134" s="1"/>
  <c r="I75" i="134"/>
  <c r="I88" i="134" s="1"/>
  <c r="H75" i="134"/>
  <c r="H88" i="134" s="1"/>
  <c r="G75" i="134"/>
  <c r="G88" i="134" s="1"/>
  <c r="F75" i="134"/>
  <c r="F88" i="134" s="1"/>
  <c r="E75" i="134"/>
  <c r="E88" i="134" s="1"/>
  <c r="D75" i="134"/>
  <c r="D88" i="134" s="1"/>
  <c r="C75" i="134"/>
  <c r="C88" i="134" s="1"/>
  <c r="H34" i="91"/>
  <c r="G34" i="91"/>
  <c r="F34" i="91"/>
  <c r="C34" i="91"/>
  <c r="B34" i="91"/>
  <c r="B44" i="80"/>
  <c r="B43" i="80"/>
  <c r="B42" i="80"/>
  <c r="B39" i="80"/>
  <c r="B38" i="80"/>
  <c r="B37" i="80"/>
  <c r="B34" i="80"/>
  <c r="B33" i="80"/>
  <c r="B32" i="80"/>
  <c r="B29" i="80"/>
  <c r="B28" i="80"/>
  <c r="B27" i="80"/>
  <c r="B24" i="80"/>
  <c r="B23" i="80"/>
  <c r="B22" i="80"/>
  <c r="B19" i="80"/>
  <c r="B18" i="80"/>
  <c r="B17" i="80"/>
  <c r="B14" i="80"/>
  <c r="B13" i="80"/>
  <c r="B12" i="80"/>
  <c r="D66" i="46"/>
  <c r="D65"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Informatik</author>
  </authors>
  <commentList>
    <comment ref="H6" authorId="0" shapeId="0" xr:uid="{EC202261-EE06-8140-9F3D-AD3B88BA232A}">
      <text>
        <r>
          <rPr>
            <b/>
            <sz val="8"/>
            <color indexed="81"/>
            <rFont val="Tahoma"/>
            <family val="2"/>
          </rPr>
          <t>Cap / 22.10.01</t>
        </r>
        <r>
          <rPr>
            <sz val="8"/>
            <color indexed="81"/>
            <rFont val="Tahoma"/>
            <family val="2"/>
          </rPr>
          <t xml:space="preserve">
gemäss Auswertung 1999 vom 22.10.01</t>
        </r>
      </text>
    </comment>
  </commentList>
</comment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99">
    <s v="ISAK Cube Produktion"/>
    <s v="{[Geschäftsjahr].[Geschäftsjahr].&amp;[2013]}"/>
    <s v="{[Erhebung Finanzen].[Erhebung Name].&amp;[Jahresrechnung definitiv]}"/>
    <s v="[Measures].[Wert Kontenplan]"/>
    <s v="[Kontenplan].[Hierarchie].&amp;[700/SAIV/OF]"/>
    <s v="[Versicherer].[Versicherer Nr].[All]"/>
    <s v="[Kontenplan].[Hierarchie].&amp;[73a/SAIV/OF]"/>
    <s v="[Kontenplan].[Hierarchie].&amp;[820/SAIV/OF]"/>
    <s v="[Kontenplan].[Hierarchie].&amp;[300/SAIB2/OKPCH]"/>
    <s v="[Kontenplan].[Hierarchie].&amp;[330/SAIB1/OKPCH]"/>
    <s v="[Kontenplan].[Hierarchie].&amp;[350/SAIB1/OKPCH]"/>
    <s v="[Kontenplan].[Hierarchie].&amp;[360/SAIB1/OKPCH]"/>
    <s v="[Kontenplan].[Hierarchie].&amp;[370/SAIB1/OKPCH]"/>
    <s v="[Kontenplan].[Hierarchie].&amp;[400/SAIB2/OKPCH]"/>
    <s v="[Kontenplan].[Hierarchie].&amp;[430/SAIB3/OKPCH]"/>
    <s v="[Kontenplan].[Hierarchie].&amp;[431/SAIB3/OKPCH]"/>
    <s v="[Kontenplan].[Hierarchie].&amp;[440/SAIB1/OKPCH]"/>
    <s v="[Kontenplan].[Hierarchie].&amp;[450/SAIB1/OKPCH]"/>
    <s v="[Kontenplan].[Hierarchie].&amp;[501/SAIB1/OKPCH]"/>
    <s v="[Kontenplan].[Hierarchie].&amp;[480/SAIB3/OKPCH]"/>
    <s v="[Kontenplan].[Hierarchie].&amp;[516/SAIB1/OKPCH]"/>
    <s v="[Kontenplan].[Hierarchie].&amp;[500/SAIB1/OKPCH]"/>
    <s v="[Kontenplan].[Hierarchie].&amp;[510/SAIB1/OKPCH]"/>
    <s v="[Kontenplan].[Hierarchie].&amp;[73a/SAIB4/OKPCH]"/>
    <s v="[Kontenplan].[Hierarchie].&amp;[517/SAIB1/OKPCH]"/>
    <s v="[Kontenplan].[Hierarchie].&amp;[810/SAIB1/OKPCH]"/>
    <s v="[Kontenplan].[Hierarchie].&amp;[700/SAIV/WF]"/>
    <s v="[Kontenplan].[Hierarchie].&amp;[820/SAIV/WF]"/>
    <s v="[Kontenplan].[Hierarchie].&amp;[710/SAIV/WF]"/>
    <s v="[Kontenplan].[Hierarchie].&amp;[350/SAIV/OF]"/>
    <s v="[Kontenplan].[Hierarchie].&amp;[300/SAIV/OF]"/>
    <s v="[Kontenplan].[Hierarchie].&amp;[330/SAIV/OF]"/>
    <s v="[Kontenplan].[Hierarchie].&amp;[370/SAIV/OF]"/>
    <s v="[Kontenplan].[Hierarchie].&amp;[360/SAIV/OF]"/>
    <s v="[Kontenplan].[Hierarchie].&amp;[400/SAIV/OF]"/>
    <s v="[Kontenplan].[Hierarchie].&amp;[4200/SAIV/OF]"/>
    <s v="[Kontenplan].[Hierarchie].&amp;[421/SAIV/OF]"/>
    <s v="[Kontenplan].[Hierarchie].&amp;[430/SAIV/OF]"/>
    <s v="[Kontenplan].[Hierarchie].&amp;[431/SAIV/OF]"/>
    <s v="[Kontenplan].[Hierarchie].&amp;[432/SAIV/OF]"/>
    <s v="[Kontenplan].[Hierarchie].&amp;[440/SAIV/OF]"/>
    <s v="[Kontenplan].[Hierarchie].&amp;[450/SAIV/OF]"/>
    <s v="[Kontenplan].[Hierarchie].&amp;[501/SAIV/OF]"/>
    <s v="[Kontenplan].[Hierarchie].&amp;[480/SAIV/OF]"/>
    <s v="[Kontenplan].[Hierarchie].&amp;[516/SAIV/OF]"/>
    <s v="[Kontenplan].[Hierarchie].&amp;[500/SAIV/OF]"/>
    <s v="[Kontenplan].[Hierarchie].&amp;[510/SAIV/OF]"/>
    <s v="[Kontenplan].[Hierarchie].&amp;[519/SAIV/OF]"/>
    <s v="[Kontenplan].[Hierarchie].&amp;[517/SAIV/OF]"/>
    <s v="[Kontenplan].[Hierarchie].&amp;[700/SAIV/BO]"/>
    <s v="[Kontenplan].[Hierarchie].&amp;[820/SAIV/BO]"/>
    <s v="[Kontenplan].[Hierarchie].&amp;[710/SAIV/BO]"/>
    <s v="[Kontenplan].[Hierarchie].&amp;[350/SAIV/WF]"/>
    <s v="[Kontenplan].[Hierarchie].&amp;[300/SAIV/WF]"/>
    <s v="[Kontenplan].[Hierarchie].&amp;[330/SAIV/WF]"/>
    <s v="[Kontenplan].[Hierarchie].&amp;[370/SAIV/WF]"/>
    <s v="[Kontenplan].[Hierarchie].&amp;[360/SAIV/WF]"/>
    <s v="[Kontenplan].[Hierarchie].&amp;[400/SAIV/WF]"/>
    <s v="[Kontenplan].[Hierarchie].&amp;[4200/SAIV/WF]"/>
    <s v="[Kontenplan].[Hierarchie].&amp;[421/SAIV/WF]"/>
    <s v="[Kontenplan].[Hierarchie].&amp;[430/SAIV/WF]"/>
    <s v="[Kontenplan].[Hierarchie].&amp;[431/SAIV/WF]"/>
    <s v="[Kontenplan].[Hierarchie].&amp;[432/SAIV/WF]"/>
    <s v="[Kontenplan].[Hierarchie].&amp;[440/SAIV/WF]"/>
    <s v="[Kontenplan].[Hierarchie].&amp;[450/SAIV/WF]"/>
    <s v="[Kontenplan].[Hierarchie].&amp;[501/SAIV/WF]"/>
    <s v="[Kontenplan].[Hierarchie].&amp;[480/SAIV/WF]"/>
    <s v="[Kontenplan].[Hierarchie].&amp;[516/SAIV/WF]"/>
    <s v="[Kontenplan].[Hierarchie].&amp;[500/SAIV/WF]"/>
    <s v="[Kontenplan].[Hierarchie].&amp;[510/SAIV/WF]"/>
    <s v="[Kontenplan].[Hierarchie].&amp;[519/SAIV/WF]"/>
    <s v="[Kontenplan].[Hierarchie].&amp;[517/SAIV/WF]"/>
    <s v="[Kontenplan].[Hierarchie].&amp;[810/SAIV/HAM]"/>
    <s v="[Kontenplan].[Hierarchie].&amp;[300/SAIV/BO]"/>
    <s v="[Kontenplan].[Hierarchie].&amp;[73a/SAIV/HAM]"/>
    <s v="[Kontenplan].[Hierarchie].&amp;[370/SAIV/BO]"/>
    <s v="[Kontenplan].[Hierarchie].&amp;[820/SAIV/HAM]"/>
    <s v="[Kontenplan].[Hierarchie].&amp;[350/SAIV/BO]"/>
    <s v="[Kontenplan].[Hierarchie].&amp;[400/SAIV/BO]"/>
    <s v="[Kontenplan].[Hierarchie].&amp;[330/SAIV/BO]"/>
    <s v="[Kontenplan].[Hierarchie].&amp;[421/SAIV/BO]"/>
    <s v="[Kontenplan].[Hierarchie].&amp;[360/SAIV/BO]"/>
    <s v="[Kontenplan].[Hierarchie].&amp;[431/SAIV/BO]"/>
    <s v="[Kontenplan].[Hierarchie].&amp;[4200/SAIV/BO]"/>
    <s v="[Kontenplan].[Hierarchie].&amp;[430/SAIV/BO]"/>
    <s v="[Kontenplan].[Hierarchie].&amp;[432/SAIV/BO]"/>
    <s v="[Kontenplan].[Hierarchie].&amp;[450/SAIV/BO]"/>
    <s v="[Kontenplan].[Hierarchie].&amp;[501/SAIV/BO]"/>
    <s v="[Kontenplan].[Hierarchie].&amp;[480/SAIV/BO]"/>
    <s v="[Kontenplan].[Hierarchie].&amp;[516/SAIV/BO]"/>
    <s v="[Kontenplan].[Hierarchie].&amp;[500/SAIV/BO]"/>
    <s v="[Kontenplan].[Hierarchie].&amp;[510/SAIV/BO]"/>
    <s v="[Kontenplan].[Hierarchie].&amp;[519/SAIV/BO]"/>
    <s v="[Kontenplan].[Hierarchie].&amp;[517/SAIV/BO]"/>
    <s v="[Kontenplan].[Hierarchie].&amp;[700/SAIB4/OKPEU]"/>
    <s v="[Kontenplan].[Hierarchie].&amp;[820/SAIB1/OKPEU]"/>
    <s v="[Kontenplan].[Hierarchie].&amp;[710/SAIB4/OKPEU]"/>
    <s v="[Kontenplan].[Hierarchie].&amp;[300/SAIV/HAM]"/>
    <s v="[Kontenplan].[Hierarchie].&amp;[370/SAIV/HAM]"/>
    <s v="[Kontenplan].[Hierarchie].&amp;[350/SAIV/HAM]"/>
    <s v="[Kontenplan].[Hierarchie].&amp;[421/SAIV/HAM]"/>
    <s v="[Kontenplan].[Hierarchie].&amp;[360/SAIV/HAM]"/>
    <s v="[Kontenplan].[Hierarchie].&amp;[431/SAIV/HAM]"/>
    <s v="[Kontenplan].[Hierarchie].&amp;[4200/SAIV/HAM]"/>
    <s v="[Kontenplan].[Hierarchie].&amp;[450/SAIV/HAM]"/>
    <s v="[Kontenplan].[Hierarchie].&amp;[430/SAIV/HAM]"/>
    <s v="[Kontenplan].[Hierarchie].&amp;[432/SAIV/HAM]"/>
    <s v="[Kontenplan].[Hierarchie].&amp;[480/SAIV/HAM]"/>
    <s v="[Kontenplan].[Hierarchie].&amp;[440/SAIV/HAM]"/>
    <s v="[Kontenplan].[Hierarchie].&amp;[500/SAIV/HAM]"/>
    <s v="[Kontenplan].[Hierarchie].&amp;[501/SAIV/HAM]"/>
    <s v="[Kontenplan].[Hierarchie].&amp;[510/SAIV/HAM]"/>
    <s v="[Kontenplan].[Hierarchie].&amp;[517/SAIV/HAM]"/>
    <s v="[Kontenplan].[Hierarchie].&amp;[516/SAIV/HAM]"/>
    <s v="[Kontenplan].[Hierarchie].&amp;[710/SAIV/HAM]"/>
    <s v="[Kontenplan].[Hierarchie].&amp;[519/SAIV/HAM]"/>
    <s v="[Kontenplan].[Hierarchie].&amp;[700/SAIV/HAM]"/>
    <s v="[Kontenplan].[Hierarchie].&amp;[517/SAIB1/OKPEU]"/>
    <s v="[Kontenplan].[Hierarchie].&amp;[519/SAIB1/OKPEU]"/>
    <s v="[Kontenplan].[Hierarchie].&amp;[510/SAIB1/OKPEU]"/>
    <s v="[Kontenplan].[Hierarchie].&amp;[516/SAIB1/OKPEU]"/>
    <s v="[Kontenplan].[Hierarchie].&amp;[500/SAIB1/OKPEU]"/>
    <s v="[Kontenplan].[Hierarchie].&amp;[501/SAIB1/OKPEU]"/>
    <s v="[Kontenplan].[Hierarchie].&amp;[480/SAIB3/OKPEU]"/>
    <s v="[Kontenplan].[Hierarchie].&amp;[440/SAIB1/OKPEU]"/>
    <s v="[Kontenplan].[Hierarchie].&amp;[450/SAIB1/OKPEU]"/>
    <s v="[Kontenplan].[Hierarchie].&amp;[432/SAIB1/OKPEU]"/>
    <s v="[Kontenplan].[Hierarchie].&amp;[431/SAIB3/OKPEU]"/>
    <s v="[Kontenplan].[Hierarchie].&amp;[430/SAIB3/OKPEU]"/>
    <s v="[Kontenplan].[Hierarchie].&amp;[421/SAIB3/OKPEU]"/>
    <s v="[Kontenplan].[Hierarchie].&amp;[4200/SAIB3/OKPEU]"/>
    <s v="[Kontenplan].[Hierarchie].&amp;[400/SAIB2/OKPEU]"/>
    <s v="[Kontenplan].[Hierarchie].&amp;[370/SAIB1/OKPEU]"/>
    <s v="[Kontenplan].[Hierarchie].&amp;[360/SAIB1/OKPEU]"/>
    <s v="[Kontenplan].[Hierarchie].&amp;[350/SAIB1/OKPEU]"/>
    <s v="[Kontenplan].[Hierarchie].&amp;[330/SAIB1/OKPEU]"/>
    <s v="[Kontenplan].[Hierarchie].&amp;[300/SAIB2/OKPEU]"/>
    <s v="[Kontenplan].[Hierarchie].&amp;[400/SAIV/HAM]"/>
    <s v="{[Geschäftsjahr].[Geschäftsjahr].&amp;[2012]}"/>
    <s v="[Kontenplan].[Hierarchie].&amp;[810/SAIB1/KT]"/>
    <s v="[Kontenplan].[Hierarchie].&amp;[710/SAIB4/KT]"/>
    <s v="[Kontenplan].[Hierarchie].&amp;[700/SAIB4/KT]"/>
    <s v="[Kontenplan].[Hierarchie].&amp;[517/SAIB1/KT]"/>
    <s v="[Kontenplan].[Hierarchie].&amp;[519/SAIB1/KT]"/>
    <s v="[Kontenplan].[Hierarchie].&amp;[510/SAIB1/KT]"/>
    <s v="[Kontenplan].[Hierarchie].&amp;[516/SAIB1/KT]"/>
    <s v="[Kontenplan].[Hierarchie].&amp;[500/SAIB1/KT]"/>
    <s v="[Kontenplan].[Hierarchie].&amp;[501/SAIB1/KT]"/>
    <s v="[Kontenplan].[Hierarchie].&amp;[440/SAIB1/KT]"/>
    <s v="[Kontenplan].[Hierarchie].&amp;[450/SAIB1/KT]"/>
    <s v="[Kontenplan].[Hierarchie].&amp;[432/SAIB1/KT]"/>
    <s v="[Kontenplan].[Hierarchie].&amp;[400/SAIB2/KT]"/>
    <s v="[Kontenplan].[Hierarchie].&amp;[361/SAIB1/KT]"/>
    <s v="[Kontenplan].[Hierarchie].&amp;[350/SAIB1/KT]"/>
    <s v="[Kontenplan].[Hierarchie].&amp;[330/SAIB1/KT]"/>
    <s v="[Kontenplan].[Hierarchie].&amp;[300/SAIB2/KT]"/>
    <s v="[Kontenplan].[Hierarchie].&amp;[810/SAIB1/ET]"/>
    <s v="[Kontenplan].[Hierarchie].&amp;[73a/SAIB4/ET]"/>
    <s v="[Kontenplan].[Hierarchie].&amp;[710/SAIB4/ET]"/>
    <s v="[Kontenplan].[Hierarchie].&amp;[700/SAIB4/ET]"/>
    <s v="[Kontenplan].[Hierarchie].&amp;[517/SAIB1/ET]"/>
    <s v="[Kontenplan].[Hierarchie].&amp;[519/SAIB1/ET]"/>
    <s v="[Kontenplan].[Hierarchie].&amp;[510/SAIB1/ET]"/>
    <s v="[Kontenplan].[Hierarchie].&amp;[516/SAIB1/ET]"/>
    <s v="[Kontenplan].[Hierarchie].&amp;[500/SAIB1/ET]"/>
    <s v="[Kontenplan].[Hierarchie].&amp;[501/SAIB1/ET]"/>
    <s v="[Kontenplan].[Hierarchie].&amp;[440/SAIB1/ET]"/>
    <s v="[Kontenplan].[Hierarchie].&amp;[450/SAIB1/ET]"/>
    <s v="[Kontenplan].[Hierarchie].&amp;[432/SAIB1/ET]"/>
    <s v="[Kontenplan].[Hierarchie].&amp;[400/SAIB2/ET]"/>
    <s v="[Kontenplan].[Hierarchie].&amp;[361/SAIB1/ET]"/>
    <s v="[Kontenplan].[Hierarchie].&amp;[350/SAIB1/ET]"/>
    <s v="[Kontenplan].[Hierarchie].&amp;[330/SAIB1/ET]"/>
    <s v="[Kontenplan].[Hierarchie].&amp;[300/SAIB2/ET]"/>
    <s v="[Kontenplan].[Hierarchie].&amp;[820/SAIB1/VVG]"/>
    <s v="[Kontenplan].[Hierarchie].&amp;[73/73b]"/>
    <s v="[Kontenplan].[Hierarchie].&amp;[71/711]"/>
    <s v="[Kontenplan].[Hierarchie].&amp;[519/SAIB1/VVG]"/>
    <s v="[Kontenplan].[Hierarchie].&amp;[517/SAIB1/VVG]"/>
    <s v="[Kontenplan].[Hierarchie].&amp;[516/SAIB1/VVG]"/>
    <s v="[Kontenplan].[Hierarchie].&amp;[500/SAIB1/VVG]"/>
    <s v="[Kontenplan].[Hierarchie].&amp;[49]"/>
    <s v="[Kontenplan].[Hierarchie].&amp;[480/SAIB3/VVG]"/>
    <s v="[Kontenplan].[Hierarchie].&amp;[440/SAIB1/VVG]"/>
    <s v="[Kontenplan].[Hierarchie].&amp;[46]"/>
    <s v="[Kontenplan].[Hierarchie].&amp;[450/SAIB1/VVG]"/>
    <s v="[Kontenplan].[Hierarchie].&amp;[432/SAIB1/VVG]"/>
    <s v="[Kontenplan].[Hierarchie].&amp;[431/SAIB3/VVG]"/>
    <s v="[Kontenplan].[Hierarchie].&amp;[430/SAIB3/VVG]"/>
    <s v="[Kontenplan].[Hierarchie].&amp;[421/SAIB3/VVG]"/>
    <s v="[Kontenplan].[Hierarchie].&amp;[4200/SAIB3/VVG]"/>
    <s v="[Kontenplan].[Hierarchie].&amp;[400/SAIB2/VVG]"/>
    <s v="[Kontenplan].[Hierarchie].&amp;[360/SAIB1/VVG]"/>
    <s v="[Kontenplan].[Hierarchie].&amp;[300/SAIB2/VVG]"/>
    <s v="[Kontenplan].[Hierarchie].&amp;[100]"/>
    <s v="[Kontenplan].[Hierarchie].&amp;[1004]"/>
    <s v="[Kontenplan].[Hierarchie].&amp;[1003/10037]"/>
    <s v="[Kontenplan].[Hierarchie].&amp;[1003/10036]"/>
    <s v="[Kontenplan].[Hierarchie].&amp;[1003/10035]"/>
    <s v="[Kontenplan].[Hierarchie].&amp;[1003/10033]"/>
    <s v="[Kontenplan].[Hierarchie].&amp;[1003/10032]"/>
    <s v="[Kontenplan].[Hierarchie].&amp;[1003/10034]"/>
    <s v="[Kontenplan].[Hierarchie].&amp;[1003/10031]"/>
    <s v="[Kontenplan].[Hierarchie].&amp;[1003/10030]"/>
    <s v="[Kontenplan].[Hierarchie].&amp;[1006]"/>
    <s v="[Kontenplan].[Hierarchie].&amp;[1000]"/>
    <s v="[Kontenplan].[Hierarchie].&amp;[1002/10021]"/>
    <s v="[Kontenplan].[Hierarchie].&amp;[1002/10020]"/>
    <s v="[Kontenplan].[Hierarchie].&amp;[1001/10011]"/>
    <s v="[Kontenplan].[Hierarchie].&amp;[1001/10010]"/>
    <s v="[Kontenplan].[Hierarchie].&amp;[1005/10051]"/>
    <s v="[Kontenplan].[Hierarchie].&amp;[1005/10050]"/>
    <s v="[Kontenplan].[Hierarchie].&amp;[2]"/>
    <s v="[Kontenplan].[Hierarchie].&amp;[21 - 27]"/>
    <s v="[Kontenplan].[Hierarchie].&amp;[270]"/>
    <s v="[Kontenplan].[Hierarchie].&amp;[269]"/>
    <s v="[Kontenplan].[Hierarchie].&amp;[268]"/>
    <s v="[Kontenplan].[Hierarchie].&amp;[266]"/>
    <s v="[Kontenplan].[Hierarchie].&amp;[265]"/>
    <s v="[Kontenplan].[Hierarchie].&amp;[264]"/>
    <s v="[Kontenplan].[Hierarchie].&amp;[263]"/>
    <s v="[Kontenplan].[Hierarchie].&amp;[262]"/>
    <s v="[Kontenplan].[Hierarchie].&amp;[260]"/>
    <s v="[Kontenplan].[Hierarchie].&amp;[250]"/>
    <s v="[Kontenplan].[Hierarchie].&amp;[230]"/>
    <s v="[Kontenplan].[Hierarchie].&amp;[240]"/>
    <s v="[Kontenplan].[Hierarchie].&amp;[220]"/>
    <s v="[Kontenplan].[Hierarchie].&amp;[211]"/>
    <s v="[Kontenplan].[Hierarchie].&amp;[210/2104]"/>
    <s v="[Kontenplan].[Hierarchie].&amp;[210/2103]"/>
    <s v="[Kontenplan].[Hierarchie].&amp;[210/2102]"/>
    <s v="[Kontenplan].[Hierarchie].&amp;[210/21011]"/>
    <s v="[Kontenplan].[Hierarchie].&amp;[210/21010]"/>
    <s v="[Kontenplan].[Hierarchie].&amp;[210/21000]"/>
    <s v="[Kontenplan].[Hierarchie].&amp;[210]"/>
    <s v="[Kontenplan].[Hierarchie].&amp;[20]"/>
    <s v="[Kontenplan].[Hierarchie].&amp;[20/207]"/>
    <s v="[Kontenplan].[Hierarchie].&amp;[20/SATRE1/20620]"/>
    <s v="[Kontenplan].[Hierarchie].&amp;[20/SATRE1/2061]"/>
    <s v="[Kontenplan].[Hierarchie].&amp;[20/SATRE1/20603]"/>
    <s v="[Kontenplan].[Hierarchie].&amp;[20/SATRE1/20602]"/>
    <s v="[Kontenplan].[Hierarchie].&amp;[20/SATRE1/20601]"/>
    <s v="[Kontenplan].[Hierarchie].&amp;[20/SATRE1/20600]"/>
    <s v="[Kontenplan].[Hierarchie].&amp;[20/206]"/>
    <s v="[Kontenplan].[Hierarchie].&amp;[20/205]"/>
    <s v="[Kontenplan].[Hierarchie].&amp;[20/201]"/>
    <s v="[Kontenplan].[Hierarchie].&amp;[20/200]"/>
    <s v="[Kontenplan].[Hierarchie].&amp;[1]"/>
    <s v="[Kontenplan].[Hierarchie].&amp;[15]"/>
    <s v="[Kontenplan].[Hierarchie].&amp;[19]"/>
    <s v="[Kontenplan].[Hierarchie].&amp;[17/175]"/>
    <s v="[Kontenplan].[Hierarchie].&amp;[17/171]"/>
    <s v="[Kontenplan].[Hierarchie].&amp;[17/170]"/>
    <s v="[Kontenplan].[Hierarchie].&amp;[17]"/>
    <s v="[Kontenplan].[Hierarchie].&amp;[167]"/>
    <s v="[Kontenplan].[Hierarchie].&amp;[165]"/>
    <s v="[Kontenplan].[Hierarchie].&amp;[164]"/>
    <s v="[Kontenplan].[Hierarchie].&amp;[161]"/>
    <s v="[Kontenplan].[Hierarchie].&amp;[160]"/>
    <s v="[Kontenplan].[Hierarchie].&amp;[16]"/>
    <s v="[Kontenplan].[Hierarchie].&amp;[15/158]"/>
    <s v="[Kontenplan].[Hierarchie].&amp;[15/157]"/>
    <s v="[Kontenplan].[Hierarchie].&amp;[15/153]"/>
    <s v="[Kontenplan].[Hierarchie].&amp;[15/150]"/>
    <s v="[Kontenplan].[Hierarchie].&amp;[10]"/>
    <s v="[Kontenplan].[Hierarchie].&amp;[13/1320]"/>
    <s v="[Kontenplan].[Hierarchie].&amp;[13/1310]"/>
    <s v="[Kontenplan].[Hierarchie].&amp;[13/1300]"/>
    <s v="[Kontenplan].[Hierarchie].&amp;[13]"/>
    <s v="[Kontenplan].[Hierarchie].&amp;[11/1150]"/>
    <s v="[Kontenplan].[Hierarchie].&amp;[11/1140]"/>
    <s v="[Kontenplan].[Hierarchie].&amp;[11/1130]"/>
    <s v="[Kontenplan].[Hierarchie].&amp;[11/1120]"/>
    <s v="[Kontenplan].[Hierarchie].&amp;[11/1110]"/>
    <s v="[Kontenplan].[Hierarchie].&amp;[11/1100]"/>
    <s v="[Kontenplan].[Hierarchie].&amp;[11]"/>
    <s v="[Kontenplan].[Hierarchie].&amp;[104]"/>
    <s v="[Kontenplan].[Hierarchie].&amp;[103]"/>
    <s v="[Kontenplan].[Hierarchie].&amp;[102]"/>
    <s v="[Kontenplan].[Hierarchie].&amp;[101]"/>
    <s v="[Kontenplan].[Hierarchie].&amp;[8]"/>
    <s v="[Kontenplan].[Hierarchie].&amp;[9]"/>
    <s v="[Kontenplan].[Hierarchie].&amp;[7]"/>
    <s v="[Kontenplan].[Hierarchie].&amp;[73]"/>
    <s v="[Kontenplan].[Hierarchie].&amp;[73/SAT730/7342]"/>
    <s v="[Kontenplan].[Hierarchie].&amp;[73/SAT730/7341]"/>
    <s v="[Kontenplan].[Hierarchie].&amp;[73/SAT730/7340]"/>
    <s v="[Kontenplan].[Hierarchie].&amp;[73/SAT730/7322]"/>
    <s v="[Kontenplan].[Hierarchie].&amp;[73/SAT730/7321]"/>
    <s v="[Kontenplan].[Hierarchie].&amp;[73/SAT730/7320]"/>
    <s v="[Kontenplan].[Hierarchie].&amp;[73/SAT730/7309]"/>
    <s v="[Kontenplan].[Hierarchie].&amp;[73/SAT730/7306]"/>
    <s v="[Kontenplan].[Hierarchie].&amp;[73/SAT730/7305]"/>
    <s v="[Kontenplan].[Hierarchie].&amp;[73/SAT730/7300]"/>
    <s v="[Kontenplan].[Hierarchie].&amp;[71/SAT710/7104]"/>
    <s v="[Kontenplan].[Hierarchie].&amp;[71/710]"/>
    <s v="[Kontenplan].[Hierarchie].&amp;[71/SAT710/7100]"/>
    <s v="[Kontenplan].[Hierarchie].&amp;[70/701]"/>
    <s v="[Kontenplan].[Hierarchie].&amp;[71]"/>
    <s v="[Kontenplan].[Hierarchie].&amp;[70/SAT700/7003]"/>
    <s v="[Kontenplan].[Hierarchie].&amp;[70/SAT700/7009]"/>
    <s v="[Kontenplan].[Hierarchie].&amp;[70/SAT700/7001]"/>
    <s v="[Kontenplan].[Hierarchie].&amp;[70/SAT700/7002]"/>
    <s v="[Kontenplan].[Hierarchie].&amp;[70/700]"/>
    <s v="[Kontenplan].[Hierarchie].&amp;[70/SAT700/7000]"/>
    <s v="[Kontenplan].[Hierarchie].&amp;[5]"/>
    <s v="[Kontenplan].[Hierarchie].&amp;[70]"/>
    <s v="[Kontenplan].[Hierarchie].&amp;[51/517]"/>
    <s v="[Kontenplan].[Hierarchie].&amp;[51/519]"/>
    <s v="[Kontenplan].[Hierarchie].&amp;[51/510]"/>
    <s v="[Kontenplan].[Hierarchie].&amp;[51/516]"/>
    <s v="[Kontenplan].[Hierarchie].&amp;[51]"/>
    <s v="[Kontenplan].[Hierarchie].&amp;[4]"/>
    <s v="[Kontenplan].[Hierarchie].&amp;[48]"/>
    <s v="[Kontenplan].[Hierarchie].&amp;[45]"/>
    <s v="[Kontenplan].[Hierarchie].&amp;[44/4410]"/>
    <s v="[Kontenplan].[Hierarchie].&amp;[44/440]"/>
    <s v="[Kontenplan].[Hierarchie].&amp;[44]"/>
    <s v="[Kontenplan].[Hierarchie].&amp;[43]"/>
    <s v="[Kontenplan].[Hierarchie].&amp;[421/SAIV/OA]"/>
    <s v="[Kontenplan].[Hierarchie].&amp;[421/SAIV/HMO]"/>
    <s v="[Kontenplan].[Hierarchie].&amp;[42/421]"/>
    <s v="[Kontenplan].[Hierarchie].&amp;[4200/SAIV/OA]"/>
    <s v="[Kontenplan].[Hierarchie].&amp;[4200/SAIV/HMO]"/>
    <s v="[Kontenplan].[Hierarchie].&amp;[42/4200]"/>
    <s v="[Kontenplan].[Hierarchie].&amp;[42]"/>
    <s v="[Kontenplan].[Hierarchie].&amp;[400/SAIV/OA]"/>
    <s v="[Kontenplan].[Hierarchie].&amp;[400/SAIV/HMO]"/>
    <s v="[Kontenplan].[Hierarchie].&amp;[40]"/>
    <s v="[Kontenplan].[Hierarchie].&amp;[3]"/>
    <s v="[Kontenplan].[Hierarchie].&amp;[37]"/>
    <s v="[Kontenplan].[Hierarchie].&amp;[36]"/>
    <s v="[Kontenplan].[Hierarchie].&amp;[35]"/>
    <s v="[Kontenplan].[Hierarchie].&amp;[33]"/>
    <s v="[Kontenplan].[Hierarchie].&amp;[300/SAIV/OA]"/>
    <s v="[Kontenplan].[Hierarchie].&amp;[300/SAIV/HMO]"/>
    <s v="[Kontenplan].[Hierarchie].&amp;[30]"/>
    <s v="[Geschäftsjahr].[Geschäftsjahr].&amp;[2015]"/>
    <s v="[Altersklasse].[Altersklasse Akro].&amp;[AKL-KIN]"/>
    <s v="[Kanton].[Kanton Akro].&amp;[JU]"/>
    <s v="[RegionCH].[Region Akro].&amp;[PR-REG CH0]"/>
    <s v="[Measures].[Durchschnittsprämie]"/>
    <s v="[Kanton].[Kanton Akro].&amp;[GE]"/>
    <s v="[Kanton].[Kanton Akro].&amp;[NE]"/>
    <s v="[Kanton].[Kanton Akro].&amp;[VS]"/>
    <s v="[RegionCH].[Region Akro].&amp;[PR-REG CH2]"/>
    <s v="[Kanton].[Kanton Akro].&amp;[VD]"/>
    <s v="[Kanton].[Kanton Akro].&amp;[TI]"/>
    <s v="[Kanton].[Kanton Akro].&amp;[TG]"/>
    <s v="[Kanton].[Kanton Akro].&amp;[AG]"/>
    <s v="[Kanton].[Kanton Akro].&amp;[GR]"/>
    <s v="[Kanton].[Kanton Akro].&amp;[SG]"/>
    <s v="[Kanton].[Kanton Akro].&amp;[AI]"/>
    <s v="[Kanton].[Kanton Akro].&amp;[AR]"/>
    <s v="[Kanton].[Kanton Akro].&amp;[SH]"/>
    <s v="[Kanton].[Kanton Akro].&amp;[BL]"/>
    <s v="[Kanton].[Kanton Akro].&amp;[BS]"/>
    <s v="[Kanton].[Kanton Akro].&amp;[SO]"/>
    <s v="[Kanton].[Kanton Akro].&amp;[FR]"/>
    <s v="[Kanton].[Kanton Akro].&amp;[ZG]"/>
    <s v="[Kanton].[Kanton Akro].&amp;[GL]"/>
    <s v="[Kanton].[Kanton Akro].&amp;[NW]"/>
    <s v="[Kanton].[Kanton Akro].&amp;[OW]"/>
    <s v="[Kanton].[Kanton Akro].&amp;[SZ]"/>
    <s v="[Kanton].[Kanton Akro].&amp;[UR]"/>
    <s v="[Kanton].[Kanton Akro].&amp;[LU]"/>
    <s v="[Kanton].[Kanton Akro].&amp;[BE]"/>
    <s v="[Kanton].[Kanton Akro].&amp;[ZH]"/>
    <s v="[RegionCH].[Region Akro].&amp;[PR-REG CH1]"/>
    <s v="[RegionCH].[Region Akro].&amp;[PR-REG CH3]"/>
    <s v="[Altersklasse].[Altersklasse Akro].&amp;[AKL-JUG]"/>
    <s v="[Altersklasse].[Altersklasse Akro].&amp;[AKL-ERW]"/>
    <s v="isak.bag.admin.ch ISAK_Analysis_Stat ISAK_Statistik_S00058"/>
    <s v="[Zeit].[Geschaeftsjahr].&amp;[2013]"/>
    <s v="[Erhebung].[Erhebung Name].&amp;[S2013]"/>
    <s v="[Deckblatt].[EF10 X NO].&amp;[8]"/>
    <s v="[Variable].[Variable Name].&amp;[EF112D_T_EF]"/>
    <s v="[Deckblatt].[EF10 X NO].&amp;[32]"/>
    <s v="[Deckblatt].[EF10 X NO].&amp;[290]"/>
    <s v="[Deckblatt].[EF10 X NO].&amp;[312]"/>
    <s v="[Deckblatt].[EF10 X NO].&amp;[343]"/>
    <s v="[Deckblatt].[EF10 X NO].&amp;[376]"/>
    <s v="[Deckblatt].[EF10 X NO].&amp;[455]"/>
    <s v="[Deckblatt].[EF10 X NO].&amp;[509]"/>
    <s v="[Deckblatt].[EF10 X NO].&amp;[774]"/>
    <s v="[Deckblatt].[EF10 X NO].&amp;[881]"/>
    <s v="[Deckblatt].[EF10 X NO].&amp;[994]"/>
    <s v="[Deckblatt].[EF10 X NO].&amp;[1060]"/>
    <s v="[Deckblatt].[EF10 X NO].&amp;[1384]"/>
    <s v="[Deckblatt].[EF10 X NO].&amp;[1479]"/>
    <s v="[Deckblatt].[EF10 X NO].&amp;[1509]"/>
    <s v="[Deckblatt].[EF10 X NO].&amp;[1529]"/>
    <s v="[Deckblatt].[EF10 X NO].&amp;[1535]"/>
    <s v="[Deckblatt].[EF10 X NO].&amp;[1555]"/>
    <s v="[Deckblatt].[EF10 X NO].&amp;[1560]"/>
    <s v="[Deckblatt].[EF10 X NO].&amp;[1562]"/>
    <s v="[Deckblatt].[EF10 X NO].&amp;[1565]"/>
    <s v="[Deckblatt].[EF10 X NO].&amp;[1566]"/>
    <s v="[Deckblatt].[EF10 X NO].&amp;[1569]"/>
  </metadataStrings>
  <mdxMetadata count="579">
    <mdx n="0" f="v">
      <t c="5">
        <n x="1" s="1"/>
        <n x="2" s="1"/>
        <n x="3"/>
        <n x="4"/>
        <n x="5"/>
      </t>
    </mdx>
    <mdx n="0" f="v">
      <t c="5">
        <n x="1" s="1"/>
        <n x="2" s="1"/>
        <n x="3"/>
        <n x="6"/>
        <n x="5"/>
      </t>
    </mdx>
    <mdx n="0" f="v">
      <t c="5">
        <n x="1" s="1"/>
        <n x="2" s="1"/>
        <n x="3"/>
        <n x="7"/>
        <n x="5"/>
      </t>
    </mdx>
    <mdx n="0" f="v">
      <t c="5">
        <n x="1" s="1"/>
        <n x="2" s="1"/>
        <n x="3"/>
        <n x="8"/>
        <n x="5"/>
      </t>
    </mdx>
    <mdx n="0" f="v">
      <t c="5">
        <n x="1" s="1"/>
        <n x="2" s="1"/>
        <n x="3"/>
        <n x="9"/>
        <n x="5"/>
      </t>
    </mdx>
    <mdx n="0" f="v">
      <t c="5">
        <n x="1" s="1"/>
        <n x="2" s="1"/>
        <n x="3"/>
        <n x="10"/>
        <n x="5"/>
      </t>
    </mdx>
    <mdx n="0" f="v">
      <t c="5">
        <n x="1" s="1"/>
        <n x="2" s="1"/>
        <n x="3"/>
        <n x="11"/>
        <n x="5"/>
      </t>
    </mdx>
    <mdx n="0" f="v">
      <t c="5">
        <n x="1" s="1"/>
        <n x="2" s="1"/>
        <n x="3"/>
        <n x="12"/>
        <n x="5"/>
      </t>
    </mdx>
    <mdx n="0" f="v">
      <t c="5">
        <n x="1" s="1"/>
        <n x="2" s="1"/>
        <n x="3"/>
        <n x="13"/>
        <n x="5"/>
      </t>
    </mdx>
    <mdx n="0" f="v">
      <t c="5">
        <n x="1" s="1"/>
        <n x="2" s="1"/>
        <n x="3"/>
        <n x="14"/>
        <n x="5"/>
      </t>
    </mdx>
    <mdx n="0" f="v">
      <t c="5">
        <n x="1" s="1"/>
        <n x="2" s="1"/>
        <n x="3"/>
        <n x="15"/>
        <n x="5"/>
      </t>
    </mdx>
    <mdx n="0" f="v">
      <t c="5">
        <n x="1" s="1"/>
        <n x="2" s="1"/>
        <n x="3"/>
        <n x="16"/>
        <n x="5"/>
      </t>
    </mdx>
    <mdx n="0" f="v">
      <t c="5">
        <n x="1" s="1"/>
        <n x="2" s="1"/>
        <n x="3"/>
        <n x="17"/>
        <n x="5"/>
      </t>
    </mdx>
    <mdx n="0" f="v">
      <t c="5">
        <n x="1" s="1"/>
        <n x="2" s="1"/>
        <n x="3"/>
        <n x="18"/>
        <n x="5"/>
      </t>
    </mdx>
    <mdx n="0" f="v">
      <t c="5">
        <n x="1" s="1"/>
        <n x="2" s="1"/>
        <n x="3"/>
        <n x="19"/>
        <n x="5"/>
      </t>
    </mdx>
    <mdx n="0" f="v">
      <t c="5">
        <n x="1" s="1"/>
        <n x="2" s="1"/>
        <n x="3"/>
        <n x="20"/>
        <n x="5"/>
      </t>
    </mdx>
    <mdx n="0" f="v">
      <t c="5">
        <n x="1" s="1"/>
        <n x="2" s="1"/>
        <n x="3"/>
        <n x="21"/>
        <n x="5"/>
      </t>
    </mdx>
    <mdx n="0" f="v">
      <t c="5">
        <n x="1" s="1"/>
        <n x="2" s="1"/>
        <n x="3"/>
        <n x="22"/>
        <n x="5"/>
      </t>
    </mdx>
    <mdx n="0" f="v">
      <t c="5">
        <n x="1" s="1"/>
        <n x="2" s="1"/>
        <n x="3"/>
        <n x="23"/>
        <n x="5"/>
      </t>
    </mdx>
    <mdx n="0" f="v">
      <t c="5">
        <n x="1" s="1"/>
        <n x="2" s="1"/>
        <n x="3"/>
        <n x="24"/>
        <n x="5"/>
      </t>
    </mdx>
    <mdx n="0" f="v">
      <t c="5">
        <n x="1" s="1"/>
        <n x="2" s="1"/>
        <n x="3"/>
        <n x="25"/>
        <n x="5"/>
      </t>
    </mdx>
    <mdx n="0" f="v">
      <t c="5">
        <n x="1" s="1"/>
        <n x="2" s="1"/>
        <n x="3"/>
        <n x="26"/>
        <n x="5"/>
      </t>
    </mdx>
    <mdx n="0" f="v">
      <t c="5">
        <n x="1" s="1"/>
        <n x="2" s="1"/>
        <n x="3"/>
        <n x="27"/>
        <n x="5"/>
      </t>
    </mdx>
    <mdx n="0" f="v">
      <t c="5">
        <n x="1" s="1"/>
        <n x="2" s="1"/>
        <n x="3"/>
        <n x="28"/>
        <n x="5"/>
      </t>
    </mdx>
    <mdx n="0" f="v">
      <t c="5">
        <n x="1" s="1"/>
        <n x="2" s="1"/>
        <n x="3"/>
        <n x="29"/>
        <n x="5"/>
      </t>
    </mdx>
    <mdx n="0" f="v">
      <t c="5">
        <n x="1" s="1"/>
        <n x="2" s="1"/>
        <n x="3"/>
        <n x="30"/>
        <n x="5"/>
      </t>
    </mdx>
    <mdx n="0" f="v">
      <t c="5">
        <n x="1" s="1"/>
        <n x="2" s="1"/>
        <n x="3"/>
        <n x="31"/>
        <n x="5"/>
      </t>
    </mdx>
    <mdx n="0" f="v">
      <t c="5">
        <n x="1" s="1"/>
        <n x="2" s="1"/>
        <n x="3"/>
        <n x="32"/>
        <n x="5"/>
      </t>
    </mdx>
    <mdx n="0" f="v">
      <t c="5">
        <n x="1" s="1"/>
        <n x="2" s="1"/>
        <n x="3"/>
        <n x="33"/>
        <n x="5"/>
      </t>
    </mdx>
    <mdx n="0" f="v">
      <t c="5">
        <n x="1" s="1"/>
        <n x="2" s="1"/>
        <n x="3"/>
        <n x="34"/>
        <n x="5"/>
      </t>
    </mdx>
    <mdx n="0" f="v">
      <t c="5">
        <n x="1" s="1"/>
        <n x="2" s="1"/>
        <n x="3"/>
        <n x="35"/>
        <n x="5"/>
      </t>
    </mdx>
    <mdx n="0" f="v">
      <t c="5">
        <n x="1" s="1"/>
        <n x="2" s="1"/>
        <n x="3"/>
        <n x="36"/>
        <n x="5"/>
      </t>
    </mdx>
    <mdx n="0" f="v">
      <t c="5">
        <n x="1" s="1"/>
        <n x="2" s="1"/>
        <n x="3"/>
        <n x="37"/>
        <n x="5"/>
      </t>
    </mdx>
    <mdx n="0" f="v">
      <t c="5">
        <n x="1" s="1"/>
        <n x="2" s="1"/>
        <n x="3"/>
        <n x="38"/>
        <n x="5"/>
      </t>
    </mdx>
    <mdx n="0" f="v">
      <t c="5">
        <n x="1" s="1"/>
        <n x="2" s="1"/>
        <n x="3"/>
        <n x="39"/>
        <n x="5"/>
      </t>
    </mdx>
    <mdx n="0" f="v">
      <t c="5">
        <n x="1" s="1"/>
        <n x="2" s="1"/>
        <n x="3"/>
        <n x="40"/>
        <n x="5"/>
      </t>
    </mdx>
    <mdx n="0" f="v">
      <t c="5">
        <n x="1" s="1"/>
        <n x="2" s="1"/>
        <n x="3"/>
        <n x="41"/>
        <n x="5"/>
      </t>
    </mdx>
    <mdx n="0" f="v">
      <t c="5">
        <n x="1" s="1"/>
        <n x="2" s="1"/>
        <n x="3"/>
        <n x="42"/>
        <n x="5"/>
      </t>
    </mdx>
    <mdx n="0" f="v">
      <t c="5">
        <n x="1" s="1"/>
        <n x="2" s="1"/>
        <n x="3"/>
        <n x="43"/>
        <n x="5"/>
      </t>
    </mdx>
    <mdx n="0" f="v">
      <t c="5">
        <n x="1" s="1"/>
        <n x="2" s="1"/>
        <n x="3"/>
        <n x="44"/>
        <n x="5"/>
      </t>
    </mdx>
    <mdx n="0" f="v">
      <t c="5">
        <n x="1" s="1"/>
        <n x="2" s="1"/>
        <n x="3"/>
        <n x="45"/>
        <n x="5"/>
      </t>
    </mdx>
    <mdx n="0" f="v">
      <t c="5">
        <n x="1" s="1"/>
        <n x="2" s="1"/>
        <n x="3"/>
        <n x="46"/>
        <n x="5"/>
      </t>
    </mdx>
    <mdx n="0" f="v">
      <t c="5">
        <n x="1" s="1"/>
        <n x="2" s="1"/>
        <n x="3"/>
        <n x="47"/>
        <n x="5"/>
      </t>
    </mdx>
    <mdx n="0" f="v">
      <t c="5">
        <n x="1" s="1"/>
        <n x="2" s="1"/>
        <n x="3"/>
        <n x="48"/>
        <n x="5"/>
      </t>
    </mdx>
    <mdx n="0" f="v">
      <t c="5">
        <n x="1" s="1"/>
        <n x="2" s="1"/>
        <n x="3"/>
        <n x="49"/>
        <n x="5"/>
      </t>
    </mdx>
    <mdx n="0" f="v">
      <t c="5">
        <n x="1" s="1"/>
        <n x="2" s="1"/>
        <n x="3"/>
        <n x="50"/>
        <n x="5"/>
      </t>
    </mdx>
    <mdx n="0" f="v">
      <t c="5">
        <n x="1" s="1"/>
        <n x="2" s="1"/>
        <n x="3"/>
        <n x="51"/>
        <n x="5"/>
      </t>
    </mdx>
    <mdx n="0" f="v">
      <t c="5">
        <n x="1" s="1"/>
        <n x="2" s="1"/>
        <n x="3"/>
        <n x="52"/>
        <n x="5"/>
      </t>
    </mdx>
    <mdx n="0" f="v">
      <t c="5">
        <n x="1" s="1"/>
        <n x="2" s="1"/>
        <n x="3"/>
        <n x="53"/>
        <n x="5"/>
      </t>
    </mdx>
    <mdx n="0" f="v">
      <t c="5">
        <n x="1" s="1"/>
        <n x="2" s="1"/>
        <n x="3"/>
        <n x="54"/>
        <n x="5"/>
      </t>
    </mdx>
    <mdx n="0" f="v">
      <t c="5">
        <n x="1" s="1"/>
        <n x="2" s="1"/>
        <n x="3"/>
        <n x="55"/>
        <n x="5"/>
      </t>
    </mdx>
    <mdx n="0" f="v">
      <t c="5">
        <n x="1" s="1"/>
        <n x="2" s="1"/>
        <n x="3"/>
        <n x="56"/>
        <n x="5"/>
      </t>
    </mdx>
    <mdx n="0" f="v">
      <t c="5">
        <n x="1" s="1"/>
        <n x="2" s="1"/>
        <n x="3"/>
        <n x="57"/>
        <n x="5"/>
      </t>
    </mdx>
    <mdx n="0" f="v">
      <t c="5">
        <n x="1" s="1"/>
        <n x="2" s="1"/>
        <n x="3"/>
        <n x="58"/>
        <n x="5"/>
      </t>
    </mdx>
    <mdx n="0" f="v">
      <t c="5">
        <n x="1" s="1"/>
        <n x="2" s="1"/>
        <n x="3"/>
        <n x="59"/>
        <n x="5"/>
      </t>
    </mdx>
    <mdx n="0" f="v">
      <t c="5">
        <n x="1" s="1"/>
        <n x="2" s="1"/>
        <n x="3"/>
        <n x="60"/>
        <n x="5"/>
      </t>
    </mdx>
    <mdx n="0" f="v">
      <t c="5">
        <n x="1" s="1"/>
        <n x="2" s="1"/>
        <n x="3"/>
        <n x="61"/>
        <n x="5"/>
      </t>
    </mdx>
    <mdx n="0" f="v">
      <t c="5">
        <n x="1" s="1"/>
        <n x="2" s="1"/>
        <n x="3"/>
        <n x="62"/>
        <n x="5"/>
      </t>
    </mdx>
    <mdx n="0" f="v">
      <t c="5">
        <n x="1" s="1"/>
        <n x="2" s="1"/>
        <n x="3"/>
        <n x="63"/>
        <n x="5"/>
      </t>
    </mdx>
    <mdx n="0" f="v">
      <t c="5">
        <n x="1" s="1"/>
        <n x="2" s="1"/>
        <n x="3"/>
        <n x="64"/>
        <n x="5"/>
      </t>
    </mdx>
    <mdx n="0" f="v">
      <t c="5">
        <n x="1" s="1"/>
        <n x="2" s="1"/>
        <n x="3"/>
        <n x="65"/>
        <n x="5"/>
      </t>
    </mdx>
    <mdx n="0" f="v">
      <t c="5">
        <n x="1" s="1"/>
        <n x="2" s="1"/>
        <n x="3"/>
        <n x="66"/>
        <n x="5"/>
      </t>
    </mdx>
    <mdx n="0" f="v">
      <t c="5">
        <n x="1" s="1"/>
        <n x="2" s="1"/>
        <n x="3"/>
        <n x="67"/>
        <n x="5"/>
      </t>
    </mdx>
    <mdx n="0" f="v">
      <t c="5">
        <n x="1" s="1"/>
        <n x="2" s="1"/>
        <n x="3"/>
        <n x="68"/>
        <n x="5"/>
      </t>
    </mdx>
    <mdx n="0" f="v">
      <t c="5">
        <n x="1" s="1"/>
        <n x="2" s="1"/>
        <n x="3"/>
        <n x="69"/>
        <n x="5"/>
      </t>
    </mdx>
    <mdx n="0" f="v">
      <t c="5">
        <n x="1" s="1"/>
        <n x="2" s="1"/>
        <n x="3"/>
        <n x="70"/>
        <n x="5"/>
      </t>
    </mdx>
    <mdx n="0" f="v">
      <t c="5">
        <n x="1" s="1"/>
        <n x="2" s="1"/>
        <n x="3"/>
        <n x="71"/>
        <n x="5"/>
      </t>
    </mdx>
    <mdx n="0" f="v">
      <t c="5">
        <n x="1" s="1"/>
        <n x="2" s="1"/>
        <n x="3"/>
        <n x="72"/>
        <n x="5"/>
      </t>
    </mdx>
    <mdx n="0" f="v">
      <t c="5">
        <n x="1" s="1"/>
        <n x="2" s="1"/>
        <n x="3"/>
        <n x="73"/>
        <n x="5"/>
      </t>
    </mdx>
    <mdx n="0" f="v">
      <t c="5">
        <n x="1" s="1"/>
        <n x="2" s="1"/>
        <n x="3"/>
        <n x="74"/>
        <n x="5"/>
      </t>
    </mdx>
    <mdx n="0" f="v">
      <t c="5">
        <n x="1" s="1"/>
        <n x="2" s="1"/>
        <n x="3"/>
        <n x="75"/>
        <n x="5"/>
      </t>
    </mdx>
    <mdx n="0" f="v">
      <t c="5">
        <n x="1" s="1"/>
        <n x="2" s="1"/>
        <n x="3"/>
        <n x="76"/>
        <n x="5"/>
      </t>
    </mdx>
    <mdx n="0" f="v">
      <t c="5">
        <n x="1" s="1"/>
        <n x="2" s="1"/>
        <n x="3"/>
        <n x="77"/>
        <n x="5"/>
      </t>
    </mdx>
    <mdx n="0" f="v">
      <t c="5">
        <n x="1" s="1"/>
        <n x="2" s="1"/>
        <n x="3"/>
        <n x="78"/>
        <n x="5"/>
      </t>
    </mdx>
    <mdx n="0" f="v">
      <t c="5">
        <n x="1" s="1"/>
        <n x="2" s="1"/>
        <n x="3"/>
        <n x="79"/>
        <n x="5"/>
      </t>
    </mdx>
    <mdx n="0" f="v">
      <t c="5">
        <n x="1" s="1"/>
        <n x="2" s="1"/>
        <n x="3"/>
        <n x="80"/>
        <n x="5"/>
      </t>
    </mdx>
    <mdx n="0" f="v">
      <t c="5">
        <n x="1" s="1"/>
        <n x="2" s="1"/>
        <n x="3"/>
        <n x="81"/>
        <n x="5"/>
      </t>
    </mdx>
    <mdx n="0" f="v">
      <t c="5">
        <n x="1" s="1"/>
        <n x="2" s="1"/>
        <n x="3"/>
        <n x="82"/>
        <n x="5"/>
      </t>
    </mdx>
    <mdx n="0" f="v">
      <t c="5">
        <n x="1" s="1"/>
        <n x="2" s="1"/>
        <n x="3"/>
        <n x="83"/>
        <n x="5"/>
      </t>
    </mdx>
    <mdx n="0" f="v">
      <t c="5">
        <n x="1" s="1"/>
        <n x="2" s="1"/>
        <n x="3"/>
        <n x="84"/>
        <n x="5"/>
      </t>
    </mdx>
    <mdx n="0" f="v">
      <t c="5">
        <n x="1" s="1"/>
        <n x="2" s="1"/>
        <n x="3"/>
        <n x="85"/>
        <n x="5"/>
      </t>
    </mdx>
    <mdx n="0" f="v">
      <t c="5">
        <n x="1" s="1"/>
        <n x="2" s="1"/>
        <n x="3"/>
        <n x="86"/>
        <n x="5"/>
      </t>
    </mdx>
    <mdx n="0" f="v">
      <t c="5">
        <n x="1" s="1"/>
        <n x="2" s="1"/>
        <n x="3"/>
        <n x="87"/>
        <n x="5"/>
      </t>
    </mdx>
    <mdx n="0" f="v">
      <t c="5">
        <n x="1" s="1"/>
        <n x="2" s="1"/>
        <n x="3"/>
        <n x="88"/>
        <n x="5"/>
      </t>
    </mdx>
    <mdx n="0" f="v">
      <t c="5">
        <n x="1" s="1"/>
        <n x="2" s="1"/>
        <n x="3"/>
        <n x="89"/>
        <n x="5"/>
      </t>
    </mdx>
    <mdx n="0" f="v">
      <t c="5">
        <n x="1" s="1"/>
        <n x="2" s="1"/>
        <n x="3"/>
        <n x="90"/>
        <n x="5"/>
      </t>
    </mdx>
    <mdx n="0" f="v">
      <t c="5">
        <n x="1" s="1"/>
        <n x="2" s="1"/>
        <n x="3"/>
        <n x="91"/>
        <n x="5"/>
      </t>
    </mdx>
    <mdx n="0" f="v">
      <t c="5">
        <n x="1" s="1"/>
        <n x="2" s="1"/>
        <n x="3"/>
        <n x="92"/>
        <n x="5"/>
      </t>
    </mdx>
    <mdx n="0" f="v">
      <t c="5">
        <n x="1" s="1"/>
        <n x="2" s="1"/>
        <n x="3"/>
        <n x="93"/>
        <n x="5"/>
      </t>
    </mdx>
    <mdx n="0" f="v">
      <t c="5">
        <n x="1" s="1"/>
        <n x="2" s="1"/>
        <n x="3"/>
        <n x="94"/>
        <n x="5"/>
      </t>
    </mdx>
    <mdx n="0" f="v">
      <t c="5">
        <n x="1" s="1"/>
        <n x="2" s="1"/>
        <n x="3"/>
        <n x="95"/>
        <n x="5"/>
      </t>
    </mdx>
    <mdx n="0" f="v">
      <t c="5">
        <n x="1" s="1"/>
        <n x="2" s="1"/>
        <n x="3"/>
        <n x="96"/>
        <n x="5"/>
      </t>
    </mdx>
    <mdx n="0" f="v">
      <t c="5">
        <n x="1" s="1"/>
        <n x="2" s="1"/>
        <n x="3"/>
        <n x="97"/>
        <n x="5"/>
      </t>
    </mdx>
    <mdx n="0" f="v">
      <t c="5">
        <n x="1" s="1"/>
        <n x="2" s="1"/>
        <n x="3"/>
        <n x="98"/>
        <n x="5"/>
      </t>
    </mdx>
    <mdx n="0" f="v">
      <t c="5">
        <n x="1" s="1"/>
        <n x="2" s="1"/>
        <n x="3"/>
        <n x="99"/>
        <n x="5"/>
      </t>
    </mdx>
    <mdx n="0" f="v">
      <t c="5">
        <n x="1" s="1"/>
        <n x="2" s="1"/>
        <n x="3"/>
        <n x="100"/>
        <n x="5"/>
      </t>
    </mdx>
    <mdx n="0" f="v">
      <t c="5">
        <n x="1" s="1"/>
        <n x="2" s="1"/>
        <n x="3"/>
        <n x="101"/>
        <n x="5"/>
      </t>
    </mdx>
    <mdx n="0" f="v">
      <t c="5">
        <n x="1" s="1"/>
        <n x="2" s="1"/>
        <n x="3"/>
        <n x="102"/>
        <n x="5"/>
      </t>
    </mdx>
    <mdx n="0" f="v">
      <t c="5">
        <n x="1" s="1"/>
        <n x="2" s="1"/>
        <n x="3"/>
        <n x="103"/>
        <n x="5"/>
      </t>
    </mdx>
    <mdx n="0" f="v">
      <t c="5">
        <n x="1" s="1"/>
        <n x="2" s="1"/>
        <n x="3"/>
        <n x="104"/>
        <n x="5"/>
      </t>
    </mdx>
    <mdx n="0" f="v">
      <t c="5">
        <n x="1" s="1"/>
        <n x="2" s="1"/>
        <n x="3"/>
        <n x="105"/>
        <n x="5"/>
      </t>
    </mdx>
    <mdx n="0" f="v">
      <t c="5">
        <n x="1" s="1"/>
        <n x="2" s="1"/>
        <n x="3"/>
        <n x="106"/>
        <n x="5"/>
      </t>
    </mdx>
    <mdx n="0" f="v">
      <t c="5">
        <n x="1" s="1"/>
        <n x="2" s="1"/>
        <n x="3"/>
        <n x="107"/>
        <n x="5"/>
      </t>
    </mdx>
    <mdx n="0" f="v">
      <t c="5">
        <n x="1" s="1"/>
        <n x="2" s="1"/>
        <n x="3"/>
        <n x="108"/>
        <n x="5"/>
      </t>
    </mdx>
    <mdx n="0" f="v">
      <t c="5">
        <n x="1" s="1"/>
        <n x="2" s="1"/>
        <n x="3"/>
        <n x="109"/>
        <n x="5"/>
      </t>
    </mdx>
    <mdx n="0" f="v">
      <t c="5">
        <n x="1" s="1"/>
        <n x="2" s="1"/>
        <n x="3"/>
        <n x="110"/>
        <n x="5"/>
      </t>
    </mdx>
    <mdx n="0" f="v">
      <t c="5">
        <n x="1" s="1"/>
        <n x="2" s="1"/>
        <n x="3"/>
        <n x="111"/>
        <n x="5"/>
      </t>
    </mdx>
    <mdx n="0" f="v">
      <t c="5">
        <n x="1" s="1"/>
        <n x="2" s="1"/>
        <n x="3"/>
        <n x="112"/>
        <n x="5"/>
      </t>
    </mdx>
    <mdx n="0" f="v">
      <t c="5">
        <n x="1" s="1"/>
        <n x="2" s="1"/>
        <n x="3"/>
        <n x="113"/>
        <n x="5"/>
      </t>
    </mdx>
    <mdx n="0" f="v">
      <t c="5">
        <n x="1" s="1"/>
        <n x="2" s="1"/>
        <n x="3"/>
        <n x="114"/>
        <n x="5"/>
      </t>
    </mdx>
    <mdx n="0" f="v">
      <t c="5">
        <n x="1" s="1"/>
        <n x="2" s="1"/>
        <n x="3"/>
        <n x="115"/>
        <n x="5"/>
      </t>
    </mdx>
    <mdx n="0" f="v">
      <t c="5">
        <n x="1" s="1"/>
        <n x="2" s="1"/>
        <n x="3"/>
        <n x="116"/>
        <n x="5"/>
      </t>
    </mdx>
    <mdx n="0" f="v">
      <t c="5">
        <n x="1" s="1"/>
        <n x="2" s="1"/>
        <n x="3"/>
        <n x="117"/>
        <n x="5"/>
      </t>
    </mdx>
    <mdx n="0" f="v">
      <t c="5">
        <n x="1" s="1"/>
        <n x="2" s="1"/>
        <n x="3"/>
        <n x="118"/>
        <n x="5"/>
      </t>
    </mdx>
    <mdx n="0" f="v">
      <t c="5">
        <n x="1" s="1"/>
        <n x="2" s="1"/>
        <n x="3"/>
        <n x="119"/>
        <n x="5"/>
      </t>
    </mdx>
    <mdx n="0" f="v">
      <t c="5">
        <n x="1" s="1"/>
        <n x="2" s="1"/>
        <n x="3"/>
        <n x="120"/>
        <n x="5"/>
      </t>
    </mdx>
    <mdx n="0" f="v">
      <t c="5">
        <n x="1" s="1"/>
        <n x="2" s="1"/>
        <n x="3"/>
        <n x="121"/>
        <n x="5"/>
      </t>
    </mdx>
    <mdx n="0" f="v">
      <t c="5">
        <n x="1" s="1"/>
        <n x="2" s="1"/>
        <n x="3"/>
        <n x="122"/>
        <n x="5"/>
      </t>
    </mdx>
    <mdx n="0" f="v">
      <t c="5">
        <n x="1" s="1"/>
        <n x="2" s="1"/>
        <n x="3"/>
        <n x="123"/>
        <n x="5"/>
      </t>
    </mdx>
    <mdx n="0" f="v">
      <t c="5">
        <n x="1" s="1"/>
        <n x="2" s="1"/>
        <n x="3"/>
        <n x="124"/>
        <n x="5"/>
      </t>
    </mdx>
    <mdx n="0" f="v">
      <t c="5">
        <n x="1" s="1"/>
        <n x="2" s="1"/>
        <n x="3"/>
        <n x="125"/>
        <n x="5"/>
      </t>
    </mdx>
    <mdx n="0" f="v">
      <t c="5">
        <n x="1" s="1"/>
        <n x="2" s="1"/>
        <n x="3"/>
        <n x="126"/>
        <n x="5"/>
      </t>
    </mdx>
    <mdx n="0" f="v">
      <t c="5">
        <n x="1" s="1"/>
        <n x="2" s="1"/>
        <n x="3"/>
        <n x="127"/>
        <n x="5"/>
      </t>
    </mdx>
    <mdx n="0" f="v">
      <t c="5">
        <n x="1" s="1"/>
        <n x="2" s="1"/>
        <n x="3"/>
        <n x="128"/>
        <n x="5"/>
      </t>
    </mdx>
    <mdx n="0" f="v">
      <t c="5">
        <n x="1" s="1"/>
        <n x="2" s="1"/>
        <n x="3"/>
        <n x="129"/>
        <n x="5"/>
      </t>
    </mdx>
    <mdx n="0" f="v">
      <t c="5">
        <n x="1" s="1"/>
        <n x="2" s="1"/>
        <n x="3"/>
        <n x="130"/>
        <n x="5"/>
      </t>
    </mdx>
    <mdx n="0" f="v">
      <t c="5">
        <n x="1" s="1"/>
        <n x="2" s="1"/>
        <n x="3"/>
        <n x="131"/>
        <n x="5"/>
      </t>
    </mdx>
    <mdx n="0" f="v">
      <t c="5">
        <n x="1" s="1"/>
        <n x="2" s="1"/>
        <n x="3"/>
        <n x="132"/>
        <n x="5"/>
      </t>
    </mdx>
    <mdx n="0" f="v">
      <t c="5">
        <n x="1" s="1"/>
        <n x="2" s="1"/>
        <n x="3"/>
        <n x="133"/>
        <n x="5"/>
      </t>
    </mdx>
    <mdx n="0" f="v">
      <t c="5">
        <n x="1" s="1"/>
        <n x="2" s="1"/>
        <n x="3"/>
        <n x="134"/>
        <n x="5"/>
      </t>
    </mdx>
    <mdx n="0" f="v">
      <t c="5">
        <n x="1" s="1"/>
        <n x="2" s="1"/>
        <n x="3"/>
        <n x="135"/>
        <n x="5"/>
      </t>
    </mdx>
    <mdx n="0" f="v">
      <t c="5">
        <n x="1" s="1"/>
        <n x="2" s="1"/>
        <n x="3"/>
        <n x="136"/>
        <n x="5"/>
      </t>
    </mdx>
    <mdx n="0" f="v">
      <t c="5">
        <n x="1" s="1"/>
        <n x="2" s="1"/>
        <n x="3"/>
        <n x="137"/>
        <n x="5"/>
      </t>
    </mdx>
    <mdx n="0" f="v">
      <t c="5">
        <n x="138" s="1"/>
        <n x="2" s="1"/>
        <n x="3"/>
        <n x="137"/>
        <n x="5"/>
      </t>
    </mdx>
    <mdx n="0" f="v">
      <t c="5">
        <n x="138" s="1"/>
        <n x="2" s="1"/>
        <n x="3"/>
        <n x="34"/>
        <n x="5"/>
      </t>
    </mdx>
    <mdx n="0" f="v">
      <t c="5">
        <n x="138" s="1"/>
        <n x="2" s="1"/>
        <n x="3"/>
        <n x="103"/>
        <n x="5"/>
      </t>
    </mdx>
    <mdx n="0" f="v">
      <t c="5">
        <n x="138" s="1"/>
        <n x="2" s="1"/>
        <n x="3"/>
        <n x="35"/>
        <n x="5"/>
      </t>
    </mdx>
    <mdx n="0" f="v">
      <t c="5">
        <n x="1" s="1"/>
        <n x="2" s="1"/>
        <n x="3"/>
        <n x="139"/>
        <n x="5"/>
      </t>
    </mdx>
    <mdx n="0" f="v">
      <t c="5">
        <n x="1" s="1"/>
        <n x="2" s="1"/>
        <n x="3"/>
        <n x="140"/>
        <n x="5"/>
      </t>
    </mdx>
    <mdx n="0" f="v">
      <t c="5">
        <n x="1" s="1"/>
        <n x="2" s="1"/>
        <n x="3"/>
        <n x="141"/>
        <n x="5"/>
      </t>
    </mdx>
    <mdx n="0" f="v">
      <t c="5">
        <n x="1" s="1"/>
        <n x="2" s="1"/>
        <n x="3"/>
        <n x="142"/>
        <n x="5"/>
      </t>
    </mdx>
    <mdx n="0" f="v">
      <t c="5">
        <n x="1" s="1"/>
        <n x="2" s="1"/>
        <n x="3"/>
        <n x="143"/>
        <n x="5"/>
      </t>
    </mdx>
    <mdx n="0" f="v">
      <t c="5">
        <n x="1" s="1"/>
        <n x="2" s="1"/>
        <n x="3"/>
        <n x="144"/>
        <n x="5"/>
      </t>
    </mdx>
    <mdx n="0" f="v">
      <t c="5">
        <n x="1" s="1"/>
        <n x="2" s="1"/>
        <n x="3"/>
        <n x="145"/>
        <n x="5"/>
      </t>
    </mdx>
    <mdx n="0" f="v">
      <t c="5">
        <n x="1" s="1"/>
        <n x="2" s="1"/>
        <n x="3"/>
        <n x="146"/>
        <n x="5"/>
      </t>
    </mdx>
    <mdx n="0" f="v">
      <t c="5">
        <n x="1" s="1"/>
        <n x="2" s="1"/>
        <n x="3"/>
        <n x="147"/>
        <n x="5"/>
      </t>
    </mdx>
    <mdx n="0" f="v">
      <t c="5">
        <n x="1" s="1"/>
        <n x="2" s="1"/>
        <n x="3"/>
        <n x="148"/>
        <n x="5"/>
      </t>
    </mdx>
    <mdx n="0" f="v">
      <t c="5">
        <n x="1" s="1"/>
        <n x="2" s="1"/>
        <n x="3"/>
        <n x="149"/>
        <n x="5"/>
      </t>
    </mdx>
    <mdx n="0" f="v">
      <t c="5">
        <n x="1" s="1"/>
        <n x="2" s="1"/>
        <n x="3"/>
        <n x="150"/>
        <n x="5"/>
      </t>
    </mdx>
    <mdx n="0" f="v">
      <t c="5">
        <n x="1" s="1"/>
        <n x="2" s="1"/>
        <n x="3"/>
        <n x="151"/>
        <n x="5"/>
      </t>
    </mdx>
    <mdx n="0" f="v">
      <t c="5">
        <n x="1" s="1"/>
        <n x="2" s="1"/>
        <n x="3"/>
        <n x="152"/>
        <n x="5"/>
      </t>
    </mdx>
    <mdx n="0" f="v">
      <t c="5">
        <n x="1" s="1"/>
        <n x="2" s="1"/>
        <n x="3"/>
        <n x="153"/>
        <n x="5"/>
      </t>
    </mdx>
    <mdx n="0" f="v">
      <t c="5">
        <n x="1" s="1"/>
        <n x="2" s="1"/>
        <n x="3"/>
        <n x="154"/>
        <n x="5"/>
      </t>
    </mdx>
    <mdx n="0" f="v">
      <t c="5">
        <n x="1" s="1"/>
        <n x="2" s="1"/>
        <n x="3"/>
        <n x="155"/>
        <n x="5"/>
      </t>
    </mdx>
    <mdx n="0" f="v">
      <t c="5">
        <n x="1" s="1"/>
        <n x="2" s="1"/>
        <n x="3"/>
        <n x="156"/>
        <n x="5"/>
      </t>
    </mdx>
    <mdx n="0" f="v">
      <t c="5">
        <n x="1" s="1"/>
        <n x="2" s="1"/>
        <n x="3"/>
        <n x="158"/>
        <n x="5"/>
      </t>
    </mdx>
    <mdx n="0" f="v">
      <t c="5">
        <n x="1" s="1"/>
        <n x="2" s="1"/>
        <n x="3"/>
        <n x="159"/>
        <n x="5"/>
      </t>
    </mdx>
    <mdx n="0" f="v">
      <t c="5">
        <n x="1" s="1"/>
        <n x="2" s="1"/>
        <n x="3"/>
        <n x="160"/>
        <n x="5"/>
      </t>
    </mdx>
    <mdx n="0" f="v">
      <t c="5">
        <n x="1" s="1"/>
        <n x="2" s="1"/>
        <n x="3"/>
        <n x="161"/>
        <n x="5"/>
      </t>
    </mdx>
    <mdx n="0" f="v">
      <t c="5">
        <n x="1" s="1"/>
        <n x="2" s="1"/>
        <n x="3"/>
        <n x="162"/>
        <n x="5"/>
      </t>
    </mdx>
    <mdx n="0" f="v">
      <t c="5">
        <n x="1" s="1"/>
        <n x="2" s="1"/>
        <n x="3"/>
        <n x="163"/>
        <n x="5"/>
      </t>
    </mdx>
    <mdx n="0" f="v">
      <t c="5">
        <n x="1" s="1"/>
        <n x="2" s="1"/>
        <n x="3"/>
        <n x="164"/>
        <n x="5"/>
      </t>
    </mdx>
    <mdx n="0" f="v">
      <t c="5">
        <n x="1" s="1"/>
        <n x="2" s="1"/>
        <n x="3"/>
        <n x="165"/>
        <n x="5"/>
      </t>
    </mdx>
    <mdx n="0" f="v">
      <t c="5">
        <n x="1" s="1"/>
        <n x="2" s="1"/>
        <n x="3"/>
        <n x="166"/>
        <n x="5"/>
      </t>
    </mdx>
    <mdx n="0" f="v">
      <t c="5">
        <n x="1" s="1"/>
        <n x="2" s="1"/>
        <n x="3"/>
        <n x="167"/>
        <n x="5"/>
      </t>
    </mdx>
    <mdx n="0" f="v">
      <t c="5">
        <n x="1" s="1"/>
        <n x="2" s="1"/>
        <n x="3"/>
        <n x="168"/>
        <n x="5"/>
      </t>
    </mdx>
    <mdx n="0" f="v">
      <t c="5">
        <n x="1" s="1"/>
        <n x="2" s="1"/>
        <n x="3"/>
        <n x="169"/>
        <n x="5"/>
      </t>
    </mdx>
    <mdx n="0" f="v">
      <t c="5">
        <n x="1" s="1"/>
        <n x="2" s="1"/>
        <n x="3"/>
        <n x="170"/>
        <n x="5"/>
      </t>
    </mdx>
    <mdx n="0" f="v">
      <t c="5">
        <n x="1" s="1"/>
        <n x="2" s="1"/>
        <n x="3"/>
        <n x="171"/>
        <n x="5"/>
      </t>
    </mdx>
    <mdx n="0" f="v">
      <t c="5">
        <n x="1" s="1"/>
        <n x="2" s="1"/>
        <n x="3"/>
        <n x="172"/>
        <n x="5"/>
      </t>
    </mdx>
    <mdx n="0" f="v">
      <t c="5">
        <n x="1" s="1"/>
        <n x="2" s="1"/>
        <n x="3"/>
        <n x="173"/>
        <n x="5"/>
      </t>
    </mdx>
    <mdx n="0" f="v">
      <t c="5">
        <n x="1" s="1"/>
        <n x="2" s="1"/>
        <n x="3"/>
        <n x="157"/>
        <n x="5"/>
      </t>
    </mdx>
    <mdx n="0" f="v">
      <t c="5">
        <n x="1" s="1"/>
        <n x="2" s="1"/>
        <n x="3"/>
        <n x="174"/>
        <n x="5"/>
      </t>
    </mdx>
    <mdx n="0" f="v">
      <t c="5">
        <n x="1" s="1"/>
        <n x="2" s="1"/>
        <n x="3"/>
        <n x="175"/>
        <n x="5"/>
      </t>
    </mdx>
    <mdx n="0" f="v">
      <t c="5">
        <n x="1" s="1"/>
        <n x="2" s="1"/>
        <n x="3"/>
        <n x="176"/>
        <n x="5"/>
      </t>
    </mdx>
    <mdx n="0" f="v">
      <t c="5">
        <n x="1" s="1"/>
        <n x="2" s="1"/>
        <n x="3"/>
        <n x="177"/>
        <n x="5"/>
      </t>
    </mdx>
    <mdx n="0" f="v">
      <t c="5">
        <n x="1" s="1"/>
        <n x="2" s="1"/>
        <n x="3"/>
        <n x="178"/>
        <n x="5"/>
      </t>
    </mdx>
    <mdx n="0" f="v">
      <t c="5">
        <n x="1" s="1"/>
        <n x="2" s="1"/>
        <n x="3"/>
        <n x="179"/>
        <n x="5"/>
      </t>
    </mdx>
    <mdx n="0" f="v">
      <t c="5">
        <n x="1" s="1"/>
        <n x="2" s="1"/>
        <n x="3"/>
        <n x="180"/>
        <n x="5"/>
      </t>
    </mdx>
    <mdx n="0" f="v">
      <t c="5">
        <n x="1" s="1"/>
        <n x="2" s="1"/>
        <n x="3"/>
        <n x="181"/>
        <n x="5"/>
      </t>
    </mdx>
    <mdx n="0" f="v">
      <t c="5">
        <n x="1" s="1"/>
        <n x="2" s="1"/>
        <n x="3"/>
        <n x="182"/>
        <n x="5"/>
      </t>
    </mdx>
    <mdx n="0" f="v">
      <t c="5">
        <n x="1" s="1"/>
        <n x="2" s="1"/>
        <n x="3"/>
        <n x="183"/>
        <n x="5"/>
      </t>
    </mdx>
    <mdx n="0" f="v">
      <t c="5">
        <n x="1" s="1"/>
        <n x="2" s="1"/>
        <n x="3"/>
        <n x="184"/>
        <n x="5"/>
      </t>
    </mdx>
    <mdx n="0" f="v">
      <t c="5">
        <n x="1" s="1"/>
        <n x="2" s="1"/>
        <n x="3"/>
        <n x="185"/>
        <n x="5"/>
      </t>
    </mdx>
    <mdx n="0" f="v">
      <t c="5">
        <n x="1" s="1"/>
        <n x="2" s="1"/>
        <n x="3"/>
        <n x="186"/>
        <n x="5"/>
      </t>
    </mdx>
    <mdx n="0" f="v">
      <t c="5">
        <n x="1" s="1"/>
        <n x="2" s="1"/>
        <n x="3"/>
        <n x="187"/>
        <n x="5"/>
      </t>
    </mdx>
    <mdx n="0" f="v">
      <t c="5">
        <n x="1" s="1"/>
        <n x="2" s="1"/>
        <n x="3"/>
        <n x="188"/>
        <n x="5"/>
      </t>
    </mdx>
    <mdx n="0" f="v">
      <t c="5">
        <n x="1" s="1"/>
        <n x="2" s="1"/>
        <n x="3"/>
        <n x="189"/>
        <n x="5"/>
      </t>
    </mdx>
    <mdx n="0" f="v">
      <t c="5">
        <n x="1" s="1"/>
        <n x="2" s="1"/>
        <n x="3"/>
        <n x="190"/>
        <n x="5"/>
      </t>
    </mdx>
    <mdx n="0" f="v">
      <t c="5">
        <n x="1" s="1"/>
        <n x="2" s="1"/>
        <n x="3"/>
        <n x="191"/>
        <n x="5"/>
      </t>
    </mdx>
    <mdx n="0" f="v">
      <t c="5">
        <n x="1" s="1"/>
        <n x="2" s="1"/>
        <n x="3"/>
        <n x="192"/>
        <n x="5"/>
      </t>
    </mdx>
    <mdx n="0" f="v">
      <t c="5">
        <n x="1" s="1"/>
        <n x="2" s="1"/>
        <n x="3"/>
        <n x="193"/>
        <n x="5"/>
      </t>
    </mdx>
    <mdx n="0" f="v">
      <t c="5">
        <n x="1" s="1"/>
        <n x="2" s="1"/>
        <n x="3"/>
        <n x="194"/>
        <n x="5"/>
      </t>
    </mdx>
    <mdx n="0" f="v">
      <t c="5">
        <n x="1" s="1"/>
        <n x="2" s="1"/>
        <n x="3"/>
        <n x="195"/>
        <n x="5"/>
      </t>
    </mdx>
    <mdx n="0" f="v">
      <t c="5">
        <n x="1" s="1"/>
        <n x="2" s="1"/>
        <n x="3"/>
        <n x="196"/>
        <n x="5"/>
      </t>
    </mdx>
    <mdx n="0" f="v">
      <t c="5">
        <n x="1" s="1"/>
        <n x="2" s="1"/>
        <n x="3"/>
        <n x="197"/>
        <n x="5"/>
      </t>
    </mdx>
    <mdx n="0" f="v">
      <t c="5">
        <n x="1" s="1"/>
        <n x="2" s="1"/>
        <n x="3"/>
        <n x="198"/>
        <n x="5"/>
      </t>
    </mdx>
    <mdx n="0" f="v">
      <t c="5">
        <n x="1" s="1"/>
        <n x="2" s="1"/>
        <n x="3"/>
        <n x="199"/>
        <n x="5"/>
      </t>
    </mdx>
    <mdx n="0" f="v">
      <t c="5">
        <n x="1" s="1"/>
        <n x="2" s="1"/>
        <n x="3"/>
        <n x="200"/>
        <n x="5"/>
      </t>
    </mdx>
    <mdx n="0" f="v">
      <t c="5">
        <n x="1" s="1"/>
        <n x="2" s="1"/>
        <n x="3"/>
        <n x="201"/>
        <n x="5"/>
      </t>
    </mdx>
    <mdx n="0" f="v">
      <t c="5">
        <n x="1" s="1"/>
        <n x="2" s="1"/>
        <n x="3"/>
        <n x="202"/>
        <n x="5"/>
      </t>
    </mdx>
    <mdx n="0" f="v">
      <t c="5">
        <n x="1" s="1"/>
        <n x="2" s="1"/>
        <n x="3"/>
        <n x="203"/>
        <n x="5"/>
      </t>
    </mdx>
    <mdx n="0" f="v">
      <t c="5">
        <n x="1" s="1"/>
        <n x="2" s="1"/>
        <n x="3"/>
        <n x="204"/>
        <n x="5"/>
      </t>
    </mdx>
    <mdx n="0" f="v">
      <t c="5">
        <n x="1" s="1"/>
        <n x="2" s="1"/>
        <n x="3"/>
        <n x="205"/>
        <n x="5"/>
      </t>
    </mdx>
    <mdx n="0" f="v">
      <t c="5">
        <n x="1" s="1"/>
        <n x="2" s="1"/>
        <n x="3"/>
        <n x="206"/>
        <n x="5"/>
      </t>
    </mdx>
    <mdx n="0" f="v">
      <t c="5">
        <n x="1" s="1"/>
        <n x="2" s="1"/>
        <n x="3"/>
        <n x="207"/>
        <n x="5"/>
      </t>
    </mdx>
    <mdx n="0" f="v">
      <t c="5">
        <n x="1" s="1"/>
        <n x="2" s="1"/>
        <n x="3"/>
        <n x="208"/>
        <n x="5"/>
      </t>
    </mdx>
    <mdx n="0" f="v">
      <t c="5">
        <n x="1" s="1"/>
        <n x="2" s="1"/>
        <n x="3"/>
        <n x="209"/>
        <n x="5"/>
      </t>
    </mdx>
    <mdx n="0" f="v">
      <t c="5">
        <n x="1" s="1"/>
        <n x="2" s="1"/>
        <n x="3"/>
        <n x="210"/>
        <n x="5"/>
      </t>
    </mdx>
    <mdx n="0" f="v">
      <t c="5">
        <n x="1" s="1"/>
        <n x="2" s="1"/>
        <n x="3"/>
        <n x="211"/>
        <n x="5"/>
      </t>
    </mdx>
    <mdx n="0" f="v">
      <t c="5">
        <n x="1" s="1"/>
        <n x="2" s="1"/>
        <n x="3"/>
        <n x="212"/>
        <n x="5"/>
      </t>
    </mdx>
    <mdx n="0" f="v">
      <t c="5">
        <n x="1" s="1"/>
        <n x="2" s="1"/>
        <n x="3"/>
        <n x="213"/>
        <n x="5"/>
      </t>
    </mdx>
    <mdx n="0" f="v">
      <t c="5">
        <n x="1" s="1"/>
        <n x="2" s="1"/>
        <n x="3"/>
        <n x="214"/>
        <n x="5"/>
      </t>
    </mdx>
    <mdx n="0" f="v">
      <t c="5">
        <n x="1" s="1"/>
        <n x="2" s="1"/>
        <n x="3"/>
        <n x="215"/>
        <n x="5"/>
      </t>
    </mdx>
    <mdx n="0" f="v">
      <t c="5">
        <n x="1" s="1"/>
        <n x="2" s="1"/>
        <n x="3"/>
        <n x="216"/>
        <n x="5"/>
      </t>
    </mdx>
    <mdx n="0" f="v">
      <t c="5">
        <n x="1" s="1"/>
        <n x="2" s="1"/>
        <n x="3"/>
        <n x="217"/>
        <n x="5"/>
      </t>
    </mdx>
    <mdx n="0" f="v">
      <t c="5">
        <n x="1" s="1"/>
        <n x="2" s="1"/>
        <n x="3"/>
        <n x="218"/>
        <n x="5"/>
      </t>
    </mdx>
    <mdx n="0" f="v">
      <t c="5">
        <n x="1" s="1"/>
        <n x="2" s="1"/>
        <n x="3"/>
        <n x="219"/>
        <n x="5"/>
      </t>
    </mdx>
    <mdx n="0" f="v">
      <t c="5">
        <n x="1" s="1"/>
        <n x="2" s="1"/>
        <n x="3"/>
        <n x="220"/>
        <n x="5"/>
      </t>
    </mdx>
    <mdx n="0" f="v">
      <t c="5">
        <n x="1" s="1"/>
        <n x="2" s="1"/>
        <n x="3"/>
        <n x="221"/>
        <n x="5"/>
      </t>
    </mdx>
    <mdx n="0" f="v">
      <t c="5">
        <n x="1" s="1"/>
        <n x="2" s="1"/>
        <n x="3"/>
        <n x="222"/>
        <n x="5"/>
      </t>
    </mdx>
    <mdx n="0" f="v">
      <t c="5">
        <n x="1" s="1"/>
        <n x="2" s="1"/>
        <n x="3"/>
        <n x="223"/>
        <n x="5"/>
      </t>
    </mdx>
    <mdx n="0" f="v">
      <t c="5">
        <n x="1" s="1"/>
        <n x="2" s="1"/>
        <n x="3"/>
        <n x="224"/>
        <n x="5"/>
      </t>
    </mdx>
    <mdx n="0" f="v">
      <t c="5">
        <n x="1" s="1"/>
        <n x="2" s="1"/>
        <n x="3"/>
        <n x="225"/>
        <n x="5"/>
      </t>
    </mdx>
    <mdx n="0" f="v">
      <t c="5">
        <n x="1" s="1"/>
        <n x="2" s="1"/>
        <n x="3"/>
        <n x="226"/>
        <n x="5"/>
      </t>
    </mdx>
    <mdx n="0" f="v">
      <t c="5">
        <n x="1" s="1"/>
        <n x="2" s="1"/>
        <n x="3"/>
        <n x="227"/>
        <n x="5"/>
      </t>
    </mdx>
    <mdx n="0" f="v">
      <t c="5">
        <n x="1" s="1"/>
        <n x="2" s="1"/>
        <n x="3"/>
        <n x="228"/>
        <n x="5"/>
      </t>
    </mdx>
    <mdx n="0" f="v">
      <t c="5">
        <n x="1" s="1"/>
        <n x="2" s="1"/>
        <n x="3"/>
        <n x="229"/>
        <n x="5"/>
      </t>
    </mdx>
    <mdx n="0" f="v">
      <t c="5">
        <n x="1" s="1"/>
        <n x="2" s="1"/>
        <n x="3"/>
        <n x="230"/>
        <n x="5"/>
      </t>
    </mdx>
    <mdx n="0" f="v">
      <t c="5">
        <n x="1" s="1"/>
        <n x="2" s="1"/>
        <n x="3"/>
        <n x="231"/>
        <n x="5"/>
      </t>
    </mdx>
    <mdx n="0" f="v">
      <t c="5">
        <n x="1" s="1"/>
        <n x="2" s="1"/>
        <n x="3"/>
        <n x="232"/>
        <n x="5"/>
      </t>
    </mdx>
    <mdx n="0" f="v">
      <t c="5">
        <n x="1" s="1"/>
        <n x="2" s="1"/>
        <n x="3"/>
        <n x="233"/>
        <n x="5"/>
      </t>
    </mdx>
    <mdx n="0" f="v">
      <t c="5">
        <n x="1" s="1"/>
        <n x="2" s="1"/>
        <n x="3"/>
        <n x="234"/>
        <n x="5"/>
      </t>
    </mdx>
    <mdx n="0" f="v">
      <t c="5">
        <n x="1" s="1"/>
        <n x="2" s="1"/>
        <n x="3"/>
        <n x="235"/>
        <n x="5"/>
      </t>
    </mdx>
    <mdx n="0" f="v">
      <t c="5">
        <n x="1" s="1"/>
        <n x="2" s="1"/>
        <n x="3"/>
        <n x="236"/>
        <n x="5"/>
      </t>
    </mdx>
    <mdx n="0" f="v">
      <t c="5">
        <n x="1" s="1"/>
        <n x="2" s="1"/>
        <n x="3"/>
        <n x="237"/>
        <n x="5"/>
      </t>
    </mdx>
    <mdx n="0" f="v">
      <t c="5">
        <n x="1" s="1"/>
        <n x="2" s="1"/>
        <n x="3"/>
        <n x="238"/>
        <n x="5"/>
      </t>
    </mdx>
    <mdx n="0" f="v">
      <t c="5">
        <n x="1" s="1"/>
        <n x="2" s="1"/>
        <n x="3"/>
        <n x="239"/>
        <n x="5"/>
      </t>
    </mdx>
    <mdx n="0" f="v">
      <t c="5">
        <n x="1" s="1"/>
        <n x="2" s="1"/>
        <n x="3"/>
        <n x="240"/>
        <n x="5"/>
      </t>
    </mdx>
    <mdx n="0" f="v">
      <t c="5">
        <n x="1" s="1"/>
        <n x="2" s="1"/>
        <n x="3"/>
        <n x="241"/>
        <n x="5"/>
      </t>
    </mdx>
    <mdx n="0" f="v">
      <t c="5">
        <n x="1" s="1"/>
        <n x="2" s="1"/>
        <n x="3"/>
        <n x="242"/>
        <n x="5"/>
      </t>
    </mdx>
    <mdx n="0" f="v">
      <t c="5">
        <n x="1" s="1"/>
        <n x="2" s="1"/>
        <n x="3"/>
        <n x="243"/>
        <n x="5"/>
      </t>
    </mdx>
    <mdx n="0" f="v">
      <t c="5">
        <n x="1" s="1"/>
        <n x="2" s="1"/>
        <n x="3"/>
        <n x="244"/>
        <n x="5"/>
      </t>
    </mdx>
    <mdx n="0" f="v">
      <t c="5">
        <n x="1" s="1"/>
        <n x="2" s="1"/>
        <n x="3"/>
        <n x="245"/>
        <n x="5"/>
      </t>
    </mdx>
    <mdx n="0" f="v">
      <t c="5">
        <n x="1" s="1"/>
        <n x="2" s="1"/>
        <n x="3"/>
        <n x="246"/>
        <n x="5"/>
      </t>
    </mdx>
    <mdx n="0" f="v">
      <t c="5">
        <n x="1" s="1"/>
        <n x="2" s="1"/>
        <n x="3"/>
        <n x="247"/>
        <n x="5"/>
      </t>
    </mdx>
    <mdx n="0" f="v">
      <t c="5">
        <n x="1" s="1"/>
        <n x="2" s="1"/>
        <n x="3"/>
        <n x="248"/>
        <n x="5"/>
      </t>
    </mdx>
    <mdx n="0" f="v">
      <t c="5">
        <n x="1" s="1"/>
        <n x="2" s="1"/>
        <n x="3"/>
        <n x="249"/>
        <n x="5"/>
      </t>
    </mdx>
    <mdx n="0" f="v">
      <t c="5">
        <n x="1" s="1"/>
        <n x="2" s="1"/>
        <n x="3"/>
        <n x="250"/>
        <n x="5"/>
      </t>
    </mdx>
    <mdx n="0" f="v">
      <t c="5">
        <n x="1" s="1"/>
        <n x="2" s="1"/>
        <n x="3"/>
        <n x="251"/>
        <n x="5"/>
      </t>
    </mdx>
    <mdx n="0" f="v">
      <t c="5">
        <n x="1" s="1"/>
        <n x="2" s="1"/>
        <n x="3"/>
        <n x="252"/>
        <n x="5"/>
      </t>
    </mdx>
    <mdx n="0" f="v">
      <t c="5">
        <n x="1" s="1"/>
        <n x="2" s="1"/>
        <n x="3"/>
        <n x="253"/>
        <n x="5"/>
      </t>
    </mdx>
    <mdx n="0" f="v">
      <t c="5">
        <n x="1" s="1"/>
        <n x="2" s="1"/>
        <n x="3"/>
        <n x="254"/>
        <n x="5"/>
      </t>
    </mdx>
    <mdx n="0" f="v">
      <t c="5">
        <n x="1" s="1"/>
        <n x="2" s="1"/>
        <n x="3"/>
        <n x="255"/>
        <n x="5"/>
      </t>
    </mdx>
    <mdx n="0" f="v">
      <t c="5">
        <n x="1" s="1"/>
        <n x="2" s="1"/>
        <n x="3"/>
        <n x="256"/>
        <n x="5"/>
      </t>
    </mdx>
    <mdx n="0" f="v">
      <t c="5">
        <n x="1" s="1"/>
        <n x="2" s="1"/>
        <n x="3"/>
        <n x="257"/>
        <n x="5"/>
      </t>
    </mdx>
    <mdx n="0" f="v">
      <t c="5">
        <n x="1" s="1"/>
        <n x="2" s="1"/>
        <n x="3"/>
        <n x="258"/>
        <n x="5"/>
      </t>
    </mdx>
    <mdx n="0" f="v">
      <t c="5">
        <n x="1" s="1"/>
        <n x="2" s="1"/>
        <n x="3"/>
        <n x="259"/>
        <n x="5"/>
      </t>
    </mdx>
    <mdx n="0" f="v">
      <t c="5">
        <n x="1" s="1"/>
        <n x="2" s="1"/>
        <n x="3"/>
        <n x="260"/>
        <n x="5"/>
      </t>
    </mdx>
    <mdx n="0" f="v">
      <t c="5">
        <n x="1" s="1"/>
        <n x="2" s="1"/>
        <n x="3"/>
        <n x="261"/>
        <n x="5"/>
      </t>
    </mdx>
    <mdx n="0" f="v">
      <t c="5">
        <n x="1" s="1"/>
        <n x="2" s="1"/>
        <n x="3"/>
        <n x="262"/>
        <n x="5"/>
      </t>
    </mdx>
    <mdx n="0" f="v">
      <t c="5">
        <n x="1" s="1"/>
        <n x="2" s="1"/>
        <n x="3"/>
        <n x="263"/>
        <n x="5"/>
      </t>
    </mdx>
    <mdx n="0" f="v">
      <t c="5">
        <n x="1" s="1"/>
        <n x="2" s="1"/>
        <n x="3"/>
        <n x="264"/>
        <n x="5"/>
      </t>
    </mdx>
    <mdx n="0" f="v">
      <t c="5">
        <n x="1" s="1"/>
        <n x="2" s="1"/>
        <n x="3"/>
        <n x="265"/>
        <n x="5"/>
      </t>
    </mdx>
    <mdx n="0" f="v">
      <t c="5">
        <n x="1" s="1"/>
        <n x="2" s="1"/>
        <n x="3"/>
        <n x="266"/>
        <n x="5"/>
      </t>
    </mdx>
    <mdx n="0" f="v">
      <t c="5">
        <n x="1" s="1"/>
        <n x="2" s="1"/>
        <n x="3"/>
        <n x="267"/>
        <n x="5"/>
      </t>
    </mdx>
    <mdx n="0" f="v">
      <t c="5">
        <n x="1" s="1"/>
        <n x="2" s="1"/>
        <n x="3"/>
        <n x="268"/>
        <n x="5"/>
      </t>
    </mdx>
    <mdx n="0" f="v">
      <t c="5">
        <n x="1" s="1"/>
        <n x="2" s="1"/>
        <n x="3"/>
        <n x="269"/>
        <n x="5"/>
      </t>
    </mdx>
    <mdx n="0" f="v">
      <t c="5">
        <n x="1" s="1"/>
        <n x="2" s="1"/>
        <n x="3"/>
        <n x="270"/>
        <n x="5"/>
      </t>
    </mdx>
    <mdx n="0" f="v">
      <t c="5">
        <n x="1" s="1"/>
        <n x="2" s="1"/>
        <n x="3"/>
        <n x="271"/>
        <n x="5"/>
      </t>
    </mdx>
    <mdx n="0" f="v">
      <t c="5">
        <n x="1" s="1"/>
        <n x="2" s="1"/>
        <n x="3"/>
        <n x="272"/>
        <n x="5"/>
      </t>
    </mdx>
    <mdx n="0" f="v">
      <t c="5">
        <n x="1" s="1"/>
        <n x="2" s="1"/>
        <n x="3"/>
        <n x="273"/>
        <n x="5"/>
      </t>
    </mdx>
    <mdx n="0" f="v">
      <t c="5">
        <n x="1" s="1"/>
        <n x="2" s="1"/>
        <n x="3"/>
        <n x="274"/>
        <n x="5"/>
      </t>
    </mdx>
    <mdx n="0" f="v">
      <t c="5">
        <n x="1" s="1"/>
        <n x="2" s="1"/>
        <n x="3"/>
        <n x="275"/>
        <n x="5"/>
      </t>
    </mdx>
    <mdx n="0" f="v">
      <t c="5">
        <n x="1" s="1"/>
        <n x="2" s="1"/>
        <n x="3"/>
        <n x="276"/>
        <n x="5"/>
      </t>
    </mdx>
    <mdx n="0" f="v">
      <t c="5">
        <n x="1" s="1"/>
        <n x="2" s="1"/>
        <n x="3"/>
        <n x="277"/>
        <n x="5"/>
      </t>
    </mdx>
    <mdx n="0" f="v">
      <t c="5">
        <n x="1" s="1"/>
        <n x="2" s="1"/>
        <n x="3"/>
        <n x="278"/>
        <n x="5"/>
      </t>
    </mdx>
    <mdx n="0" f="v">
      <t c="5">
        <n x="1" s="1"/>
        <n x="2" s="1"/>
        <n x="3"/>
        <n x="279"/>
        <n x="5"/>
      </t>
    </mdx>
    <mdx n="0" f="v">
      <t c="5">
        <n x="138" s="1"/>
        <n x="2" s="1"/>
        <n x="3"/>
        <n x="205"/>
        <n x="5"/>
      </t>
    </mdx>
    <mdx n="0" f="v">
      <t c="5">
        <n x="138" s="1"/>
        <n x="2" s="1"/>
        <n x="3"/>
        <n x="235"/>
        <n x="5"/>
      </t>
    </mdx>
    <mdx n="0" f="v">
      <t c="5">
        <n x="138" s="1"/>
        <n x="2" s="1"/>
        <n x="3"/>
        <n x="264"/>
        <n x="5"/>
      </t>
    </mdx>
    <mdx n="0" f="v">
      <t c="5">
        <n x="138" s="1"/>
        <n x="2" s="1"/>
        <n x="3"/>
        <n x="247"/>
        <n x="5"/>
      </t>
    </mdx>
    <mdx n="0" f="v">
      <t c="5">
        <n x="138" s="1"/>
        <n x="2" s="1"/>
        <n x="3"/>
        <n x="213"/>
        <n x="5"/>
      </t>
    </mdx>
    <mdx n="0" f="v">
      <t c="5">
        <n x="138" s="1"/>
        <n x="2" s="1"/>
        <n x="3"/>
        <n x="248"/>
        <n x="5"/>
      </t>
    </mdx>
    <mdx n="0" f="v">
      <t c="5">
        <n x="1" s="1"/>
        <n x="2" s="1"/>
        <n x="3"/>
        <n x="280"/>
        <n x="5"/>
      </t>
    </mdx>
    <mdx n="0" f="v">
      <t c="5">
        <n x="1" s="1"/>
        <n x="2" s="1"/>
        <n x="3"/>
        <n x="281"/>
        <n x="5"/>
      </t>
    </mdx>
    <mdx n="0" f="v">
      <t c="5">
        <n x="1" s="1"/>
        <n x="2" s="1"/>
        <n x="3"/>
        <n x="282"/>
        <n x="5"/>
      </t>
    </mdx>
    <mdx n="0" f="v">
      <t c="5">
        <n x="1" s="1"/>
        <n x="2" s="1"/>
        <n x="3"/>
        <n x="283"/>
        <n x="5"/>
      </t>
    </mdx>
    <mdx n="0" f="v">
      <t c="5">
        <n x="1" s="1"/>
        <n x="2" s="1"/>
        <n x="3"/>
        <n x="284"/>
        <n x="5"/>
      </t>
    </mdx>
    <mdx n="0" f="v">
      <t c="5">
        <n x="1" s="1"/>
        <n x="2" s="1"/>
        <n x="3"/>
        <n x="285"/>
        <n x="5"/>
      </t>
    </mdx>
    <mdx n="0" f="v">
      <t c="5">
        <n x="1" s="1"/>
        <n x="2" s="1"/>
        <n x="3"/>
        <n x="286"/>
        <n x="5"/>
      </t>
    </mdx>
    <mdx n="0" f="v">
      <t c="5">
        <n x="1" s="1"/>
        <n x="2" s="1"/>
        <n x="3"/>
        <n x="287"/>
        <n x="5"/>
      </t>
    </mdx>
    <mdx n="0" f="v">
      <t c="5">
        <n x="1" s="1"/>
        <n x="2" s="1"/>
        <n x="3"/>
        <n x="288"/>
        <n x="5"/>
      </t>
    </mdx>
    <mdx n="0" f="v">
      <t c="5">
        <n x="1" s="1"/>
        <n x="2" s="1"/>
        <n x="3"/>
        <n x="289"/>
        <n x="5"/>
      </t>
    </mdx>
    <mdx n="0" f="v">
      <t c="5">
        <n x="1" s="1"/>
        <n x="2" s="1"/>
        <n x="3"/>
        <n x="290"/>
        <n x="5"/>
      </t>
    </mdx>
    <mdx n="0" f="v">
      <t c="5">
        <n x="1" s="1"/>
        <n x="2" s="1"/>
        <n x="3"/>
        <n x="291"/>
        <n x="5"/>
      </t>
    </mdx>
    <mdx n="0" f="v">
      <t c="5">
        <n x="1" s="1"/>
        <n x="2" s="1"/>
        <n x="3"/>
        <n x="292"/>
        <n x="5"/>
      </t>
    </mdx>
    <mdx n="0" f="v">
      <t c="5">
        <n x="1" s="1"/>
        <n x="2" s="1"/>
        <n x="3"/>
        <n x="293"/>
        <n x="5"/>
      </t>
    </mdx>
    <mdx n="0" f="v">
      <t c="5">
        <n x="1" s="1"/>
        <n x="2" s="1"/>
        <n x="3"/>
        <n x="294"/>
        <n x="5"/>
      </t>
    </mdx>
    <mdx n="0" f="v">
      <t c="5">
        <n x="1" s="1"/>
        <n x="2" s="1"/>
        <n x="3"/>
        <n x="295"/>
        <n x="5"/>
      </t>
    </mdx>
    <mdx n="0" f="v">
      <t c="5">
        <n x="1" s="1"/>
        <n x="2" s="1"/>
        <n x="3"/>
        <n x="296"/>
        <n x="5"/>
      </t>
    </mdx>
    <mdx n="0" f="v">
      <t c="5">
        <n x="1" s="1"/>
        <n x="2" s="1"/>
        <n x="3"/>
        <n x="297"/>
        <n x="5"/>
      </t>
    </mdx>
    <mdx n="0" f="v">
      <t c="5">
        <n x="1" s="1"/>
        <n x="2" s="1"/>
        <n x="3"/>
        <n x="298"/>
        <n x="5"/>
      </t>
    </mdx>
    <mdx n="0" f="v">
      <t c="5">
        <n x="1" s="1"/>
        <n x="2" s="1"/>
        <n x="3"/>
        <n x="299"/>
        <n x="5"/>
      </t>
    </mdx>
    <mdx n="0" f="v">
      <t c="5">
        <n x="1" s="1"/>
        <n x="2" s="1"/>
        <n x="3"/>
        <n x="300"/>
        <n x="5"/>
      </t>
    </mdx>
    <mdx n="0" f="v">
      <t c="5">
        <n x="1" s="1"/>
        <n x="2" s="1"/>
        <n x="3"/>
        <n x="301"/>
        <n x="5"/>
      </t>
    </mdx>
    <mdx n="0" f="v">
      <t c="5">
        <n x="1" s="1"/>
        <n x="2" s="1"/>
        <n x="3"/>
        <n x="302"/>
        <n x="5"/>
      </t>
    </mdx>
    <mdx n="0" f="v">
      <t c="5">
        <n x="1" s="1"/>
        <n x="2" s="1"/>
        <n x="3"/>
        <n x="303"/>
        <n x="5"/>
      </t>
    </mdx>
    <mdx n="0" f="v">
      <t c="5">
        <n x="1" s="1"/>
        <n x="2" s="1"/>
        <n x="3"/>
        <n x="304"/>
        <n x="5"/>
      </t>
    </mdx>
    <mdx n="0" f="v">
      <t c="5">
        <n x="1" s="1"/>
        <n x="2" s="1"/>
        <n x="3"/>
        <n x="305"/>
        <n x="5"/>
      </t>
    </mdx>
    <mdx n="0" f="v">
      <t c="5">
        <n x="1" s="1"/>
        <n x="2" s="1"/>
        <n x="3"/>
        <n x="306"/>
        <n x="5"/>
      </t>
    </mdx>
    <mdx n="0" f="v">
      <t c="5">
        <n x="1" s="1"/>
        <n x="2" s="1"/>
        <n x="3"/>
        <n x="307"/>
        <n x="5"/>
      </t>
    </mdx>
    <mdx n="0" f="v">
      <t c="5">
        <n x="1" s="1"/>
        <n x="2" s="1"/>
        <n x="3"/>
        <n x="308"/>
        <n x="5"/>
      </t>
    </mdx>
    <mdx n="0" f="v">
      <t c="5">
        <n x="1" s="1"/>
        <n x="2" s="1"/>
        <n x="3"/>
        <n x="309"/>
        <n x="5"/>
      </t>
    </mdx>
    <mdx n="0" f="v">
      <t c="5">
        <n x="1" s="1"/>
        <n x="2" s="1"/>
        <n x="3"/>
        <n x="310"/>
        <n x="5"/>
      </t>
    </mdx>
    <mdx n="0" f="v">
      <t c="5">
        <n x="1" s="1"/>
        <n x="2" s="1"/>
        <n x="3"/>
        <n x="311"/>
        <n x="5"/>
      </t>
    </mdx>
    <mdx n="0" f="v">
      <t c="5">
        <n x="1" s="1"/>
        <n x="2" s="1"/>
        <n x="3"/>
        <n x="313"/>
        <n x="5"/>
      </t>
    </mdx>
    <mdx n="0" f="v">
      <t c="5">
        <n x="1" s="1"/>
        <n x="2" s="1"/>
        <n x="3"/>
        <n x="314"/>
        <n x="5"/>
      </t>
    </mdx>
    <mdx n="0" f="v">
      <t c="5">
        <n x="1" s="1"/>
        <n x="2" s="1"/>
        <n x="3"/>
        <n x="315"/>
        <n x="5"/>
      </t>
    </mdx>
    <mdx n="0" f="v">
      <t c="5">
        <n x="1" s="1"/>
        <n x="2" s="1"/>
        <n x="3"/>
        <n x="316"/>
        <n x="5"/>
      </t>
    </mdx>
    <mdx n="0" f="v">
      <t c="5">
        <n x="1" s="1"/>
        <n x="2" s="1"/>
        <n x="3"/>
        <n x="317"/>
        <n x="5"/>
      </t>
    </mdx>
    <mdx n="0" f="v">
      <t c="5">
        <n x="1" s="1"/>
        <n x="2" s="1"/>
        <n x="3"/>
        <n x="318"/>
        <n x="5"/>
      </t>
    </mdx>
    <mdx n="0" f="v">
      <t c="5">
        <n x="1" s="1"/>
        <n x="2" s="1"/>
        <n x="3"/>
        <n x="319"/>
        <n x="5"/>
      </t>
    </mdx>
    <mdx n="0" f="v">
      <t c="5">
        <n x="1" s="1"/>
        <n x="2" s="1"/>
        <n x="3"/>
        <n x="320"/>
        <n x="5"/>
      </t>
    </mdx>
    <mdx n="0" f="v">
      <t c="5">
        <n x="1" s="1"/>
        <n x="2" s="1"/>
        <n x="3"/>
        <n x="321"/>
        <n x="5"/>
      </t>
    </mdx>
    <mdx n="0" f="v">
      <t c="5">
        <n x="1" s="1"/>
        <n x="2" s="1"/>
        <n x="3"/>
        <n x="322"/>
        <n x="5"/>
      </t>
    </mdx>
    <mdx n="0" f="v">
      <t c="5">
        <n x="1" s="1"/>
        <n x="2" s="1"/>
        <n x="3"/>
        <n x="323"/>
        <n x="5"/>
      </t>
    </mdx>
    <mdx n="0" f="v">
      <t c="5">
        <n x="1" s="1"/>
        <n x="2" s="1"/>
        <n x="3"/>
        <n x="324"/>
        <n x="5"/>
      </t>
    </mdx>
    <mdx n="0" f="v">
      <t c="5">
        <n x="1" s="1"/>
        <n x="2" s="1"/>
        <n x="3"/>
        <n x="325"/>
        <n x="5"/>
      </t>
    </mdx>
    <mdx n="0" f="v">
      <t c="5">
        <n x="1" s="1"/>
        <n x="2" s="1"/>
        <n x="3"/>
        <n x="326"/>
        <n x="5"/>
      </t>
    </mdx>
    <mdx n="0" f="v">
      <t c="5">
        <n x="1" s="1"/>
        <n x="2" s="1"/>
        <n x="3"/>
        <n x="327"/>
        <n x="5"/>
      </t>
    </mdx>
    <mdx n="0" f="v">
      <t c="5">
        <n x="1" s="1"/>
        <n x="2" s="1"/>
        <n x="3"/>
        <n x="328"/>
        <n x="5"/>
      </t>
    </mdx>
    <mdx n="0" f="v">
      <t c="5">
        <n x="1" s="1"/>
        <n x="2" s="1"/>
        <n x="3"/>
        <n x="329"/>
        <n x="5"/>
      </t>
    </mdx>
    <mdx n="0" f="v">
      <t c="5">
        <n x="1" s="1"/>
        <n x="2" s="1"/>
        <n x="3"/>
        <n x="330"/>
        <n x="5"/>
      </t>
    </mdx>
    <mdx n="0" f="v">
      <t c="5">
        <n x="1" s="1"/>
        <n x="2" s="1"/>
        <n x="3"/>
        <n x="331"/>
        <n x="5"/>
      </t>
    </mdx>
    <mdx n="0" f="v">
      <t c="5">
        <n x="1" s="1"/>
        <n x="2" s="1"/>
        <n x="3"/>
        <n x="332"/>
        <n x="5"/>
      </t>
    </mdx>
    <mdx n="0" f="v">
      <t c="5">
        <n x="1" s="1"/>
        <n x="2" s="1"/>
        <n x="3"/>
        <n x="333"/>
        <n x="5"/>
      </t>
    </mdx>
    <mdx n="0" f="v">
      <t c="5">
        <n x="1" s="1"/>
        <n x="2" s="1"/>
        <n x="3"/>
        <n x="334"/>
        <n x="5"/>
      </t>
    </mdx>
    <mdx n="0" f="v">
      <t c="5">
        <n x="1" s="1"/>
        <n x="2" s="1"/>
        <n x="3"/>
        <n x="335"/>
        <n x="5"/>
      </t>
    </mdx>
    <mdx n="0" f="v">
      <t c="5">
        <n x="1" s="1"/>
        <n x="2" s="1"/>
        <n x="3"/>
        <n x="336"/>
        <n x="5"/>
      </t>
    </mdx>
    <mdx n="0" f="v">
      <t c="5">
        <n x="1" s="1"/>
        <n x="2" s="1"/>
        <n x="3"/>
        <n x="312"/>
        <n x="5"/>
      </t>
    </mdx>
    <mdx n="0" f="v">
      <t c="5">
        <n x="138" s="1"/>
        <n x="2" s="1"/>
        <n x="3"/>
        <n x="329"/>
        <n x="5"/>
      </t>
    </mdx>
    <mdx n="0" f="v">
      <t c="5">
        <n x="337"/>
        <n x="338"/>
        <n x="339"/>
        <n x="340"/>
        <n x="341"/>
      </t>
    </mdx>
    <mdx n="0" f="v">
      <t c="5">
        <n x="337"/>
        <n x="338"/>
        <n x="342"/>
        <n x="340"/>
        <n x="341"/>
      </t>
    </mdx>
    <mdx n="0" f="v">
      <t c="5">
        <n x="337"/>
        <n x="338"/>
        <n x="343"/>
        <n x="340"/>
        <n x="341"/>
      </t>
    </mdx>
    <mdx n="0" f="v">
      <t c="5">
        <n x="337"/>
        <n x="338"/>
        <n x="344"/>
        <n x="345"/>
        <n x="341"/>
      </t>
    </mdx>
    <mdx n="0" f="v">
      <t c="5">
        <n x="337"/>
        <n x="338"/>
        <n x="346"/>
        <n x="345"/>
        <n x="341"/>
      </t>
    </mdx>
    <mdx n="0" f="v">
      <t c="5">
        <n x="337"/>
        <n x="338"/>
        <n x="347"/>
        <n x="345"/>
        <n x="341"/>
      </t>
    </mdx>
    <mdx n="0" f="v">
      <t c="5">
        <n x="337"/>
        <n x="338"/>
        <n x="348"/>
        <n x="340"/>
        <n x="341"/>
      </t>
    </mdx>
    <mdx n="0" f="v">
      <t c="5">
        <n x="337"/>
        <n x="338"/>
        <n x="349"/>
        <n x="340"/>
        <n x="341"/>
      </t>
    </mdx>
    <mdx n="0" f="v">
      <t c="5">
        <n x="337"/>
        <n x="338"/>
        <n x="350"/>
        <n x="345"/>
        <n x="341"/>
      </t>
    </mdx>
    <mdx n="0" f="v">
      <t c="5">
        <n x="337"/>
        <n x="338"/>
        <n x="351"/>
        <n x="345"/>
        <n x="341"/>
      </t>
    </mdx>
    <mdx n="0" f="v">
      <t c="5">
        <n x="337"/>
        <n x="338"/>
        <n x="352"/>
        <n x="340"/>
        <n x="341"/>
      </t>
    </mdx>
    <mdx n="0" f="v">
      <t c="5">
        <n x="337"/>
        <n x="338"/>
        <n x="353"/>
        <n x="340"/>
        <n x="341"/>
      </t>
    </mdx>
    <mdx n="0" f="v">
      <t c="5">
        <n x="337"/>
        <n x="338"/>
        <n x="354"/>
        <n x="345"/>
        <n x="341"/>
      </t>
    </mdx>
    <mdx n="0" f="v">
      <t c="5">
        <n x="337"/>
        <n x="338"/>
        <n x="355"/>
        <n x="345"/>
        <n x="341"/>
      </t>
    </mdx>
    <mdx n="0" f="v">
      <t c="5">
        <n x="337"/>
        <n x="338"/>
        <n x="356"/>
        <n x="340"/>
        <n x="341"/>
      </t>
    </mdx>
    <mdx n="0" f="v">
      <t c="5">
        <n x="337"/>
        <n x="338"/>
        <n x="357"/>
        <n x="340"/>
        <n x="341"/>
      </t>
    </mdx>
    <mdx n="0" f="v">
      <t c="5">
        <n x="337"/>
        <n x="338"/>
        <n x="358"/>
        <n x="345"/>
        <n x="341"/>
      </t>
    </mdx>
    <mdx n="0" f="v">
      <t c="5">
        <n x="337"/>
        <n x="338"/>
        <n x="359"/>
        <n x="340"/>
        <n x="341"/>
      </t>
    </mdx>
    <mdx n="0" f="v">
      <t c="5">
        <n x="337"/>
        <n x="338"/>
        <n x="360"/>
        <n x="340"/>
        <n x="341"/>
      </t>
    </mdx>
    <mdx n="0" f="v">
      <t c="5">
        <n x="337"/>
        <n x="338"/>
        <n x="361"/>
        <n x="340"/>
        <n x="341"/>
      </t>
    </mdx>
    <mdx n="0" f="v">
      <t c="5">
        <n x="337"/>
        <n x="338"/>
        <n x="362"/>
        <n x="340"/>
        <n x="341"/>
      </t>
    </mdx>
    <mdx n="0" f="v">
      <t c="5">
        <n x="337"/>
        <n x="338"/>
        <n x="363"/>
        <n x="340"/>
        <n x="341"/>
      </t>
    </mdx>
    <mdx n="0" f="v">
      <t c="5">
        <n x="337"/>
        <n x="338"/>
        <n x="364"/>
        <n x="340"/>
        <n x="341"/>
      </t>
    </mdx>
    <mdx n="0" f="v">
      <t c="5">
        <n x="337"/>
        <n x="338"/>
        <n x="365"/>
        <n x="345"/>
        <n x="341"/>
      </t>
    </mdx>
    <mdx n="0" f="v">
      <t c="5">
        <n x="337"/>
        <n x="338"/>
        <n x="366"/>
        <n x="345"/>
        <n x="341"/>
      </t>
    </mdx>
    <mdx n="0" f="v">
      <t c="5">
        <n x="337"/>
        <n x="338"/>
        <n x="367"/>
        <n x="345"/>
        <n x="341"/>
      </t>
    </mdx>
    <mdx n="0" f="v">
      <t c="3">
        <n x="337"/>
        <n x="338"/>
        <n x="341"/>
      </t>
    </mdx>
    <mdx n="0" f="v">
      <t c="4">
        <n x="337"/>
        <n x="338"/>
        <n x="339"/>
        <n x="341"/>
      </t>
    </mdx>
    <mdx n="0" f="v">
      <t c="4">
        <n x="337"/>
        <n x="338"/>
        <n x="342"/>
        <n x="341"/>
      </t>
    </mdx>
    <mdx n="0" f="v">
      <t c="4">
        <n x="337"/>
        <n x="338"/>
        <n x="343"/>
        <n x="341"/>
      </t>
    </mdx>
    <mdx n="0" f="v">
      <t c="4">
        <n x="337"/>
        <n x="338"/>
        <n x="344"/>
        <n x="341"/>
      </t>
    </mdx>
    <mdx n="0" f="v">
      <t c="5">
        <n x="337"/>
        <n x="338"/>
        <n x="344"/>
        <n x="368"/>
        <n x="341"/>
      </t>
    </mdx>
    <mdx n="0" f="v">
      <t c="4">
        <n x="337"/>
        <n x="338"/>
        <n x="346"/>
        <n x="341"/>
      </t>
    </mdx>
    <mdx n="0" f="v">
      <t c="5">
        <n x="337"/>
        <n x="338"/>
        <n x="346"/>
        <n x="368"/>
        <n x="341"/>
      </t>
    </mdx>
    <mdx n="0" f="v">
      <t c="4">
        <n x="337"/>
        <n x="338"/>
        <n x="347"/>
        <n x="341"/>
      </t>
    </mdx>
    <mdx n="0" f="v">
      <t c="5">
        <n x="337"/>
        <n x="338"/>
        <n x="347"/>
        <n x="368"/>
        <n x="341"/>
      </t>
    </mdx>
    <mdx n="0" f="v">
      <t c="4">
        <n x="337"/>
        <n x="338"/>
        <n x="348"/>
        <n x="341"/>
      </t>
    </mdx>
    <mdx n="0" f="v">
      <t c="4">
        <n x="337"/>
        <n x="338"/>
        <n x="349"/>
        <n x="341"/>
      </t>
    </mdx>
    <mdx n="0" f="v">
      <t c="4">
        <n x="337"/>
        <n x="338"/>
        <n x="350"/>
        <n x="341"/>
      </t>
    </mdx>
    <mdx n="0" f="v">
      <t c="5">
        <n x="337"/>
        <n x="338"/>
        <n x="350"/>
        <n x="369"/>
        <n x="341"/>
      </t>
    </mdx>
    <mdx n="0" f="v">
      <t c="5">
        <n x="337"/>
        <n x="338"/>
        <n x="350"/>
        <n x="368"/>
        <n x="341"/>
      </t>
    </mdx>
    <mdx n="0" f="v">
      <t c="4">
        <n x="337"/>
        <n x="338"/>
        <n x="351"/>
        <n x="341"/>
      </t>
    </mdx>
    <mdx n="0" f="v">
      <t c="5">
        <n x="337"/>
        <n x="338"/>
        <n x="351"/>
        <n x="369"/>
        <n x="341"/>
      </t>
    </mdx>
    <mdx n="0" f="v">
      <t c="5">
        <n x="337"/>
        <n x="338"/>
        <n x="351"/>
        <n x="368"/>
        <n x="341"/>
      </t>
    </mdx>
    <mdx n="0" f="v">
      <t c="4">
        <n x="337"/>
        <n x="338"/>
        <n x="352"/>
        <n x="341"/>
      </t>
    </mdx>
    <mdx n="0" f="v">
      <t c="4">
        <n x="337"/>
        <n x="338"/>
        <n x="353"/>
        <n x="341"/>
      </t>
    </mdx>
    <mdx n="0" f="v">
      <t c="4">
        <n x="337"/>
        <n x="338"/>
        <n x="354"/>
        <n x="341"/>
      </t>
    </mdx>
    <mdx n="0" f="v">
      <t c="5">
        <n x="337"/>
        <n x="338"/>
        <n x="354"/>
        <n x="368"/>
        <n x="341"/>
      </t>
    </mdx>
    <mdx n="0" f="v">
      <t c="4">
        <n x="337"/>
        <n x="338"/>
        <n x="355"/>
        <n x="341"/>
      </t>
    </mdx>
    <mdx n="0" f="v">
      <t c="5">
        <n x="337"/>
        <n x="338"/>
        <n x="355"/>
        <n x="368"/>
        <n x="341"/>
      </t>
    </mdx>
    <mdx n="0" f="v">
      <t c="4">
        <n x="337"/>
        <n x="338"/>
        <n x="356"/>
        <n x="341"/>
      </t>
    </mdx>
    <mdx n="0" f="v">
      <t c="4">
        <n x="337"/>
        <n x="338"/>
        <n x="357"/>
        <n x="341"/>
      </t>
    </mdx>
    <mdx n="0" f="v">
      <t c="4">
        <n x="337"/>
        <n x="338"/>
        <n x="358"/>
        <n x="341"/>
      </t>
    </mdx>
    <mdx n="0" f="v">
      <t c="5">
        <n x="337"/>
        <n x="338"/>
        <n x="358"/>
        <n x="368"/>
        <n x="341"/>
      </t>
    </mdx>
    <mdx n="0" f="v">
      <t c="4">
        <n x="337"/>
        <n x="338"/>
        <n x="359"/>
        <n x="341"/>
      </t>
    </mdx>
    <mdx n="0" f="v">
      <t c="4">
        <n x="337"/>
        <n x="338"/>
        <n x="360"/>
        <n x="341"/>
      </t>
    </mdx>
    <mdx n="0" f="v">
      <t c="4">
        <n x="337"/>
        <n x="338"/>
        <n x="361"/>
        <n x="341"/>
      </t>
    </mdx>
    <mdx n="0" f="v">
      <t c="4">
        <n x="337"/>
        <n x="338"/>
        <n x="362"/>
        <n x="341"/>
      </t>
    </mdx>
    <mdx n="0" f="v">
      <t c="4">
        <n x="337"/>
        <n x="338"/>
        <n x="363"/>
        <n x="341"/>
      </t>
    </mdx>
    <mdx n="0" f="v">
      <t c="4">
        <n x="337"/>
        <n x="338"/>
        <n x="364"/>
        <n x="341"/>
      </t>
    </mdx>
    <mdx n="0" f="v">
      <t c="4">
        <n x="337"/>
        <n x="338"/>
        <n x="365"/>
        <n x="341"/>
      </t>
    </mdx>
    <mdx n="0" f="v">
      <t c="5">
        <n x="337"/>
        <n x="338"/>
        <n x="365"/>
        <n x="369"/>
        <n x="341"/>
      </t>
    </mdx>
    <mdx n="0" f="v">
      <t c="5">
        <n x="337"/>
        <n x="338"/>
        <n x="365"/>
        <n x="368"/>
        <n x="341"/>
      </t>
    </mdx>
    <mdx n="0" f="v">
      <t c="4">
        <n x="337"/>
        <n x="338"/>
        <n x="366"/>
        <n x="341"/>
      </t>
    </mdx>
    <mdx n="0" f="v">
      <t c="5">
        <n x="337"/>
        <n x="338"/>
        <n x="366"/>
        <n x="369"/>
        <n x="341"/>
      </t>
    </mdx>
    <mdx n="0" f="v">
      <t c="5">
        <n x="337"/>
        <n x="338"/>
        <n x="366"/>
        <n x="368"/>
        <n x="341"/>
      </t>
    </mdx>
    <mdx n="0" f="v">
      <t c="4">
        <n x="337"/>
        <n x="338"/>
        <n x="367"/>
        <n x="341"/>
      </t>
    </mdx>
    <mdx n="0" f="v">
      <t c="5">
        <n x="337"/>
        <n x="338"/>
        <n x="367"/>
        <n x="369"/>
        <n x="341"/>
      </t>
    </mdx>
    <mdx n="0" f="v">
      <t c="5">
        <n x="337"/>
        <n x="338"/>
        <n x="367"/>
        <n x="368"/>
        <n x="341"/>
      </t>
    </mdx>
    <mdx n="0" f="v">
      <t c="5">
        <n x="337"/>
        <n x="370"/>
        <n x="339"/>
        <n x="340"/>
        <n x="341"/>
      </t>
    </mdx>
    <mdx n="0" f="v">
      <t c="5">
        <n x="337"/>
        <n x="370"/>
        <n x="342"/>
        <n x="340"/>
        <n x="341"/>
      </t>
    </mdx>
    <mdx n="0" f="v">
      <t c="5">
        <n x="337"/>
        <n x="370"/>
        <n x="343"/>
        <n x="340"/>
        <n x="341"/>
      </t>
    </mdx>
    <mdx n="0" f="v">
      <t c="5">
        <n x="337"/>
        <n x="370"/>
        <n x="344"/>
        <n x="345"/>
        <n x="341"/>
      </t>
    </mdx>
    <mdx n="0" f="v">
      <t c="5">
        <n x="337"/>
        <n x="370"/>
        <n x="346"/>
        <n x="345"/>
        <n x="341"/>
      </t>
    </mdx>
    <mdx n="0" f="v">
      <t c="5">
        <n x="337"/>
        <n x="370"/>
        <n x="347"/>
        <n x="345"/>
        <n x="341"/>
      </t>
    </mdx>
    <mdx n="0" f="v">
      <t c="5">
        <n x="337"/>
        <n x="370"/>
        <n x="348"/>
        <n x="340"/>
        <n x="341"/>
      </t>
    </mdx>
    <mdx n="0" f="v">
      <t c="5">
        <n x="337"/>
        <n x="370"/>
        <n x="349"/>
        <n x="340"/>
        <n x="341"/>
      </t>
    </mdx>
    <mdx n="0" f="v">
      <t c="5">
        <n x="337"/>
        <n x="370"/>
        <n x="350"/>
        <n x="345"/>
        <n x="341"/>
      </t>
    </mdx>
    <mdx n="0" f="v">
      <t c="5">
        <n x="337"/>
        <n x="370"/>
        <n x="351"/>
        <n x="345"/>
        <n x="341"/>
      </t>
    </mdx>
    <mdx n="0" f="v">
      <t c="5">
        <n x="337"/>
        <n x="370"/>
        <n x="352"/>
        <n x="340"/>
        <n x="341"/>
      </t>
    </mdx>
    <mdx n="0" f="v">
      <t c="5">
        <n x="337"/>
        <n x="370"/>
        <n x="353"/>
        <n x="340"/>
        <n x="341"/>
      </t>
    </mdx>
    <mdx n="0" f="v">
      <t c="5">
        <n x="337"/>
        <n x="370"/>
        <n x="354"/>
        <n x="345"/>
        <n x="341"/>
      </t>
    </mdx>
    <mdx n="0" f="v">
      <t c="5">
        <n x="337"/>
        <n x="370"/>
        <n x="355"/>
        <n x="345"/>
        <n x="341"/>
      </t>
    </mdx>
    <mdx n="0" f="v">
      <t c="5">
        <n x="337"/>
        <n x="370"/>
        <n x="356"/>
        <n x="340"/>
        <n x="341"/>
      </t>
    </mdx>
    <mdx n="0" f="v">
      <t c="5">
        <n x="337"/>
        <n x="370"/>
        <n x="357"/>
        <n x="340"/>
        <n x="341"/>
      </t>
    </mdx>
    <mdx n="0" f="v">
      <t c="5">
        <n x="337"/>
        <n x="370"/>
        <n x="358"/>
        <n x="345"/>
        <n x="341"/>
      </t>
    </mdx>
    <mdx n="0" f="v">
      <t c="5">
        <n x="337"/>
        <n x="370"/>
        <n x="359"/>
        <n x="340"/>
        <n x="341"/>
      </t>
    </mdx>
    <mdx n="0" f="v">
      <t c="5">
        <n x="337"/>
        <n x="370"/>
        <n x="360"/>
        <n x="340"/>
        <n x="341"/>
      </t>
    </mdx>
    <mdx n="0" f="v">
      <t c="5">
        <n x="337"/>
        <n x="370"/>
        <n x="361"/>
        <n x="340"/>
        <n x="341"/>
      </t>
    </mdx>
    <mdx n="0" f="v">
      <t c="5">
        <n x="337"/>
        <n x="370"/>
        <n x="362"/>
        <n x="340"/>
        <n x="341"/>
      </t>
    </mdx>
    <mdx n="0" f="v">
      <t c="5">
        <n x="337"/>
        <n x="370"/>
        <n x="363"/>
        <n x="340"/>
        <n x="341"/>
      </t>
    </mdx>
    <mdx n="0" f="v">
      <t c="5">
        <n x="337"/>
        <n x="370"/>
        <n x="364"/>
        <n x="340"/>
        <n x="341"/>
      </t>
    </mdx>
    <mdx n="0" f="v">
      <t c="5">
        <n x="337"/>
        <n x="370"/>
        <n x="365"/>
        <n x="345"/>
        <n x="341"/>
      </t>
    </mdx>
    <mdx n="0" f="v">
      <t c="5">
        <n x="337"/>
        <n x="370"/>
        <n x="366"/>
        <n x="345"/>
        <n x="341"/>
      </t>
    </mdx>
    <mdx n="0" f="v">
      <t c="5">
        <n x="337"/>
        <n x="370"/>
        <n x="367"/>
        <n x="345"/>
        <n x="341"/>
      </t>
    </mdx>
    <mdx n="0" f="v">
      <t c="3">
        <n x="337"/>
        <n x="370"/>
        <n x="341"/>
      </t>
    </mdx>
    <mdx n="0" f="v">
      <t c="4">
        <n x="337"/>
        <n x="370"/>
        <n x="339"/>
        <n x="341"/>
      </t>
    </mdx>
    <mdx n="0" f="v">
      <t c="4">
        <n x="337"/>
        <n x="370"/>
        <n x="342"/>
        <n x="341"/>
      </t>
    </mdx>
    <mdx n="0" f="v">
      <t c="4">
        <n x="337"/>
        <n x="370"/>
        <n x="343"/>
        <n x="341"/>
      </t>
    </mdx>
    <mdx n="0" f="v">
      <t c="4">
        <n x="337"/>
        <n x="370"/>
        <n x="344"/>
        <n x="341"/>
      </t>
    </mdx>
    <mdx n="0" f="v">
      <t c="5">
        <n x="337"/>
        <n x="370"/>
        <n x="344"/>
        <n x="368"/>
        <n x="341"/>
      </t>
    </mdx>
    <mdx n="0" f="v">
      <t c="4">
        <n x="337"/>
        <n x="370"/>
        <n x="346"/>
        <n x="341"/>
      </t>
    </mdx>
    <mdx n="0" f="v">
      <t c="5">
        <n x="337"/>
        <n x="370"/>
        <n x="346"/>
        <n x="368"/>
        <n x="341"/>
      </t>
    </mdx>
    <mdx n="0" f="v">
      <t c="4">
        <n x="337"/>
        <n x="370"/>
        <n x="347"/>
        <n x="341"/>
      </t>
    </mdx>
    <mdx n="0" f="v">
      <t c="5">
        <n x="337"/>
        <n x="370"/>
        <n x="347"/>
        <n x="368"/>
        <n x="341"/>
      </t>
    </mdx>
    <mdx n="0" f="v">
      <t c="4">
        <n x="337"/>
        <n x="370"/>
        <n x="348"/>
        <n x="341"/>
      </t>
    </mdx>
    <mdx n="0" f="v">
      <t c="4">
        <n x="337"/>
        <n x="370"/>
        <n x="349"/>
        <n x="341"/>
      </t>
    </mdx>
    <mdx n="0" f="v">
      <t c="4">
        <n x="337"/>
        <n x="370"/>
        <n x="350"/>
        <n x="341"/>
      </t>
    </mdx>
    <mdx n="0" f="v">
      <t c="5">
        <n x="337"/>
        <n x="370"/>
        <n x="350"/>
        <n x="369"/>
        <n x="341"/>
      </t>
    </mdx>
    <mdx n="0" f="v">
      <t c="5">
        <n x="337"/>
        <n x="370"/>
        <n x="350"/>
        <n x="368"/>
        <n x="341"/>
      </t>
    </mdx>
    <mdx n="0" f="v">
      <t c="4">
        <n x="337"/>
        <n x="370"/>
        <n x="351"/>
        <n x="341"/>
      </t>
    </mdx>
    <mdx n="0" f="v">
      <t c="5">
        <n x="337"/>
        <n x="370"/>
        <n x="351"/>
        <n x="369"/>
        <n x="341"/>
      </t>
    </mdx>
    <mdx n="0" f="v">
      <t c="5">
        <n x="337"/>
        <n x="370"/>
        <n x="351"/>
        <n x="368"/>
        <n x="341"/>
      </t>
    </mdx>
    <mdx n="0" f="v">
      <t c="4">
        <n x="337"/>
        <n x="370"/>
        <n x="352"/>
        <n x="341"/>
      </t>
    </mdx>
    <mdx n="0" f="v">
      <t c="4">
        <n x="337"/>
        <n x="370"/>
        <n x="353"/>
        <n x="341"/>
      </t>
    </mdx>
    <mdx n="0" f="v">
      <t c="4">
        <n x="337"/>
        <n x="370"/>
        <n x="354"/>
        <n x="341"/>
      </t>
    </mdx>
    <mdx n="0" f="v">
      <t c="5">
        <n x="337"/>
        <n x="370"/>
        <n x="354"/>
        <n x="368"/>
        <n x="341"/>
      </t>
    </mdx>
    <mdx n="0" f="v">
      <t c="4">
        <n x="337"/>
        <n x="370"/>
        <n x="355"/>
        <n x="341"/>
      </t>
    </mdx>
    <mdx n="0" f="v">
      <t c="5">
        <n x="337"/>
        <n x="370"/>
        <n x="355"/>
        <n x="368"/>
        <n x="341"/>
      </t>
    </mdx>
    <mdx n="0" f="v">
      <t c="4">
        <n x="337"/>
        <n x="370"/>
        <n x="356"/>
        <n x="341"/>
      </t>
    </mdx>
    <mdx n="0" f="v">
      <t c="4">
        <n x="337"/>
        <n x="370"/>
        <n x="357"/>
        <n x="341"/>
      </t>
    </mdx>
    <mdx n="0" f="v">
      <t c="4">
        <n x="337"/>
        <n x="370"/>
        <n x="358"/>
        <n x="341"/>
      </t>
    </mdx>
    <mdx n="0" f="v">
      <t c="5">
        <n x="337"/>
        <n x="370"/>
        <n x="358"/>
        <n x="368"/>
        <n x="341"/>
      </t>
    </mdx>
    <mdx n="0" f="v">
      <t c="4">
        <n x="337"/>
        <n x="370"/>
        <n x="359"/>
        <n x="341"/>
      </t>
    </mdx>
    <mdx n="0" f="v">
      <t c="4">
        <n x="337"/>
        <n x="370"/>
        <n x="360"/>
        <n x="341"/>
      </t>
    </mdx>
    <mdx n="0" f="v">
      <t c="4">
        <n x="337"/>
        <n x="370"/>
        <n x="361"/>
        <n x="341"/>
      </t>
    </mdx>
    <mdx n="0" f="v">
      <t c="4">
        <n x="337"/>
        <n x="370"/>
        <n x="362"/>
        <n x="341"/>
      </t>
    </mdx>
    <mdx n="0" f="v">
      <t c="4">
        <n x="337"/>
        <n x="370"/>
        <n x="363"/>
        <n x="341"/>
      </t>
    </mdx>
    <mdx n="0" f="v">
      <t c="4">
        <n x="337"/>
        <n x="370"/>
        <n x="364"/>
        <n x="341"/>
      </t>
    </mdx>
    <mdx n="0" f="v">
      <t c="4">
        <n x="337"/>
        <n x="370"/>
        <n x="365"/>
        <n x="341"/>
      </t>
    </mdx>
    <mdx n="0" f="v">
      <t c="5">
        <n x="337"/>
        <n x="370"/>
        <n x="365"/>
        <n x="369"/>
        <n x="341"/>
      </t>
    </mdx>
    <mdx n="0" f="v">
      <t c="5">
        <n x="337"/>
        <n x="370"/>
        <n x="365"/>
        <n x="368"/>
        <n x="341"/>
      </t>
    </mdx>
    <mdx n="0" f="v">
      <t c="4">
        <n x="337"/>
        <n x="370"/>
        <n x="366"/>
        <n x="341"/>
      </t>
    </mdx>
    <mdx n="0" f="v">
      <t c="5">
        <n x="337"/>
        <n x="370"/>
        <n x="366"/>
        <n x="369"/>
        <n x="341"/>
      </t>
    </mdx>
    <mdx n="0" f="v">
      <t c="5">
        <n x="337"/>
        <n x="370"/>
        <n x="366"/>
        <n x="368"/>
        <n x="341"/>
      </t>
    </mdx>
    <mdx n="0" f="v">
      <t c="4">
        <n x="337"/>
        <n x="370"/>
        <n x="367"/>
        <n x="341"/>
      </t>
    </mdx>
    <mdx n="0" f="v">
      <t c="5">
        <n x="337"/>
        <n x="370"/>
        <n x="367"/>
        <n x="369"/>
        <n x="341"/>
      </t>
    </mdx>
    <mdx n="0" f="v">
      <t c="5">
        <n x="337"/>
        <n x="370"/>
        <n x="367"/>
        <n x="368"/>
        <n x="341"/>
      </t>
    </mdx>
    <mdx n="0" f="v">
      <t c="3">
        <n x="337"/>
        <n x="371"/>
        <n x="341"/>
      </t>
    </mdx>
    <mdx n="0" f="v">
      <t c="4">
        <n x="337"/>
        <n x="371"/>
        <n x="339"/>
        <n x="341"/>
      </t>
    </mdx>
    <mdx n="0" f="v">
      <t c="4">
        <n x="337"/>
        <n x="371"/>
        <n x="342"/>
        <n x="341"/>
      </t>
    </mdx>
    <mdx n="0" f="v">
      <t c="4">
        <n x="337"/>
        <n x="371"/>
        <n x="343"/>
        <n x="341"/>
      </t>
    </mdx>
    <mdx n="0" f="v">
      <t c="4">
        <n x="337"/>
        <n x="371"/>
        <n x="344"/>
        <n x="341"/>
      </t>
    </mdx>
    <mdx n="0" f="v">
      <t c="5">
        <n x="337"/>
        <n x="371"/>
        <n x="344"/>
        <n x="368"/>
        <n x="341"/>
      </t>
    </mdx>
    <mdx n="0" f="v">
      <t c="4">
        <n x="337"/>
        <n x="371"/>
        <n x="346"/>
        <n x="341"/>
      </t>
    </mdx>
    <mdx n="0" f="v">
      <t c="5">
        <n x="337"/>
        <n x="371"/>
        <n x="346"/>
        <n x="368"/>
        <n x="341"/>
      </t>
    </mdx>
    <mdx n="0" f="v">
      <t c="4">
        <n x="337"/>
        <n x="371"/>
        <n x="347"/>
        <n x="341"/>
      </t>
    </mdx>
    <mdx n="0" f="v">
      <t c="5">
        <n x="337"/>
        <n x="371"/>
        <n x="347"/>
        <n x="368"/>
        <n x="341"/>
      </t>
    </mdx>
    <mdx n="0" f="v">
      <t c="4">
        <n x="337"/>
        <n x="371"/>
        <n x="348"/>
        <n x="341"/>
      </t>
    </mdx>
    <mdx n="0" f="v">
      <t c="4">
        <n x="337"/>
        <n x="371"/>
        <n x="349"/>
        <n x="341"/>
      </t>
    </mdx>
    <mdx n="0" f="v">
      <t c="4">
        <n x="337"/>
        <n x="371"/>
        <n x="350"/>
        <n x="341"/>
      </t>
    </mdx>
    <mdx n="0" f="v">
      <t c="5">
        <n x="337"/>
        <n x="371"/>
        <n x="350"/>
        <n x="369"/>
        <n x="341"/>
      </t>
    </mdx>
    <mdx n="0" f="v">
      <t c="5">
        <n x="337"/>
        <n x="371"/>
        <n x="350"/>
        <n x="368"/>
        <n x="341"/>
      </t>
    </mdx>
    <mdx n="0" f="v">
      <t c="4">
        <n x="337"/>
        <n x="371"/>
        <n x="351"/>
        <n x="341"/>
      </t>
    </mdx>
    <mdx n="0" f="v">
      <t c="5">
        <n x="337"/>
        <n x="371"/>
        <n x="351"/>
        <n x="369"/>
        <n x="341"/>
      </t>
    </mdx>
    <mdx n="0" f="v">
      <t c="5">
        <n x="337"/>
        <n x="371"/>
        <n x="351"/>
        <n x="368"/>
        <n x="341"/>
      </t>
    </mdx>
    <mdx n="0" f="v">
      <t c="4">
        <n x="337"/>
        <n x="371"/>
        <n x="352"/>
        <n x="341"/>
      </t>
    </mdx>
    <mdx n="0" f="v">
      <t c="4">
        <n x="337"/>
        <n x="371"/>
        <n x="353"/>
        <n x="341"/>
      </t>
    </mdx>
    <mdx n="0" f="v">
      <t c="4">
        <n x="337"/>
        <n x="371"/>
        <n x="354"/>
        <n x="341"/>
      </t>
    </mdx>
    <mdx n="0" f="v">
      <t c="5">
        <n x="337"/>
        <n x="371"/>
        <n x="354"/>
        <n x="368"/>
        <n x="341"/>
      </t>
    </mdx>
    <mdx n="0" f="v">
      <t c="4">
        <n x="337"/>
        <n x="371"/>
        <n x="355"/>
        <n x="341"/>
      </t>
    </mdx>
    <mdx n="0" f="v">
      <t c="5">
        <n x="337"/>
        <n x="371"/>
        <n x="355"/>
        <n x="368"/>
        <n x="341"/>
      </t>
    </mdx>
    <mdx n="0" f="v">
      <t c="4">
        <n x="337"/>
        <n x="371"/>
        <n x="356"/>
        <n x="341"/>
      </t>
    </mdx>
    <mdx n="0" f="v">
      <t c="4">
        <n x="337"/>
        <n x="371"/>
        <n x="357"/>
        <n x="341"/>
      </t>
    </mdx>
    <mdx n="0" f="v">
      <t c="4">
        <n x="337"/>
        <n x="371"/>
        <n x="358"/>
        <n x="341"/>
      </t>
    </mdx>
    <mdx n="0" f="v">
      <t c="5">
        <n x="337"/>
        <n x="371"/>
        <n x="358"/>
        <n x="368"/>
        <n x="341"/>
      </t>
    </mdx>
    <mdx n="0" f="v">
      <t c="4">
        <n x="337"/>
        <n x="371"/>
        <n x="359"/>
        <n x="341"/>
      </t>
    </mdx>
    <mdx n="0" f="v">
      <t c="4">
        <n x="337"/>
        <n x="371"/>
        <n x="360"/>
        <n x="341"/>
      </t>
    </mdx>
    <mdx n="0" f="v">
      <t c="4">
        <n x="337"/>
        <n x="371"/>
        <n x="361"/>
        <n x="341"/>
      </t>
    </mdx>
    <mdx n="0" f="v">
      <t c="4">
        <n x="337"/>
        <n x="371"/>
        <n x="362"/>
        <n x="341"/>
      </t>
    </mdx>
    <mdx n="0" f="v">
      <t c="4">
        <n x="337"/>
        <n x="371"/>
        <n x="363"/>
        <n x="341"/>
      </t>
    </mdx>
    <mdx n="0" f="v">
      <t c="4">
        <n x="337"/>
        <n x="371"/>
        <n x="364"/>
        <n x="341"/>
      </t>
    </mdx>
    <mdx n="0" f="v">
      <t c="4">
        <n x="337"/>
        <n x="371"/>
        <n x="365"/>
        <n x="341"/>
      </t>
    </mdx>
    <mdx n="0" f="v">
      <t c="5">
        <n x="337"/>
        <n x="371"/>
        <n x="365"/>
        <n x="369"/>
        <n x="341"/>
      </t>
    </mdx>
    <mdx n="0" f="v">
      <t c="5">
        <n x="337"/>
        <n x="371"/>
        <n x="365"/>
        <n x="368"/>
        <n x="341"/>
      </t>
    </mdx>
    <mdx n="0" f="v">
      <t c="4">
        <n x="337"/>
        <n x="371"/>
        <n x="366"/>
        <n x="341"/>
      </t>
    </mdx>
    <mdx n="0" f="v">
      <t c="5">
        <n x="337"/>
        <n x="371"/>
        <n x="366"/>
        <n x="369"/>
        <n x="341"/>
      </t>
    </mdx>
    <mdx n="0" f="v">
      <t c="5">
        <n x="337"/>
        <n x="371"/>
        <n x="366"/>
        <n x="368"/>
        <n x="341"/>
      </t>
    </mdx>
    <mdx n="0" f="v">
      <t c="4">
        <n x="337"/>
        <n x="371"/>
        <n x="367"/>
        <n x="341"/>
      </t>
    </mdx>
    <mdx n="0" f="v">
      <t c="5">
        <n x="337"/>
        <n x="371"/>
        <n x="367"/>
        <n x="369"/>
        <n x="341"/>
      </t>
    </mdx>
    <mdx n="0" f="v">
      <t c="5">
        <n x="337"/>
        <n x="371"/>
        <n x="367"/>
        <n x="368"/>
        <n x="341"/>
      </t>
    </mdx>
    <mdx n="0" f="v">
      <t c="5">
        <n x="337"/>
        <n x="371"/>
        <n x="339"/>
        <n x="340"/>
        <n x="341"/>
      </t>
    </mdx>
    <mdx n="0" f="v">
      <t c="5">
        <n x="337"/>
        <n x="371"/>
        <n x="342"/>
        <n x="340"/>
        <n x="341"/>
      </t>
    </mdx>
    <mdx n="0" f="v">
      <t c="5">
        <n x="337"/>
        <n x="371"/>
        <n x="343"/>
        <n x="340"/>
        <n x="341"/>
      </t>
    </mdx>
    <mdx n="0" f="v">
      <t c="5">
        <n x="337"/>
        <n x="371"/>
        <n x="344"/>
        <n x="345"/>
        <n x="341"/>
      </t>
    </mdx>
    <mdx n="0" f="v">
      <t c="5">
        <n x="337"/>
        <n x="371"/>
        <n x="346"/>
        <n x="345"/>
        <n x="341"/>
      </t>
    </mdx>
    <mdx n="0" f="v">
      <t c="5">
        <n x="337"/>
        <n x="371"/>
        <n x="347"/>
        <n x="345"/>
        <n x="341"/>
      </t>
    </mdx>
    <mdx n="0" f="v">
      <t c="5">
        <n x="337"/>
        <n x="371"/>
        <n x="348"/>
        <n x="340"/>
        <n x="341"/>
      </t>
    </mdx>
    <mdx n="0" f="v">
      <t c="5">
        <n x="337"/>
        <n x="371"/>
        <n x="349"/>
        <n x="340"/>
        <n x="341"/>
      </t>
    </mdx>
    <mdx n="0" f="v">
      <t c="5">
        <n x="337"/>
        <n x="371"/>
        <n x="350"/>
        <n x="345"/>
        <n x="341"/>
      </t>
    </mdx>
    <mdx n="0" f="v">
      <t c="5">
        <n x="337"/>
        <n x="371"/>
        <n x="351"/>
        <n x="345"/>
        <n x="341"/>
      </t>
    </mdx>
    <mdx n="0" f="v">
      <t c="5">
        <n x="337"/>
        <n x="371"/>
        <n x="352"/>
        <n x="340"/>
        <n x="341"/>
      </t>
    </mdx>
    <mdx n="0" f="v">
      <t c="5">
        <n x="337"/>
        <n x="371"/>
        <n x="353"/>
        <n x="340"/>
        <n x="341"/>
      </t>
    </mdx>
    <mdx n="0" f="v">
      <t c="5">
        <n x="337"/>
        <n x="371"/>
        <n x="354"/>
        <n x="345"/>
        <n x="341"/>
      </t>
    </mdx>
    <mdx n="0" f="v">
      <t c="5">
        <n x="337"/>
        <n x="371"/>
        <n x="355"/>
        <n x="345"/>
        <n x="341"/>
      </t>
    </mdx>
    <mdx n="0" f="v">
      <t c="5">
        <n x="337"/>
        <n x="371"/>
        <n x="356"/>
        <n x="340"/>
        <n x="341"/>
      </t>
    </mdx>
    <mdx n="0" f="v">
      <t c="5">
        <n x="337"/>
        <n x="371"/>
        <n x="357"/>
        <n x="340"/>
        <n x="341"/>
      </t>
    </mdx>
    <mdx n="0" f="v">
      <t c="5">
        <n x="337"/>
        <n x="371"/>
        <n x="358"/>
        <n x="345"/>
        <n x="341"/>
      </t>
    </mdx>
    <mdx n="0" f="v">
      <t c="5">
        <n x="337"/>
        <n x="371"/>
        <n x="359"/>
        <n x="340"/>
        <n x="341"/>
      </t>
    </mdx>
    <mdx n="0" f="v">
      <t c="5">
        <n x="337"/>
        <n x="371"/>
        <n x="360"/>
        <n x="340"/>
        <n x="341"/>
      </t>
    </mdx>
    <mdx n="0" f="v">
      <t c="5">
        <n x="337"/>
        <n x="371"/>
        <n x="361"/>
        <n x="340"/>
        <n x="341"/>
      </t>
    </mdx>
    <mdx n="0" f="v">
      <t c="5">
        <n x="337"/>
        <n x="371"/>
        <n x="362"/>
        <n x="340"/>
        <n x="341"/>
      </t>
    </mdx>
    <mdx n="0" f="v">
      <t c="5">
        <n x="337"/>
        <n x="371"/>
        <n x="363"/>
        <n x="340"/>
        <n x="341"/>
      </t>
    </mdx>
    <mdx n="0" f="v">
      <t c="5">
        <n x="337"/>
        <n x="371"/>
        <n x="364"/>
        <n x="340"/>
        <n x="341"/>
      </t>
    </mdx>
    <mdx n="0" f="v">
      <t c="5">
        <n x="337"/>
        <n x="371"/>
        <n x="365"/>
        <n x="345"/>
        <n x="341"/>
      </t>
    </mdx>
    <mdx n="0" f="v">
      <t c="5">
        <n x="337"/>
        <n x="371"/>
        <n x="366"/>
        <n x="345"/>
        <n x="341"/>
      </t>
    </mdx>
    <mdx n="0" f="v">
      <t c="5">
        <n x="337"/>
        <n x="371"/>
        <n x="367"/>
        <n x="345"/>
        <n x="341"/>
      </t>
    </mdx>
    <mdx n="0" f="v">
      <t c="5">
        <n x="138" s="1"/>
        <n x="2" s="1"/>
        <n x="3"/>
        <n x="232"/>
        <n x="5"/>
      </t>
    </mdx>
    <mdx n="0" f="v">
      <t c="5">
        <n x="138" s="1"/>
        <n x="2" s="1"/>
        <n x="3"/>
        <n x="169"/>
        <n x="5"/>
      </t>
    </mdx>
    <mdx n="0" f="v">
      <t c="5">
        <n x="138" s="1"/>
        <n x="2" s="1"/>
        <n x="3"/>
        <n x="173"/>
        <n x="5"/>
      </t>
    </mdx>
    <mdx n="0" f="v">
      <t c="5">
        <n x="138" s="1"/>
        <n x="2" s="1"/>
        <n x="3"/>
        <n x="8"/>
        <n x="5"/>
      </t>
    </mdx>
    <mdx n="0" f="v">
      <t c="5">
        <n x="138" s="1"/>
        <n x="2" s="1"/>
        <n x="3"/>
        <n x="191"/>
        <n x="5"/>
      </t>
    </mdx>
    <mdx n="0" f="v">
      <t c="5">
        <n x="138" s="1"/>
        <n x="2" s="1"/>
        <n x="3"/>
        <n x="193"/>
        <n x="5"/>
      </t>
    </mdx>
    <mdx n="0" f="v">
      <t c="5">
        <n x="138" s="1"/>
        <n x="2" s="1"/>
        <n x="3"/>
        <n x="190"/>
        <n x="5"/>
      </t>
    </mdx>
    <mdx n="372" f="v">
      <t c="4">
        <n x="373"/>
        <n x="374"/>
        <n x="375"/>
        <n x="376"/>
      </t>
    </mdx>
    <mdx n="372" f="v">
      <t c="4">
        <n x="373"/>
        <n x="374"/>
        <n x="377"/>
        <n x="376"/>
      </t>
    </mdx>
    <mdx n="372" f="v">
      <t c="4">
        <n x="373"/>
        <n x="374"/>
        <n x="378"/>
        <n x="376"/>
      </t>
    </mdx>
    <mdx n="372" f="v">
      <t c="4">
        <n x="373"/>
        <n x="374"/>
        <n x="379"/>
        <n x="376"/>
      </t>
    </mdx>
    <mdx n="372" f="v">
      <t c="4">
        <n x="373"/>
        <n x="374"/>
        <n x="380"/>
        <n x="376"/>
      </t>
    </mdx>
    <mdx n="372" f="v">
      <t c="4">
        <n x="373"/>
        <n x="374"/>
        <n x="381"/>
        <n x="376"/>
      </t>
    </mdx>
    <mdx n="372" f="v">
      <t c="4">
        <n x="373"/>
        <n x="374"/>
        <n x="382"/>
        <n x="376"/>
      </t>
    </mdx>
    <mdx n="372" f="v">
      <t c="4">
        <n x="373"/>
        <n x="374"/>
        <n x="383"/>
        <n x="376"/>
      </t>
    </mdx>
    <mdx n="372" f="v">
      <t c="4">
        <n x="373"/>
        <n x="374"/>
        <n x="384"/>
        <n x="376"/>
      </t>
    </mdx>
    <mdx n="372" f="v">
      <t c="4">
        <n x="373"/>
        <n x="374"/>
        <n x="385"/>
        <n x="376"/>
      </t>
    </mdx>
    <mdx n="372" f="v">
      <t c="4">
        <n x="373"/>
        <n x="374"/>
        <n x="386"/>
        <n x="376"/>
      </t>
    </mdx>
    <mdx n="372" f="v">
      <t c="4">
        <n x="373"/>
        <n x="374"/>
        <n x="387"/>
        <n x="376"/>
      </t>
    </mdx>
    <mdx n="372" f="v">
      <t c="4">
        <n x="373"/>
        <n x="374"/>
        <n x="388"/>
        <n x="376"/>
      </t>
    </mdx>
    <mdx n="372" f="v">
      <t c="4">
        <n x="373"/>
        <n x="374"/>
        <n x="389"/>
        <n x="376"/>
      </t>
    </mdx>
    <mdx n="372" f="v">
      <t c="4">
        <n x="373"/>
        <n x="374"/>
        <n x="390"/>
        <n x="376"/>
      </t>
    </mdx>
    <mdx n="372" f="v">
      <t c="4">
        <n x="373"/>
        <n x="374"/>
        <n x="391"/>
        <n x="376"/>
      </t>
    </mdx>
    <mdx n="372" f="v">
      <t c="4">
        <n x="373"/>
        <n x="374"/>
        <n x="392"/>
        <n x="376"/>
      </t>
    </mdx>
    <mdx n="372" f="v">
      <t c="4">
        <n x="373"/>
        <n x="374"/>
        <n x="393"/>
        <n x="376"/>
      </t>
    </mdx>
    <mdx n="372" f="v">
      <t c="4">
        <n x="373"/>
        <n x="374"/>
        <n x="394"/>
        <n x="376"/>
      </t>
    </mdx>
    <mdx n="372" f="v">
      <t c="4">
        <n x="373"/>
        <n x="374"/>
        <n x="395"/>
        <n x="376"/>
      </t>
    </mdx>
    <mdx n="372" f="v">
      <t c="4">
        <n x="373"/>
        <n x="374"/>
        <n x="396"/>
        <n x="376"/>
      </t>
    </mdx>
    <mdx n="372" f="v">
      <t c="4">
        <n x="373"/>
        <n x="374"/>
        <n x="397"/>
        <n x="376"/>
      </t>
    </mdx>
    <mdx n="372" f="v">
      <t c="4">
        <n x="373"/>
        <n x="374"/>
        <n x="398"/>
        <n x="376"/>
      </t>
    </mdx>
  </mdxMetadata>
  <valueMetadata count="57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bk>
      <rc t="1" v="487"/>
    </bk>
    <bk>
      <rc t="1" v="488"/>
    </bk>
    <bk>
      <rc t="1" v="489"/>
    </bk>
    <bk>
      <rc t="1" v="490"/>
    </bk>
    <bk>
      <rc t="1" v="491"/>
    </bk>
    <bk>
      <rc t="1" v="492"/>
    </bk>
    <bk>
      <rc t="1" v="493"/>
    </bk>
    <bk>
      <rc t="1" v="494"/>
    </bk>
    <bk>
      <rc t="1" v="495"/>
    </bk>
    <bk>
      <rc t="1" v="496"/>
    </bk>
    <bk>
      <rc t="1" v="497"/>
    </bk>
    <bk>
      <rc t="1" v="498"/>
    </bk>
    <bk>
      <rc t="1" v="499"/>
    </bk>
    <bk>
      <rc t="1" v="500"/>
    </bk>
    <bk>
      <rc t="1" v="501"/>
    </bk>
    <bk>
      <rc t="1" v="502"/>
    </bk>
    <bk>
      <rc t="1" v="503"/>
    </bk>
    <bk>
      <rc t="1" v="504"/>
    </bk>
    <bk>
      <rc t="1" v="505"/>
    </bk>
    <bk>
      <rc t="1" v="506"/>
    </bk>
    <bk>
      <rc t="1" v="507"/>
    </bk>
    <bk>
      <rc t="1" v="508"/>
    </bk>
    <bk>
      <rc t="1" v="509"/>
    </bk>
    <bk>
      <rc t="1" v="510"/>
    </bk>
    <bk>
      <rc t="1" v="511"/>
    </bk>
    <bk>
      <rc t="1" v="512"/>
    </bk>
    <bk>
      <rc t="1" v="513"/>
    </bk>
    <bk>
      <rc t="1" v="514"/>
    </bk>
    <bk>
      <rc t="1" v="515"/>
    </bk>
    <bk>
      <rc t="1" v="516"/>
    </bk>
    <bk>
      <rc t="1" v="517"/>
    </bk>
    <bk>
      <rc t="1" v="518"/>
    </bk>
    <bk>
      <rc t="1" v="519"/>
    </bk>
    <bk>
      <rc t="1" v="520"/>
    </bk>
    <bk>
      <rc t="1" v="521"/>
    </bk>
    <bk>
      <rc t="1" v="522"/>
    </bk>
    <bk>
      <rc t="1" v="523"/>
    </bk>
    <bk>
      <rc t="1" v="524"/>
    </bk>
    <bk>
      <rc t="1" v="525"/>
    </bk>
    <bk>
      <rc t="1" v="526"/>
    </bk>
    <bk>
      <rc t="1" v="527"/>
    </bk>
    <bk>
      <rc t="1" v="528"/>
    </bk>
    <bk>
      <rc t="1" v="529"/>
    </bk>
    <bk>
      <rc t="1" v="530"/>
    </bk>
    <bk>
      <rc t="1" v="531"/>
    </bk>
    <bk>
      <rc t="1" v="532"/>
    </bk>
    <bk>
      <rc t="1" v="533"/>
    </bk>
    <bk>
      <rc t="1" v="534"/>
    </bk>
    <bk>
      <rc t="1" v="535"/>
    </bk>
    <bk>
      <rc t="1" v="536"/>
    </bk>
    <bk>
      <rc t="1" v="537"/>
    </bk>
    <bk>
      <rc t="1" v="538"/>
    </bk>
    <bk>
      <rc t="1" v="539"/>
    </bk>
    <bk>
      <rc t="1" v="540"/>
    </bk>
    <bk>
      <rc t="1" v="541"/>
    </bk>
    <bk>
      <rc t="1" v="542"/>
    </bk>
    <bk>
      <rc t="1" v="543"/>
    </bk>
    <bk>
      <rc t="1" v="544"/>
    </bk>
    <bk>
      <rc t="1" v="545"/>
    </bk>
    <bk>
      <rc t="1" v="546"/>
    </bk>
    <bk>
      <rc t="1" v="547"/>
    </bk>
    <bk>
      <rc t="1" v="548"/>
    </bk>
    <bk>
      <rc t="1" v="549"/>
    </bk>
    <bk>
      <rc t="1" v="550"/>
    </bk>
    <bk>
      <rc t="1" v="551"/>
    </bk>
    <bk>
      <rc t="1" v="552"/>
    </bk>
    <bk>
      <rc t="1" v="553"/>
    </bk>
    <bk>
      <rc t="1" v="554"/>
    </bk>
    <bk>
      <rc t="1" v="555"/>
    </bk>
    <bk>
      <rc t="1" v="556"/>
    </bk>
    <bk>
      <rc t="1" v="557"/>
    </bk>
    <bk>
      <rc t="1" v="558"/>
    </bk>
    <bk>
      <rc t="1" v="559"/>
    </bk>
    <bk>
      <rc t="1" v="560"/>
    </bk>
    <bk>
      <rc t="1" v="561"/>
    </bk>
    <bk>
      <rc t="1" v="562"/>
    </bk>
    <bk>
      <rc t="1" v="563"/>
    </bk>
    <bk>
      <rc t="1" v="564"/>
    </bk>
    <bk>
      <rc t="1" v="565"/>
    </bk>
    <bk>
      <rc t="1" v="566"/>
    </bk>
    <bk>
      <rc t="1" v="567"/>
    </bk>
    <bk>
      <rc t="1" v="568"/>
    </bk>
    <bk>
      <rc t="1" v="569"/>
    </bk>
    <bk>
      <rc t="1" v="570"/>
    </bk>
    <bk>
      <rc t="1" v="571"/>
    </bk>
    <bk>
      <rc t="1" v="572"/>
    </bk>
    <bk>
      <rc t="1" v="573"/>
    </bk>
    <bk>
      <rc t="1" v="574"/>
    </bk>
    <bk>
      <rc t="1" v="575"/>
    </bk>
    <bk>
      <rc t="1" v="576"/>
    </bk>
    <bk>
      <rc t="1" v="577"/>
    </bk>
    <bk>
      <rc t="1" v="578"/>
    </bk>
  </valueMetadata>
</metadata>
</file>

<file path=xl/sharedStrings.xml><?xml version="1.0" encoding="utf-8"?>
<sst xmlns="http://schemas.openxmlformats.org/spreadsheetml/2006/main" count="13147" uniqueCount="2670">
  <si>
    <t>Statistik der obligatorischen Krankenversicherung 2013 (STAT KV 13)</t>
  </si>
  <si>
    <t>Vom Bund anerkannte Versicherungsträger</t>
  </si>
  <si>
    <t>Bundesamt für Gesundheit</t>
  </si>
  <si>
    <t>Sektion Statistik und Mathematik</t>
  </si>
  <si>
    <t>laufende Aufdatierung</t>
  </si>
  <si>
    <r>
      <t xml:space="preserve">Teil  Tabellen </t>
    </r>
    <r>
      <rPr>
        <b/>
        <sz val="14"/>
        <rFont val="55 Helvetica Roman"/>
      </rPr>
      <t>(XLS)</t>
    </r>
  </si>
  <si>
    <t>Verfügbar am:</t>
  </si>
  <si>
    <t>In der XLS Version sind die Daten</t>
  </si>
  <si>
    <t>meistens ab 1996 verfügbar</t>
  </si>
  <si>
    <t>(Zeilen 1996 -&gt; 2002 meistens versteckt)</t>
  </si>
  <si>
    <r>
      <t xml:space="preserve">Korrigierte Tabellen :      </t>
    </r>
    <r>
      <rPr>
        <sz val="11"/>
        <color indexed="10"/>
        <rFont val="55 Helvetica Roman"/>
      </rPr>
      <t>(Korrekturen in roter Farbe)</t>
    </r>
    <r>
      <rPr>
        <sz val="11"/>
        <rFont val="55 Helvetica Roman"/>
      </rPr>
      <t xml:space="preserve">  </t>
    </r>
    <r>
      <rPr>
        <b/>
        <sz val="11"/>
        <rFont val="55 Helvetica Roman"/>
      </rPr>
      <t xml:space="preserve">   </t>
    </r>
    <r>
      <rPr>
        <b/>
        <sz val="11"/>
        <color indexed="9"/>
        <rFont val="55 Helvetica Roman"/>
      </rPr>
      <t xml:space="preserve">     (gegenüber PDF Version und der gedruckten Version) :</t>
    </r>
  </si>
  <si>
    <t>Teil</t>
  </si>
  <si>
    <t xml:space="preserve">Tabellen </t>
  </si>
  <si>
    <t>(0 - 100%)</t>
  </si>
  <si>
    <t>Teil 1</t>
  </si>
  <si>
    <t>101-113</t>
  </si>
  <si>
    <t>Finanzen und obligatorische Krankenpflegeversicherung (OKP)</t>
  </si>
  <si>
    <t>Teil 2</t>
  </si>
  <si>
    <t>201-226</t>
  </si>
  <si>
    <t>Leistungen und Kostenbeteiligung in der OKP</t>
  </si>
  <si>
    <t>Teil 3</t>
  </si>
  <si>
    <t>301-308</t>
  </si>
  <si>
    <t>Prämiensoll in der OKP</t>
  </si>
  <si>
    <t>Teil 4</t>
  </si>
  <si>
    <t>401-411</t>
  </si>
  <si>
    <t>Prämienverbilligung in der OKP</t>
  </si>
  <si>
    <t>Teil 5</t>
  </si>
  <si>
    <t>Aufsichtsdaten OKP</t>
  </si>
  <si>
    <t>Teil 6</t>
  </si>
  <si>
    <t>601-606</t>
  </si>
  <si>
    <t>Freiwillige Taggeldversicherung KVG</t>
  </si>
  <si>
    <t>Teil 7</t>
  </si>
  <si>
    <t>701-702</t>
  </si>
  <si>
    <t>Zusatzversicherungen VVG der vom BAG anerkannten Krankenversicherer</t>
  </si>
  <si>
    <t>Teil 8</t>
  </si>
  <si>
    <t>801-811</t>
  </si>
  <si>
    <t>Gesamtgeschäft der vom BAG anerkannten Krankenversicherer</t>
  </si>
  <si>
    <t>Teil 9</t>
  </si>
  <si>
    <t>901-915</t>
  </si>
  <si>
    <t>Zusatzinformationen zum Gesundheitswesen</t>
  </si>
  <si>
    <t>Teil 10</t>
  </si>
  <si>
    <t>1001-1005</t>
  </si>
  <si>
    <t>Risikoausgleich in der OKP</t>
  </si>
  <si>
    <t>Teil 11</t>
  </si>
  <si>
    <t>1101-1118</t>
  </si>
  <si>
    <t>Versicherte in der OKP</t>
  </si>
  <si>
    <t>Teil 12</t>
  </si>
  <si>
    <t>1201-1207</t>
  </si>
  <si>
    <t>Prämientarif in der OKP</t>
  </si>
  <si>
    <t>Beilage A</t>
  </si>
  <si>
    <t xml:space="preserve">Überblick über die statistischen Tabellen in der KV-Statistik             </t>
  </si>
  <si>
    <t>Beilage B</t>
  </si>
  <si>
    <t xml:space="preserve">Übergangsschlüssel Tabellen 2012 -&gt; 2013 / 2013 -&gt; 2012           </t>
  </si>
  <si>
    <t>Beilage B1</t>
  </si>
  <si>
    <t>Übergangsschlüssel Tabellen  2013 -&gt; 1996</t>
  </si>
  <si>
    <t>Beilage B2</t>
  </si>
  <si>
    <t>Übergangsschlüssel Tabellen  2012 -&gt; 1996</t>
  </si>
  <si>
    <t>Beilagen F1-&gt;F3</t>
  </si>
  <si>
    <t>Entwicklung der Franchisen, Prämienrabatte und Selbstbehalte und Zunahme der Gesamtausgaben ab 1996</t>
  </si>
  <si>
    <r>
      <t xml:space="preserve">STAT KV: Berichte: PDF 1996-2012, Tabellen: XLS 1996-2012, Grafiken: XLS/PDF 2004-2012 auf Internet: </t>
    </r>
    <r>
      <rPr>
        <b/>
        <sz val="11"/>
        <rFont val="55 Helvetica Roman"/>
      </rPr>
      <t xml:space="preserve">www.bag.admin.ch/pyramiden      </t>
    </r>
  </si>
  <si>
    <t>Auszugsweiser Abdruck unter Quellenangabe (Name der Publikation, Jahr, Nummer der Tabelle) gestattet.</t>
  </si>
  <si>
    <t>© Bundesamt für Gesundheit (BAG), EDI</t>
  </si>
  <si>
    <t>Beilagen A</t>
  </si>
  <si>
    <t xml:space="preserve">Übersicht der Tabellen zu Prämien, Leistungen, Kostenbeteiligung sowie Versichertenbestand (OKP):   </t>
  </si>
  <si>
    <t>Angaben zum Berichtsjahr</t>
  </si>
  <si>
    <t>Kriterien</t>
  </si>
  <si>
    <t>Altersgruppe</t>
  </si>
  <si>
    <t>Kanton</t>
  </si>
  <si>
    <t xml:space="preserve">Form </t>
  </si>
  <si>
    <t>Kostengruppe</t>
  </si>
  <si>
    <t>Bruttoleistungen</t>
  </si>
  <si>
    <t>Mio. Fr.</t>
  </si>
  <si>
    <t>2.22</t>
  </si>
  <si>
    <t>2.17</t>
  </si>
  <si>
    <t>2.14</t>
  </si>
  <si>
    <t>Fr. pro Person</t>
  </si>
  <si>
    <t>2.24</t>
  </si>
  <si>
    <t>2.19</t>
  </si>
  <si>
    <t>2.15</t>
  </si>
  <si>
    <t>Kostenbeteiligung</t>
  </si>
  <si>
    <t>2.10</t>
  </si>
  <si>
    <t>2.01</t>
  </si>
  <si>
    <t>2.13</t>
  </si>
  <si>
    <t>2.23</t>
  </si>
  <si>
    <t>2.02</t>
  </si>
  <si>
    <t>Bezahlte Leistungen</t>
  </si>
  <si>
    <t>2.07</t>
  </si>
  <si>
    <t>2.20</t>
  </si>
  <si>
    <t>2.12</t>
  </si>
  <si>
    <t>2.08</t>
  </si>
  <si>
    <t>2.21</t>
  </si>
  <si>
    <t>Prämiensoll</t>
  </si>
  <si>
    <t>3.07</t>
  </si>
  <si>
    <t>3.06</t>
  </si>
  <si>
    <t>3.01</t>
  </si>
  <si>
    <t>3.02</t>
  </si>
  <si>
    <t>3.04</t>
  </si>
  <si>
    <t>3.03</t>
  </si>
  <si>
    <t>3.05</t>
  </si>
  <si>
    <t>Prämientarif</t>
  </si>
  <si>
    <t>Fr. pro Monat</t>
  </si>
  <si>
    <t>12.02-12.04</t>
  </si>
  <si>
    <t>12.01</t>
  </si>
  <si>
    <t>Versichertenbestand</t>
  </si>
  <si>
    <t>Durchschnitt</t>
  </si>
  <si>
    <t>11.15</t>
  </si>
  <si>
    <t>11.14</t>
  </si>
  <si>
    <t>11.16</t>
  </si>
  <si>
    <t>11.08/09</t>
  </si>
  <si>
    <t>per 31.12.</t>
  </si>
  <si>
    <t>11.03</t>
  </si>
  <si>
    <t>11.06</t>
  </si>
  <si>
    <t>11.05, 11.07</t>
  </si>
  <si>
    <t>Erklärung zu den Statistiken:</t>
  </si>
  <si>
    <t>Bezahlte Leistungen (vom Versicherer bezahlte Leistungen) plus Kostenbeteiligung</t>
  </si>
  <si>
    <t xml:space="preserve">Beitrag der Versicherten an die Kosten (Franchise, Selbstbehalt, Beitrag an Spitalaufenthalt), sofern statistisch erfasst </t>
  </si>
  <si>
    <t>Nicht erfasst sind nicht eingereichte Belege im System Tiers garant</t>
  </si>
  <si>
    <t>Prämien, die die Versicherten dem Versicherer zahlen müssen (= geschuldete Prämien)</t>
  </si>
  <si>
    <t>Prämien für das Standardmodell mit ord. Franchise (inkl. Unfalldeckung)</t>
  </si>
  <si>
    <t>Erklärung zu den Kriterien:</t>
  </si>
  <si>
    <t>Altersklassen</t>
  </si>
  <si>
    <t>5-Jahresklassen; 0-5, 6-10, 11-15, 16-18; 19-20, 21-25; 26-30, 31-35 etc.</t>
  </si>
  <si>
    <t>Form</t>
  </si>
  <si>
    <t>Versicherungsform Ordentliche Franchise, Wahlfranchisen, BONUS, Eingeschränkte Wahl</t>
  </si>
  <si>
    <t>nach Leistungsprinzip</t>
  </si>
  <si>
    <t>Weitere wichtige Tabellen</t>
  </si>
  <si>
    <t>Wichtige Indikatoren OKP</t>
  </si>
  <si>
    <t>Detaillierte Betriebsrechnung für das Berichtsjahr (OKP: 1.03-1.07; Taggeld: 6.04-6.06; Gesamtbetriebsrechnung: 8.05-8.06)</t>
  </si>
  <si>
    <t xml:space="preserve">Gesamtbetriebsergebnis sowie Verwaltungsaufwand (Mio. Fr./pro Kopf) nach Form (grob) </t>
  </si>
  <si>
    <t>Prämienverbilligung: Bezüger, Haushalte und ausbezahlter Betrag; Anzahl Bezüger nach Kanton, Alter und Geschlecht</t>
  </si>
  <si>
    <t>Indikatoren nach einzelnem Versicherer (Aufsichtsdaten OKP; kantonale Versichertenbestände)</t>
  </si>
  <si>
    <t>Stellen, Personal und Löhne OKP</t>
  </si>
  <si>
    <t>Bilanz (aggregiert): Aktiven/Passiven</t>
  </si>
  <si>
    <t>11.10</t>
  </si>
  <si>
    <t>Eintritte (nach Geschlecht)</t>
  </si>
  <si>
    <t xml:space="preserve">Beilage B1: </t>
  </si>
  <si>
    <t>Publikation 2012</t>
  </si>
  <si>
    <t>Publikation 2011</t>
  </si>
  <si>
    <t>Publikation 2010</t>
  </si>
  <si>
    <t>Publikation 2009</t>
  </si>
  <si>
    <t>Publikation 2008</t>
  </si>
  <si>
    <t>Publikation 2007</t>
  </si>
  <si>
    <t>Publikation 2006</t>
  </si>
  <si>
    <t>Publikation 2005</t>
  </si>
  <si>
    <t>Publikation 2004</t>
  </si>
  <si>
    <t>Publikation 2003</t>
  </si>
  <si>
    <t>Publikation 2002</t>
  </si>
  <si>
    <t>Publikation 2001</t>
  </si>
  <si>
    <t xml:space="preserve">Publikation 2000 </t>
  </si>
  <si>
    <t>Publikation 1999</t>
  </si>
  <si>
    <t>Publikation 1998</t>
  </si>
  <si>
    <t>Publikation 1997</t>
  </si>
  <si>
    <t>Publikation 1996</t>
  </si>
  <si>
    <t>-</t>
  </si>
  <si>
    <t>B 14</t>
  </si>
  <si>
    <t>B 15</t>
  </si>
  <si>
    <t>B 16</t>
  </si>
  <si>
    <t>B 17</t>
  </si>
  <si>
    <t>B 18</t>
  </si>
  <si>
    <t>1.50</t>
  </si>
  <si>
    <t>1.10</t>
  </si>
  <si>
    <t>B 13 A</t>
  </si>
  <si>
    <t>G 05</t>
  </si>
  <si>
    <t>G 06</t>
  </si>
  <si>
    <t>G 08</t>
  </si>
  <si>
    <t>G 12</t>
  </si>
  <si>
    <t>B 07 A</t>
  </si>
  <si>
    <t>B 08 A</t>
  </si>
  <si>
    <t>B 09 A</t>
  </si>
  <si>
    <t>B 09 B</t>
  </si>
  <si>
    <t>B 10 A</t>
  </si>
  <si>
    <t>B 10 B</t>
  </si>
  <si>
    <t>B 07 B</t>
  </si>
  <si>
    <t>3.10</t>
  </si>
  <si>
    <t>B 05 B</t>
  </si>
  <si>
    <t>B 05 A</t>
  </si>
  <si>
    <t>B 06 A</t>
  </si>
  <si>
    <t>E 01 B</t>
  </si>
  <si>
    <t>E 05</t>
  </si>
  <si>
    <t>E 04</t>
  </si>
  <si>
    <t>E 09</t>
  </si>
  <si>
    <t>E 08</t>
  </si>
  <si>
    <t>E 10</t>
  </si>
  <si>
    <t>E 02</t>
  </si>
  <si>
    <t xml:space="preserve">E 01 </t>
  </si>
  <si>
    <t>4.09</t>
  </si>
  <si>
    <t>4.10</t>
  </si>
  <si>
    <t>E 03</t>
  </si>
  <si>
    <t>5.01 -&gt; 5.03</t>
  </si>
  <si>
    <t>5.00</t>
  </si>
  <si>
    <t>5.06</t>
  </si>
  <si>
    <t>C 01 A</t>
  </si>
  <si>
    <t>C 02 A</t>
  </si>
  <si>
    <t>C 01 B</t>
  </si>
  <si>
    <t>C 03</t>
  </si>
  <si>
    <t>C 04</t>
  </si>
  <si>
    <t>C 05</t>
  </si>
  <si>
    <t>D 01 A</t>
  </si>
  <si>
    <t>A 01</t>
  </si>
  <si>
    <t>A 04 A</t>
  </si>
  <si>
    <t>A 05 A</t>
  </si>
  <si>
    <t>A 09 A</t>
  </si>
  <si>
    <t>A 12 A</t>
  </si>
  <si>
    <t>A 10</t>
  </si>
  <si>
    <t>8.10</t>
  </si>
  <si>
    <t>A 11</t>
  </si>
  <si>
    <t>H 06 + H 07</t>
  </si>
  <si>
    <t>G 06 + G 07</t>
  </si>
  <si>
    <t>9.10</t>
  </si>
  <si>
    <t>H 09</t>
  </si>
  <si>
    <t>H 08</t>
  </si>
  <si>
    <t>H 02 A</t>
  </si>
  <si>
    <t>G 02 A</t>
  </si>
  <si>
    <t>H 02 B</t>
  </si>
  <si>
    <t>G 02 B</t>
  </si>
  <si>
    <t>H 01</t>
  </si>
  <si>
    <t>G 01</t>
  </si>
  <si>
    <t>9.16</t>
  </si>
  <si>
    <t>9.22</t>
  </si>
  <si>
    <t>B 12 A</t>
  </si>
  <si>
    <t>9.20</t>
  </si>
  <si>
    <t>9.21</t>
  </si>
  <si>
    <t>B 12 B</t>
  </si>
  <si>
    <t>10.01</t>
  </si>
  <si>
    <t>G 01 A</t>
  </si>
  <si>
    <t>10.02</t>
  </si>
  <si>
    <t>10.03</t>
  </si>
  <si>
    <t>10.04</t>
  </si>
  <si>
    <t>G 04</t>
  </si>
  <si>
    <t>10.05</t>
  </si>
  <si>
    <t>G 09</t>
  </si>
  <si>
    <t>A 03 A</t>
  </si>
  <si>
    <t>B 01</t>
  </si>
  <si>
    <t>B 04 A</t>
  </si>
  <si>
    <t>B 04 B</t>
  </si>
  <si>
    <t>3.11</t>
  </si>
  <si>
    <t>3.12</t>
  </si>
  <si>
    <t>3.13</t>
  </si>
  <si>
    <t>D 01 B</t>
  </si>
  <si>
    <t>D 02</t>
  </si>
  <si>
    <t>D 03</t>
  </si>
  <si>
    <t>D 04</t>
  </si>
  <si>
    <t>A 06</t>
  </si>
  <si>
    <t>A 07</t>
  </si>
  <si>
    <t>8.11</t>
  </si>
  <si>
    <t>G 10</t>
  </si>
  <si>
    <t>B 08 B</t>
  </si>
  <si>
    <t>B 06 B</t>
  </si>
  <si>
    <t>E 01 A</t>
  </si>
  <si>
    <t>B 02</t>
  </si>
  <si>
    <t>E 11</t>
  </si>
  <si>
    <t>F 01</t>
  </si>
  <si>
    <t>F 02 -&gt; F 05</t>
  </si>
  <si>
    <t>F 01 -&gt; F 03</t>
  </si>
  <si>
    <t>F 02</t>
  </si>
  <si>
    <t>F 03</t>
  </si>
  <si>
    <t>F 04</t>
  </si>
  <si>
    <t>A 02 A</t>
  </si>
  <si>
    <t>A 02 B</t>
  </si>
  <si>
    <t>A 03 B</t>
  </si>
  <si>
    <t>A 04 B</t>
  </si>
  <si>
    <t>A 05 B</t>
  </si>
  <si>
    <t>A 08 A</t>
  </si>
  <si>
    <t>A 08 B</t>
  </si>
  <si>
    <t>A 09 B</t>
  </si>
  <si>
    <t>A 12 B</t>
  </si>
  <si>
    <t>A 13 B</t>
  </si>
  <si>
    <t>A 13 A</t>
  </si>
  <si>
    <t>B 03 A</t>
  </si>
  <si>
    <t>B 03 B</t>
  </si>
  <si>
    <t>B 11 A</t>
  </si>
  <si>
    <t>B 11 B</t>
  </si>
  <si>
    <t>B 13 B</t>
  </si>
  <si>
    <t>C 02 B</t>
  </si>
  <si>
    <t>E 06</t>
  </si>
  <si>
    <t>E 07</t>
  </si>
  <si>
    <t>G 03 A</t>
  </si>
  <si>
    <t>G 03 B</t>
  </si>
  <si>
    <t>G 07</t>
  </si>
  <si>
    <t>G 11</t>
  </si>
  <si>
    <t>H 03</t>
  </si>
  <si>
    <t>G 03</t>
  </si>
  <si>
    <t>H 04 A</t>
  </si>
  <si>
    <t>G 04 A</t>
  </si>
  <si>
    <t>H 04 B</t>
  </si>
  <si>
    <t>G 04 B</t>
  </si>
  <si>
    <t>H 05</t>
  </si>
  <si>
    <t xml:space="preserve">* : Teil Tabellen </t>
  </si>
  <si>
    <t>1: Finanzen und obligatorische Krankenpflegeversicherung (OKP)</t>
  </si>
  <si>
    <t>Obligatorische Krankenpflegeversicherung ab 2003 : wichtigste Indikatoren</t>
  </si>
  <si>
    <t xml:space="preserve">Betriebsrechnung der obligatorischen Krankenpflegeversicherung insgesamt </t>
  </si>
  <si>
    <t>Betriebsrechnung der Versicherung mit ordentlicher Franchise</t>
  </si>
  <si>
    <t xml:space="preserve">Betriebsrechnung der Versicherungen mit wählbarer Franchise </t>
  </si>
  <si>
    <t xml:space="preserve">Betriebsrechnung der BONUS-Versicherung </t>
  </si>
  <si>
    <t xml:space="preserve">Betriebsrechnung der Versicherungen mit eingeschränkter Wahl des Leistungserbringers </t>
  </si>
  <si>
    <t>Betriebsrechnung der obligatorischen Krankenpflegeversicherung Personen mit Wohnsitz in einem EG-Staat</t>
  </si>
  <si>
    <t>Gesamtbetriebsergebnis nach Versicherungsform ab 2003</t>
  </si>
  <si>
    <t>Gesamtbetriebsergebnis je versicherte Person nach Versicherungsform ab 2003</t>
  </si>
  <si>
    <t>Verwaltungsaufwand / Abschreibungen nach Versicherungsform ab 2003</t>
  </si>
  <si>
    <t xml:space="preserve">Verwaltungsaufwand / Abschreibungen je versicherte Person nach Versicherungsform ab 2003 </t>
  </si>
  <si>
    <t>Stand der Reserven per 31.12. ab 2003</t>
  </si>
  <si>
    <t xml:space="preserve">Stand der Rückstellungen per 31.12. für unerledigte Versicherungsfälle ab 2003 </t>
  </si>
  <si>
    <t>Statistik der obligatorischen Krankenversicherung 2013, Bundesamt für Gesundheit</t>
  </si>
  <si>
    <t>T 1.01 Obligatorische Krankenpflegeversicherung ab 2003: wichtigste Indikatoren</t>
  </si>
  <si>
    <t>Merkmale</t>
  </si>
  <si>
    <t>Veränderung 2012 - 2013 in %</t>
  </si>
  <si>
    <t>Jahresdurch-schnittliche Veränderung 2003 - 2013 in %</t>
  </si>
  <si>
    <t>– Anzahl Versicherer OKP</t>
  </si>
  <si>
    <t>– Durchschnittlicher Versichertenbestand in 1'000</t>
  </si>
  <si>
    <t>3A</t>
  </si>
  <si>
    <t>3B</t>
  </si>
  <si>
    <t>6B</t>
  </si>
  <si>
    <t>– Prämiensoll pro Versicherten in Fr.</t>
  </si>
  <si>
    <t>7B</t>
  </si>
  <si>
    <r>
      <t xml:space="preserve">– Bruttoleistungen </t>
    </r>
    <r>
      <rPr>
        <vertAlign val="superscript"/>
        <sz val="11"/>
        <rFont val="Arial"/>
        <family val="2"/>
      </rPr>
      <t>1</t>
    </r>
    <r>
      <rPr>
        <sz val="11"/>
        <rFont val="Arial"/>
        <family val="2"/>
      </rPr>
      <t xml:space="preserve"> pro Versicherten in Fr.</t>
    </r>
  </si>
  <si>
    <t>7C</t>
  </si>
  <si>
    <t>–– davon ambulante Leistungen in Fr.</t>
  </si>
  <si>
    <t>7D</t>
  </si>
  <si>
    <t>–– davon stationäre Leistungen in Fr.</t>
  </si>
  <si>
    <t>8B</t>
  </si>
  <si>
    <t>– Kostenbeteiligung pro Versicherten in Fr.</t>
  </si>
  <si>
    <t>9B</t>
  </si>
  <si>
    <r>
      <t xml:space="preserve">– Nettoleistungen </t>
    </r>
    <r>
      <rPr>
        <vertAlign val="superscript"/>
        <sz val="11"/>
        <rFont val="Arial"/>
        <family val="2"/>
      </rPr>
      <t>2</t>
    </r>
    <r>
      <rPr>
        <sz val="11"/>
        <rFont val="Arial"/>
        <family val="2"/>
      </rPr>
      <t xml:space="preserve"> pro Versicherten in  Fr.</t>
    </r>
  </si>
  <si>
    <t>10B</t>
  </si>
  <si>
    <t>– Verwaltungsaufwand / Abschreibungen pro Versicherten in Fr.</t>
  </si>
  <si>
    <t>12B</t>
  </si>
  <si>
    <r>
      <t xml:space="preserve">– Rückstellungen per 31.12. pro Versicherten in Fr. </t>
    </r>
    <r>
      <rPr>
        <vertAlign val="superscript"/>
        <sz val="11"/>
        <rFont val="Arial"/>
        <family val="2"/>
      </rPr>
      <t>4</t>
    </r>
  </si>
  <si>
    <t>13B</t>
  </si>
  <si>
    <r>
      <t xml:space="preserve">– Reserven per 31.12. pro Versicherten in Fr. </t>
    </r>
    <r>
      <rPr>
        <vertAlign val="superscript"/>
        <sz val="11"/>
        <rFont val="Arial"/>
        <family val="2"/>
      </rPr>
      <t>4</t>
    </r>
  </si>
  <si>
    <t>6A</t>
  </si>
  <si>
    <t>– Prämiensoll in Mio. Fr.</t>
  </si>
  <si>
    <t>7A</t>
  </si>
  <si>
    <r>
      <t xml:space="preserve">– Bruttoleistungen </t>
    </r>
    <r>
      <rPr>
        <vertAlign val="superscript"/>
        <sz val="11"/>
        <rFont val="Arial"/>
        <family val="2"/>
      </rPr>
      <t>1</t>
    </r>
    <r>
      <rPr>
        <sz val="11"/>
        <rFont val="Arial"/>
        <family val="2"/>
      </rPr>
      <t xml:space="preserve"> in Mio. Fr.</t>
    </r>
  </si>
  <si>
    <t>8A</t>
  </si>
  <si>
    <t>– Kostenbeteiligung in Mio. Fr.</t>
  </si>
  <si>
    <t>9A</t>
  </si>
  <si>
    <r>
      <t xml:space="preserve">– Nettoleistungen </t>
    </r>
    <r>
      <rPr>
        <vertAlign val="superscript"/>
        <sz val="11"/>
        <rFont val="Arial"/>
        <family val="2"/>
      </rPr>
      <t xml:space="preserve">2  </t>
    </r>
    <r>
      <rPr>
        <sz val="11"/>
        <rFont val="Arial"/>
        <family val="2"/>
      </rPr>
      <t>in Mio. Fr.</t>
    </r>
  </si>
  <si>
    <t>10A</t>
  </si>
  <si>
    <t>– Verwaltungsaufwand / Abschreibungen in Mio. Fr.</t>
  </si>
  <si>
    <t>– Gesamtbetriebsergebnis in Mio. Fr.</t>
  </si>
  <si>
    <t>12A</t>
  </si>
  <si>
    <r>
      <t xml:space="preserve">– Rückstellungen </t>
    </r>
    <r>
      <rPr>
        <vertAlign val="superscript"/>
        <sz val="11"/>
        <rFont val="Arial"/>
        <family val="2"/>
      </rPr>
      <t>4</t>
    </r>
    <r>
      <rPr>
        <sz val="11"/>
        <rFont val="Arial"/>
        <family val="2"/>
      </rPr>
      <t>: Stand per 31.12. in Mio. Fr.</t>
    </r>
  </si>
  <si>
    <t>12C</t>
  </si>
  <si>
    <r>
      <t xml:space="preserve">– Rückstellungsquote </t>
    </r>
    <r>
      <rPr>
        <vertAlign val="superscript"/>
        <sz val="11"/>
        <rFont val="Arial"/>
        <family val="2"/>
      </rPr>
      <t>3 4</t>
    </r>
    <r>
      <rPr>
        <sz val="11"/>
        <rFont val="Arial"/>
        <family val="2"/>
      </rPr>
      <t xml:space="preserve"> per 31.12. in %</t>
    </r>
  </si>
  <si>
    <t>13A</t>
  </si>
  <si>
    <r>
      <t xml:space="preserve">– Reserven: Stand per 31.12. in Mio. Fr. </t>
    </r>
    <r>
      <rPr>
        <vertAlign val="superscript"/>
        <sz val="11"/>
        <rFont val="Arial"/>
        <family val="2"/>
      </rPr>
      <t>4</t>
    </r>
  </si>
  <si>
    <t>Datenstand: 1.7.14</t>
  </si>
  <si>
    <t>1) Bruttoleistungen = Leistungen inklusiv Kostenbeteiligung der Versicherten.</t>
  </si>
  <si>
    <t>2) Nettoleistungen = bezahlte Leistungen = Leistungen der Versicherer abzüglich Kostenbeteiligung der Versicherten.</t>
  </si>
  <si>
    <t>3) Rückstellungen in Prozent der Nettoleistungen.</t>
  </si>
  <si>
    <t>4) Die Werte ab 2012 sind mit denjenigen aus den Vorjahren aufgrund einer Änderung der Berechnungsmethode nicht vergleichbar: vgl. T 1.12 und 1.13.</t>
  </si>
  <si>
    <t xml:space="preserve">Quelle: </t>
  </si>
  <si>
    <t>Formular EF1345 :</t>
  </si>
  <si>
    <t>Tabelle T :</t>
  </si>
  <si>
    <t>Anzahl Versicherer mit EF 1.12 A Total &gt; 0</t>
  </si>
  <si>
    <t>= [ 8A ] / [ 2 ]</t>
  </si>
  <si>
    <t xml:space="preserve">Durchschnittlicher Versichertenbestand EF 1.12 A Total  </t>
  </si>
  <si>
    <t>= [ 7A ] - [ 8A ]</t>
  </si>
  <si>
    <t>EF 3.7.1</t>
  </si>
  <si>
    <t>9.09</t>
  </si>
  <si>
    <t>= [ 7B ] - [ 8B ]</t>
  </si>
  <si>
    <t>= [ 3A ] / [ 2 ] * 100</t>
  </si>
  <si>
    <t>EF2 Konten 40-47 + 48 K+U Seiten 2.2 -&gt; 2.7</t>
  </si>
  <si>
    <t>EF 3.7.2</t>
  </si>
  <si>
    <t>= [ 10A ] / [ 2 ]</t>
  </si>
  <si>
    <t xml:space="preserve">EF2 Konto Gesamtbetriebsergebnis Krankheit + Unfall Seiten 2.2 -&gt; 2.7 </t>
  </si>
  <si>
    <t>EF 3.4</t>
  </si>
  <si>
    <t>EF 1.4 Konto 270</t>
  </si>
  <si>
    <t>= [ 6A ] / [ 2 ]</t>
  </si>
  <si>
    <t>= [ 12A ] / [ 2 ]</t>
  </si>
  <si>
    <t>EF 3.6</t>
  </si>
  <si>
    <t>= [ 12A ] / [ 9A ] * 100 in %</t>
  </si>
  <si>
    <t>= [ 7A ] / [ 2 ]</t>
  </si>
  <si>
    <t>EF 1.5 Konten 290 + 290.9</t>
  </si>
  <si>
    <t>EF 3.6 / [ 2 ]</t>
  </si>
  <si>
    <t>= [ 13A ] / [ 2 ]</t>
  </si>
  <si>
    <t>13C</t>
  </si>
  <si>
    <t>= [ 13A ] / [ 6A ] * 100 in %</t>
  </si>
  <si>
    <t>EF2 Konto 32 K+U Seiten 2.2 -&gt; 2.7</t>
  </si>
  <si>
    <r>
      <t xml:space="preserve">T 1.02  Betriebsrechnung der obligatorischen Krankenpflegeversicherung insgesamt </t>
    </r>
    <r>
      <rPr>
        <b/>
        <vertAlign val="superscript"/>
        <sz val="12"/>
        <rFont val="Arial"/>
        <family val="2"/>
      </rPr>
      <t>1</t>
    </r>
  </si>
  <si>
    <t>Kontengruppe</t>
  </si>
  <si>
    <t>Total</t>
  </si>
  <si>
    <t>in Fr.</t>
  </si>
  <si>
    <t>3010-12-13-14-15-16</t>
  </si>
  <si>
    <r>
      <t xml:space="preserve">Prämien </t>
    </r>
    <r>
      <rPr>
        <vertAlign val="superscript"/>
        <sz val="11"/>
        <rFont val="Arial"/>
        <family val="2"/>
      </rPr>
      <t>2</t>
    </r>
  </si>
  <si>
    <t xml:space="preserve">Erlösminderungen für Prämien                       </t>
  </si>
  <si>
    <t>(-)</t>
  </si>
  <si>
    <t xml:space="preserve">Prämienanteile der Rückversicherer             </t>
  </si>
  <si>
    <t>Prämienverbilligung / sonstige Beiträge</t>
  </si>
  <si>
    <t>Angerechnete und ausbezahlte Beiträge an die Versicherten</t>
  </si>
  <si>
    <t/>
  </si>
  <si>
    <t>Verdiente Prämien für eigene Rechnung</t>
  </si>
  <si>
    <t>4010-12-13-14-15-16</t>
  </si>
  <si>
    <r>
      <t xml:space="preserve">Leistungen </t>
    </r>
    <r>
      <rPr>
        <vertAlign val="superscript"/>
        <sz val="11"/>
        <rFont val="Arial"/>
        <family val="2"/>
      </rPr>
      <t>3 5</t>
    </r>
  </si>
  <si>
    <t>4200-02-03-04-05-06</t>
  </si>
  <si>
    <t>4210-12-13-14-15-16</t>
  </si>
  <si>
    <t>Behandlungspauschalen Managed Care</t>
  </si>
  <si>
    <t>Kosten für medizinische Call Center</t>
  </si>
  <si>
    <t>Weitere Leistungen</t>
  </si>
  <si>
    <t>Veränderung versicherungstechnische Rückstellungen für eigene Rechnung</t>
  </si>
  <si>
    <t xml:space="preserve">Leistungsanteile der Rückversicherer             </t>
  </si>
  <si>
    <t>Risikoausgleich</t>
  </si>
  <si>
    <t>Schaden- und Leistungsaufwand für eigene Rechnung</t>
  </si>
  <si>
    <t>Bruttoergebnis</t>
  </si>
  <si>
    <t xml:space="preserve">Personalaufwand </t>
  </si>
  <si>
    <t>Provisionen ans eigene Personal</t>
  </si>
  <si>
    <t>Diverser Betriebsaufwand</t>
  </si>
  <si>
    <t>Werbeaufwand</t>
  </si>
  <si>
    <t xml:space="preserve">Provisionen  </t>
  </si>
  <si>
    <t xml:space="preserve">Abschreibungen </t>
  </si>
  <si>
    <t>Betriebsaufwand</t>
  </si>
  <si>
    <t>Versicherungs- und Betriebsaufwand</t>
  </si>
  <si>
    <t>Versicherungstechnisches Ergebnis</t>
  </si>
  <si>
    <t>Übriger betrieblicher Ertrag</t>
  </si>
  <si>
    <t>Übriger betrieblicher Aufwand</t>
  </si>
  <si>
    <t>Erfolg aus Kapitalanlagen</t>
  </si>
  <si>
    <t>Betriebsfremder und ausserordentlicher Ertrag</t>
  </si>
  <si>
    <t>Betriebsfremder und ausserordentlicher Aufwand</t>
  </si>
  <si>
    <t>Steuern</t>
  </si>
  <si>
    <t>Ergebnis</t>
  </si>
  <si>
    <t xml:space="preserve">1) Vgl. Fussnote 2) von Tabelle 11.02.     2) Prämiensoll (vgl. T 3.06).     3) Bruttoleistungen (-) (vgl. T 2.04). </t>
  </si>
  <si>
    <t>5) Nettoleistungen = Bruttoleistungen - Kostenbeteiligung (vgl. T 2.07).</t>
  </si>
  <si>
    <t xml:space="preserve">G 1b, 1c : Total Versicherungsertrag (-&gt; 2011) &lt;-&gt; Verdiente Prämien für eigene Rechnung [3]   /  Total Versicherungsaufwand (-&gt; 2011) &lt;-&gt; Schaden- und </t>
  </si>
  <si>
    <t xml:space="preserve">Leistungsaufwand für eigene Rechnung [4]   /  Neutraler Aufwand / Ertrag (-&gt; 2011) &lt;-&gt; Nicht Versicherungstechnisches Ergebnis [995]   /  Gesamtbetriebsergebnis </t>
  </si>
  <si>
    <t>(-&gt; 2011) &lt;-&gt; Ergebnis [999]   /  Versicherungsbetriebsergebnis (-&gt; 2011) &lt;-&gt; Verdiente Prämien [3] - ( - Schaden- und Leistungsaufwand [4]  - Betriebsaufwand [5] )</t>
  </si>
  <si>
    <r>
      <t xml:space="preserve">Quelle:  2012 -&gt; : Summe EF5.2 -&gt; EF5.7 via ISAK (FIN) </t>
    </r>
    <r>
      <rPr>
        <i/>
        <sz val="10"/>
        <rFont val="Arial"/>
        <family val="2"/>
      </rPr>
      <t>( -&gt; 2011 Summe EF2.2 -&gt; EF2.7 )</t>
    </r>
  </si>
  <si>
    <r>
      <t xml:space="preserve">T 1.03  Betriebsrechnung der Versicherung </t>
    </r>
    <r>
      <rPr>
        <b/>
        <vertAlign val="superscript"/>
        <sz val="12"/>
        <rFont val="Arial"/>
        <family val="2"/>
      </rPr>
      <t>1</t>
    </r>
    <r>
      <rPr>
        <b/>
        <sz val="12"/>
        <rFont val="Arial"/>
        <family val="2"/>
      </rPr>
      <t xml:space="preserve">  mit ordentlicher Franchise </t>
    </r>
  </si>
  <si>
    <t xml:space="preserve">Prämien </t>
  </si>
  <si>
    <t xml:space="preserve">Leistungen </t>
  </si>
  <si>
    <t>Kostenbeteiligung der Versicherten</t>
  </si>
  <si>
    <t>Abschreibungen auf Kostenbeteiligung</t>
  </si>
  <si>
    <t>1) Vgl. Fussnote 2) von Tabelle 11.02 und Fussnoten 2) -&gt; 5) von Tabelle 1.02.</t>
  </si>
  <si>
    <r>
      <t xml:space="preserve">Quelle:  2012 -&gt; : EF5.2 via ISAK (FIN) </t>
    </r>
    <r>
      <rPr>
        <i/>
        <sz val="10"/>
        <rFont val="Arial"/>
        <family val="2"/>
      </rPr>
      <t>( -&gt; 2011 EF2.2 )</t>
    </r>
  </si>
  <si>
    <r>
      <t xml:space="preserve">T 1.04  Betriebsrechnung der Versicherungen </t>
    </r>
    <r>
      <rPr>
        <b/>
        <vertAlign val="superscript"/>
        <sz val="12"/>
        <rFont val="Arial"/>
        <family val="2"/>
      </rPr>
      <t>1</t>
    </r>
    <r>
      <rPr>
        <b/>
        <sz val="12"/>
        <rFont val="Arial"/>
        <family val="2"/>
      </rPr>
      <t xml:space="preserve">  mit wählbarer Franchise </t>
    </r>
  </si>
  <si>
    <r>
      <t xml:space="preserve">Quelle:  2012 -&gt; : Summe EF5.3 via ISAK (FIN) </t>
    </r>
    <r>
      <rPr>
        <i/>
        <sz val="10"/>
        <rFont val="Arial"/>
        <family val="2"/>
      </rPr>
      <t>( -&gt; 2011 EF2.3 )</t>
    </r>
  </si>
  <si>
    <r>
      <t xml:space="preserve">T 1.05  Betriebsrechnung der BONUS-Versicherung </t>
    </r>
    <r>
      <rPr>
        <b/>
        <vertAlign val="superscript"/>
        <sz val="12"/>
        <rFont val="Arial"/>
        <family val="2"/>
      </rPr>
      <t>1</t>
    </r>
  </si>
  <si>
    <r>
      <t xml:space="preserve">Quelle:  2012 -&gt; : EF5.4 via ISAK (FIN) </t>
    </r>
    <r>
      <rPr>
        <i/>
        <sz val="10"/>
        <rFont val="Arial"/>
        <family val="2"/>
      </rPr>
      <t>( -&gt; 2011 EF2.4 )</t>
    </r>
  </si>
  <si>
    <r>
      <t xml:space="preserve">T 1.06  Betriebsrechnung der Versicherungen </t>
    </r>
    <r>
      <rPr>
        <b/>
        <vertAlign val="superscript"/>
        <sz val="12"/>
        <rFont val="Arial"/>
        <family val="2"/>
      </rPr>
      <t>1</t>
    </r>
    <r>
      <rPr>
        <b/>
        <sz val="12"/>
        <rFont val="Arial"/>
        <family val="2"/>
      </rPr>
      <t xml:space="preserve">  mit eingeschränkter Wahl des Leistungserbringers </t>
    </r>
  </si>
  <si>
    <t>3014-15-16</t>
  </si>
  <si>
    <t>4014-15-16</t>
  </si>
  <si>
    <t>4204-05-06</t>
  </si>
  <si>
    <t>4214-15-16</t>
  </si>
  <si>
    <r>
      <t xml:space="preserve">Quelle:  2012 -&gt; : Summe EF5.5 -&gt; EF5.7 via ISAK (FIN) </t>
    </r>
    <r>
      <rPr>
        <i/>
        <sz val="10"/>
        <rFont val="Arial"/>
        <family val="2"/>
      </rPr>
      <t>( -&gt; 2011 Summe EF2.5 -&gt; EF2.7 )</t>
    </r>
  </si>
  <si>
    <r>
      <t xml:space="preserve">T 1.07  Betriebsrechnung der obligatorischen Krankenpflegeversicherung von Personen mit Wohnsitz in einem EG-Staat, in Island oder in Norwegen, inklusive GrenzgängerInnen </t>
    </r>
    <r>
      <rPr>
        <b/>
        <vertAlign val="superscript"/>
        <sz val="12"/>
        <rFont val="Arial"/>
        <family val="2"/>
      </rPr>
      <t>1</t>
    </r>
  </si>
  <si>
    <t>T 1.08 Gesamtbetriebsergebnis in Mio. Franken nach Versicherungsform ab 2003</t>
  </si>
  <si>
    <t xml:space="preserve">Jahr </t>
  </si>
  <si>
    <t>Ordentliche</t>
  </si>
  <si>
    <t>Wählbare</t>
  </si>
  <si>
    <t>BONUS-</t>
  </si>
  <si>
    <t>Einge-</t>
  </si>
  <si>
    <t xml:space="preserve">  Jahres-</t>
  </si>
  <si>
    <t xml:space="preserve"> Jahres-</t>
  </si>
  <si>
    <t>Versicherung</t>
  </si>
  <si>
    <t>schränkte</t>
  </si>
  <si>
    <t>franchise</t>
  </si>
  <si>
    <t>franchisen</t>
  </si>
  <si>
    <t>Wahl</t>
  </si>
  <si>
    <t xml:space="preserve"> (z.B. HMO)</t>
  </si>
  <si>
    <r>
      <t xml:space="preserve">Quelle: 2012 -&gt; : EF5.2.999 -&gt; EF5.7.999  via ISAK (FIN)  </t>
    </r>
    <r>
      <rPr>
        <i/>
        <sz val="10"/>
        <rFont val="Arial"/>
        <family val="2"/>
      </rPr>
      <t>(-&gt; 2011 : T 1.03, 1.04, 1.05, 1.06)</t>
    </r>
  </si>
  <si>
    <t>T 1.09  Gesamtbetriebsergebnis in Franken je versicherte Person nach Versicherungsform ab 2003</t>
  </si>
  <si>
    <t>Jahr</t>
  </si>
  <si>
    <t>Alle</t>
  </si>
  <si>
    <t>Versicherungs-</t>
  </si>
  <si>
    <t xml:space="preserve"> Wahl</t>
  </si>
  <si>
    <t>formen</t>
  </si>
  <si>
    <t>Quelle: T 1.08 / T 11.05</t>
  </si>
  <si>
    <t>Betriebsaufwand für eig. Rechnung</t>
  </si>
  <si>
    <r>
      <t xml:space="preserve">Nur GrenzgängerInnen </t>
    </r>
    <r>
      <rPr>
        <b/>
        <vertAlign val="superscript"/>
        <sz val="12"/>
        <rFont val="Arial"/>
        <family val="2"/>
      </rPr>
      <t>2</t>
    </r>
  </si>
  <si>
    <t>1.12E (-)</t>
  </si>
  <si>
    <t xml:space="preserve">Bruttoleistungen </t>
  </si>
  <si>
    <t>1) Ohne Liechstenstein. Versichertenbestand : siehe T 11.13. Vgl. Fussnoten 2) -&gt; 5) von Tabelle 1.02.</t>
  </si>
  <si>
    <t>2) GrenzgängerInnen, sowie ihre nichterwerbstätigen Familienangehörigen (Versicherte gemäss Art. 3 KVV).</t>
  </si>
  <si>
    <r>
      <t xml:space="preserve">Quelle:  2012 -&gt; : EF5.10 via ISAK (FIN) und EF1.12E </t>
    </r>
    <r>
      <rPr>
        <i/>
        <sz val="10"/>
        <rFont val="Arial"/>
        <family val="2"/>
      </rPr>
      <t>( -&gt; 2011 EF2.12 und EF1.12E )</t>
    </r>
  </si>
  <si>
    <r>
      <t xml:space="preserve">T 1.11 Verwaltungsaufwand / Abschreibungen in Franken je versicherte Person </t>
    </r>
    <r>
      <rPr>
        <b/>
        <sz val="12"/>
        <rFont val="Arial"/>
        <family val="2"/>
      </rPr>
      <t>nach Versicherungsform ab 2003</t>
    </r>
  </si>
  <si>
    <r>
      <t xml:space="preserve">Jahr </t>
    </r>
    <r>
      <rPr>
        <vertAlign val="superscript"/>
        <sz val="11"/>
        <rFont val="Arial"/>
        <family val="2"/>
      </rPr>
      <t>1</t>
    </r>
  </si>
  <si>
    <t>Veränderung</t>
  </si>
  <si>
    <t>gegenüber</t>
  </si>
  <si>
    <t>Vorjahr</t>
  </si>
  <si>
    <t xml:space="preserve">1) 1996 -&gt; 2008 : Schätzung des mittleren Versichertenbestandes (ausgenommen Spalte "Alle Versicherungsformen") </t>
  </si>
  <si>
    <t xml:space="preserve">    aufgrund der Aufteilung der Versicherten per 31.12 in T 11.05    (revidierte Zahlen 1996 -&gt; 2012).</t>
  </si>
  <si>
    <t>Quelle: T 1.10 / T 11.16</t>
  </si>
  <si>
    <t>T 1.10 Verwaltungsaufwand / Abschreibungen in Mio. Franken nach Versicherungsform ab 2003</t>
  </si>
  <si>
    <t>In % des</t>
  </si>
  <si>
    <t>Versiche-</t>
  </si>
  <si>
    <t>und Betriebsauf-</t>
  </si>
  <si>
    <t>rung</t>
  </si>
  <si>
    <t>wand</t>
  </si>
  <si>
    <t>wands</t>
  </si>
  <si>
    <r>
      <t>Quelle: 2012 -&gt; : EF5.2 -&gt; 5.7 500+501+510+516+517+519 und 993 via ISAK (FIN)</t>
    </r>
    <r>
      <rPr>
        <i/>
        <sz val="10"/>
        <rFont val="Arial"/>
        <family val="2"/>
      </rPr>
      <t xml:space="preserve"> ( -&gt; 2011 : T 1.03, 1.04, 1.05, 1.06 [40-47+48] und 1.02 [3/4] )</t>
    </r>
  </si>
  <si>
    <r>
      <t xml:space="preserve">T 2.20  Nettoleistungen </t>
    </r>
    <r>
      <rPr>
        <b/>
        <vertAlign val="superscript"/>
        <sz val="12"/>
        <rFont val="Arial"/>
        <family val="2"/>
      </rPr>
      <t xml:space="preserve">1 </t>
    </r>
    <r>
      <rPr>
        <b/>
        <sz val="12"/>
        <rFont val="Arial"/>
        <family val="2"/>
      </rPr>
      <t xml:space="preserve"> in Mio. Franken nach Versicherungsform ab 2003</t>
    </r>
  </si>
  <si>
    <t>1) Nettoleistungen = bezahlte Leistungen der Versicherer = Bruttoleistungen der Versicherer minus Kostenbeteiligungen der Versicherten.</t>
  </si>
  <si>
    <t xml:space="preserve">Quelle: 2012 -&gt; :  [ - EF5.2 4010 - ( EF 5.2 4200 - 4210) ], [ - EF5.3 4012 - (EF5.3 4202 
- 4212) ], [ - EF 5.4 4013 - (EF5.4 4203 - 4213) ], </t>
  </si>
  <si>
    <t>[ - EF 5.5 4014 - (EF5.5 4204 - 4214) ] + 
[ - EF 5.6 4015 - (EF5.6 4205 - 4215) ] 
+ [ - EF 5.7 4016 - (EF5.7 4206 - 4216) ] via ISAK (FIN)</t>
  </si>
  <si>
    <t>( -&gt; 2011: T 1.03; 1.04; 1.05; 1.06 [32] )</t>
  </si>
  <si>
    <r>
      <t xml:space="preserve">T 2.12 Nettoleistungen </t>
    </r>
    <r>
      <rPr>
        <b/>
        <vertAlign val="superscript"/>
        <sz val="12"/>
        <rFont val="Arial"/>
        <family val="2"/>
      </rPr>
      <t>1</t>
    </r>
    <r>
      <rPr>
        <b/>
        <sz val="12"/>
        <rFont val="Arial"/>
        <family val="2"/>
      </rPr>
      <t xml:space="preserve">  in Fr.  je versicherte Person nach Kanton </t>
    </r>
  </si>
  <si>
    <t>Kinder</t>
  </si>
  <si>
    <t>Junge Erwachsene</t>
  </si>
  <si>
    <t>Erwachsene</t>
  </si>
  <si>
    <t>Alle Versicherte</t>
  </si>
  <si>
    <t>(0-18 Jahre)</t>
  </si>
  <si>
    <t>(19-25 Jahre)</t>
  </si>
  <si>
    <t>(26 J. und älter)</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</si>
  <si>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</si>
  <si>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</si>
  <si>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</si>
  <si>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</si>
  <si>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</si>
  <si>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</si>
  <si>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</si>
  <si>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</si>
  <si>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</si>
  <si>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</si>
  <si>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</si>
  <si>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</si>
  <si>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</si>
  <si>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</si>
  <si>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</si>
  <si>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</si>
  <si>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</si>
  <si>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</si>
  <si>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</si>
  <si>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</si>
  <si>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</si>
  <si>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</si>
  <si>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</si>
  <si>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</si>
  <si>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</si>
  <si>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</si>
  <si>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r>
      <t xml:space="preserve">Ausland </t>
    </r>
    <r>
      <rPr>
        <vertAlign val="superscript"/>
        <sz val="11"/>
        <rFont val="Arial"/>
        <family val="2"/>
      </rPr>
      <t>2</t>
    </r>
  </si>
  <si>
    <t>Unbekannt</t>
  </si>
  <si>
    <t>CH</t>
  </si>
  <si>
    <t xml:space="preserve">Quelle: T 2.07 / T 11.14 </t>
  </si>
  <si>
    <r>
      <t xml:space="preserve">1) Nettoleistungen = bezahlte Leistungen der Versicherer in der OKP </t>
    </r>
    <r>
      <rPr>
        <b/>
        <sz val="10"/>
        <rFont val="Arial"/>
        <family val="2"/>
      </rPr>
      <t>ohne</t>
    </r>
    <r>
      <rPr>
        <sz val="10"/>
        <rFont val="Arial"/>
        <family val="2"/>
      </rPr>
      <t xml:space="preserve"> Kostenbeteiligung durch die Versicherten.</t>
    </r>
  </si>
  <si>
    <t>2) Personen mit Wohnsitz/Aufenthalt im Ausland gemäss Art. 4 und 5 KVV.</t>
  </si>
  <si>
    <r>
      <t xml:space="preserve">T 2.10  Kostenbeteiligung </t>
    </r>
    <r>
      <rPr>
        <b/>
        <vertAlign val="superscript"/>
        <sz val="12"/>
        <rFont val="Arial"/>
        <family val="2"/>
      </rPr>
      <t>1</t>
    </r>
    <r>
      <rPr>
        <b/>
        <sz val="12"/>
        <rFont val="Arial"/>
        <family val="2"/>
      </rPr>
      <t xml:space="preserve"> in Fr. nach Kanton</t>
    </r>
  </si>
  <si>
    <t>Quelle: Formular EF 3.18</t>
  </si>
  <si>
    <t>1) Berücksichtigt nur die bei dem Versicherer eingereichten Rechnungen.</t>
  </si>
  <si>
    <t xml:space="preserve"> </t>
  </si>
  <si>
    <r>
      <t xml:space="preserve">T 2.07  Nettoleistungen </t>
    </r>
    <r>
      <rPr>
        <b/>
        <vertAlign val="superscript"/>
        <sz val="12"/>
        <rFont val="Arial"/>
        <family val="2"/>
      </rPr>
      <t xml:space="preserve">1 </t>
    </r>
    <r>
      <rPr>
        <b/>
        <sz val="12"/>
        <rFont val="Arial"/>
        <family val="2"/>
      </rPr>
      <t xml:space="preserve"> in Fr. nach Kanton </t>
    </r>
  </si>
  <si>
    <t>Quelle: T 2.04 - T 2.10</t>
  </si>
  <si>
    <r>
      <t xml:space="preserve">T 2.04  Bruttoleistungen </t>
    </r>
    <r>
      <rPr>
        <b/>
        <vertAlign val="superscript"/>
        <sz val="12"/>
        <rFont val="Arial"/>
        <family val="2"/>
      </rPr>
      <t>1</t>
    </r>
    <r>
      <rPr>
        <b/>
        <sz val="12"/>
        <rFont val="Arial"/>
        <family val="2"/>
      </rPr>
      <t xml:space="preserve">  in Fr. nach Kanton</t>
    </r>
  </si>
  <si>
    <t>Quelle: Formular EF 3.21</t>
  </si>
  <si>
    <r>
      <t xml:space="preserve">1) Bruttoleistungen = Leistungen der Versicherer in der OKP </t>
    </r>
    <r>
      <rPr>
        <b/>
        <sz val="10"/>
        <rFont val="Arial"/>
        <family val="2"/>
      </rPr>
      <t>mit</t>
    </r>
    <r>
      <rPr>
        <sz val="10"/>
        <rFont val="Arial"/>
        <family val="2"/>
      </rPr>
      <t xml:space="preserve"> Kostenbeteiligung durch die Versicherten.</t>
    </r>
  </si>
  <si>
    <t>T 2.01  Kostenbeteiligung der Versicherten in Mio. Franken nach Versicherungsform ab 2003</t>
  </si>
  <si>
    <t>Quelle: 2012 -&gt; EF 5.2 4200 - 4210, EF5.3 4202 - 4212, EF5.4 4203 - 4213,  (EF5.5 4204 - 4214) + (EF5.6 4205 - 4215) + (EF5.7 4206 - 4216) via ISAK (FIN)</t>
  </si>
  <si>
    <t>2: Leistungen und Kostenbeteiligung in der OKP</t>
  </si>
  <si>
    <t xml:space="preserve">Kostenbeteiligung der Versicherten nach Versicherungsform ab 2003 </t>
  </si>
  <si>
    <t xml:space="preserve">Kostenbeteiligung je versicherte Person nach Versicherungsform ab 2003 </t>
  </si>
  <si>
    <t>Nettoleistungen je versicherte Person nach Kanton ab 1996</t>
  </si>
  <si>
    <t>Bruttoleistungen nach Kanton</t>
  </si>
  <si>
    <t>Bruttoleistungen je versicherte Person nach Kanton</t>
  </si>
  <si>
    <t xml:space="preserve">Bruttoleistungen nach Altersklasse und Geschlecht </t>
  </si>
  <si>
    <t>Nettoleistungen nach Kanton</t>
  </si>
  <si>
    <t>Nettoleistungen je versicherte Person nach Versicherungsform</t>
  </si>
  <si>
    <t xml:space="preserve">Nettoleistungen nach Altersklasse und Geschlecht </t>
  </si>
  <si>
    <t>Kostenbeteiligung nach Kanton</t>
  </si>
  <si>
    <t>Kostenbeteiligung nach Altersgruppe und Geschlecht</t>
  </si>
  <si>
    <t>Nettoleistungen je versicherte Person nach Kanton</t>
  </si>
  <si>
    <t>Kostenbeteiligung je versicherte Person nach Kanton</t>
  </si>
  <si>
    <t>Bruttoleistungen nach Versicherungsform ab 2003</t>
  </si>
  <si>
    <t>Bruttoleistungen je versicherte Person nach Versicherungsform ab 2003</t>
  </si>
  <si>
    <t>Bruttoleistungen nach Kostengruppe ab 2003</t>
  </si>
  <si>
    <t xml:space="preserve">Bruttoleistungen nach Kostengruppe </t>
  </si>
  <si>
    <t xml:space="preserve">Bruttoleistungen je versicherte Person nach Kostengruppe ab 2003 </t>
  </si>
  <si>
    <t>Bruttoleistungen je versicherte Person nach Kostengruppe</t>
  </si>
  <si>
    <t>Nettoleistungen nach Versicherungsform ab 2003</t>
  </si>
  <si>
    <t>Nettoleistungen je versicherte Person nach Versicherungsform ab 2003</t>
  </si>
  <si>
    <t xml:space="preserve">Bruttoleistungen nach Versicherungsform </t>
  </si>
  <si>
    <t xml:space="preserve">Kostenbeteiligung je versicherte Person nach Versicherungsform </t>
  </si>
  <si>
    <t xml:space="preserve">Bruttoleistungen je versicherte Person nach Versicherungsform </t>
  </si>
  <si>
    <t>Bruttoleistungen je versicherte Person nach Kanton ab 1996</t>
  </si>
  <si>
    <t>Kostenbeteiligung je versicherte Person nach Kanton ab 1996</t>
  </si>
  <si>
    <r>
      <t xml:space="preserve">Weitere Informationen: </t>
    </r>
    <r>
      <rPr>
        <sz val="10"/>
        <rFont val="Arial"/>
        <family val="2"/>
      </rPr>
      <t xml:space="preserve">BAG, Sektion Datenmanagement und Statistik KV </t>
    </r>
    <r>
      <rPr>
        <sz val="9"/>
        <rFont val="Arial"/>
        <family val="2"/>
      </rPr>
      <t>(französisch und deutsch)</t>
    </r>
  </si>
  <si>
    <r>
      <t xml:space="preserve">Weitere Informationen für Presse und Medien: </t>
    </r>
    <r>
      <rPr>
        <sz val="10"/>
        <rFont val="Arial"/>
        <family val="2"/>
      </rPr>
      <t>BAG, Informations- und Pressedienst KV</t>
    </r>
    <r>
      <rPr>
        <sz val="9"/>
        <rFont val="Arial"/>
        <family val="2"/>
      </rPr>
      <t xml:space="preserve"> (französisch und deutsch)</t>
    </r>
  </si>
  <si>
    <r>
      <t xml:space="preserve">T 6.06  Betriebsrechnung der Kollektivversicherung </t>
    </r>
    <r>
      <rPr>
        <b/>
        <vertAlign val="superscript"/>
        <sz val="12"/>
        <rFont val="Arial"/>
        <family val="2"/>
      </rPr>
      <t>1</t>
    </r>
  </si>
  <si>
    <r>
      <t xml:space="preserve">Quelle:  2012 -&gt; EF5.1 via ISAK (FIN)  </t>
    </r>
    <r>
      <rPr>
        <i/>
        <sz val="10"/>
        <rFont val="Arial"/>
        <family val="2"/>
      </rPr>
      <t>( -&gt; 2011 EF2.1 )</t>
    </r>
  </si>
  <si>
    <t>1) Getrennte Rechnungsführung für die Einzel- und die Kollektivversicherung wird nur bei unterschiedlichen Prämientarifen</t>
  </si>
  <si>
    <t>verlangt (vgl. Art. 75 Abs. 2 KVG).</t>
  </si>
  <si>
    <t xml:space="preserve">T 6.04  Betriebsrechnung der Einzel- und Kollektivversicherung insgesamt </t>
  </si>
  <si>
    <t>3000-05</t>
  </si>
  <si>
    <t>4000-05</t>
  </si>
  <si>
    <r>
      <t xml:space="preserve">Quelle:  2012 -&gt; Summe EF5.0 -&gt; EF5.1 via ISAK (FIN) </t>
    </r>
    <r>
      <rPr>
        <i/>
        <sz val="10"/>
        <rFont val="Arial"/>
        <family val="2"/>
      </rPr>
      <t>( -&gt; 2011 Summe EF2.0 -&gt; EF2.1 )</t>
    </r>
  </si>
  <si>
    <r>
      <t xml:space="preserve">T 6.05  Betriebsrechnung der Einzelversicherung </t>
    </r>
    <r>
      <rPr>
        <b/>
        <vertAlign val="superscript"/>
        <sz val="12"/>
        <rFont val="Arial"/>
        <family val="2"/>
      </rPr>
      <t>1</t>
    </r>
  </si>
  <si>
    <r>
      <t xml:space="preserve">Quelle:  2012 -&gt; EF5.0 via ISAK (FIN)  </t>
    </r>
    <r>
      <rPr>
        <i/>
        <sz val="10"/>
        <rFont val="Arial"/>
        <family val="2"/>
      </rPr>
      <t>( -&gt; 2011 EF2.0 )</t>
    </r>
  </si>
  <si>
    <r>
      <t xml:space="preserve">T 7.02  Betriebsrechnung der Zusatzversicherungen VVG (inkl. Liechstenstein und Versicherte wohnhaft im Ausland) </t>
    </r>
    <r>
      <rPr>
        <b/>
        <vertAlign val="superscript"/>
        <sz val="12"/>
        <rFont val="Arial"/>
        <family val="2"/>
      </rPr>
      <t>1</t>
    </r>
  </si>
  <si>
    <t>Veränderung versicherungstechnische Schwankungs-Rückstellungen</t>
  </si>
  <si>
    <t>Risikoausgleich (Liechtenstein)</t>
  </si>
  <si>
    <t>Überschussbeteiligung der Versicherten</t>
  </si>
  <si>
    <t>davon Taggeldversicherung VVG</t>
  </si>
  <si>
    <t>1.12C</t>
  </si>
  <si>
    <t>Bruttoprämien</t>
  </si>
  <si>
    <t>1.12C (-)</t>
  </si>
  <si>
    <t>1) Vgl. Fussnote 1) von Tabelle 7.01.</t>
  </si>
  <si>
    <r>
      <t xml:space="preserve">Quelle:  2012 -&gt; EF5.8 via ISAK (FIN) und EF1.12C </t>
    </r>
    <r>
      <rPr>
        <i/>
        <sz val="10"/>
        <rFont val="Arial"/>
        <family val="2"/>
      </rPr>
      <t>( -&gt; 2011 Summe EF2.8 -&gt; EF2.10 und EF1.12C)</t>
    </r>
  </si>
  <si>
    <t>T 6.02 Ertrag, Aufwand und Ergebnis in Franken ab 2003</t>
  </si>
  <si>
    <t>Total des</t>
  </si>
  <si>
    <t>Total Ver-</t>
  </si>
  <si>
    <t>Gesamt-</t>
  </si>
  <si>
    <t>sicherungs-</t>
  </si>
  <si>
    <t>betriebs-</t>
  </si>
  <si>
    <t>ertrags</t>
  </si>
  <si>
    <t>und Betriebs-</t>
  </si>
  <si>
    <t>ergebnis</t>
  </si>
  <si>
    <t xml:space="preserve">aufwand </t>
  </si>
  <si>
    <r>
      <t xml:space="preserve">Quelle: 2012 -&gt; T 6.04 EF5.0 + 5.1 3, 995, 4, 5, 999 via ISAK (FIN) </t>
    </r>
    <r>
      <rPr>
        <i/>
        <sz val="10"/>
        <rFont val="Arial"/>
        <family val="2"/>
      </rPr>
      <t>( -&gt; 2011 T 6.04 )</t>
    </r>
    <r>
      <rPr>
        <sz val="10"/>
        <rFont val="Arial"/>
        <family val="2"/>
      </rPr>
      <t xml:space="preserve"> </t>
    </r>
  </si>
  <si>
    <t>6: Freiwillige Taggeldversicherung KVG</t>
  </si>
  <si>
    <t>Prämien, Leistungen, Versichertenbestand und Versichererbestand ab 2003</t>
  </si>
  <si>
    <t>Ertrag, Aufwand und Ergebnis ab 2003</t>
  </si>
  <si>
    <t>Versicherer, Versicherte, Prämien und Leistungen nach Einzel- u. Kollektivverträgen</t>
  </si>
  <si>
    <t xml:space="preserve">Betriebsrechnung der Einzel- und Kollektivversicherung insgesamt </t>
  </si>
  <si>
    <t xml:space="preserve">Betriebsrechnung der Einzelversicherung </t>
  </si>
  <si>
    <t>Betriebsrechnung der Kollektivversicherung</t>
  </si>
  <si>
    <r>
      <t xml:space="preserve">T 7.01  Ertrag, Aufwand und Ergebnis der anderen Versicherungen insgesamt </t>
    </r>
    <r>
      <rPr>
        <b/>
        <vertAlign val="superscript"/>
        <sz val="12"/>
        <rFont val="Arial"/>
        <family val="2"/>
      </rPr>
      <t xml:space="preserve">1 </t>
    </r>
    <r>
      <rPr>
        <b/>
        <sz val="12"/>
        <rFont val="Arial"/>
        <family val="2"/>
      </rPr>
      <t xml:space="preserve"> in Franken ab 2003</t>
    </r>
  </si>
  <si>
    <r>
      <t xml:space="preserve">Jahr </t>
    </r>
    <r>
      <rPr>
        <vertAlign val="superscript"/>
        <sz val="11"/>
        <rFont val="Arial"/>
        <family val="2"/>
      </rPr>
      <t>2, 3</t>
    </r>
  </si>
  <si>
    <t>aufwand</t>
  </si>
  <si>
    <t xml:space="preserve">1) Zusammenzug der «Zusatzversicherungen VVG», «Krankenpflegeversicherung Liechtenstein» und </t>
  </si>
  <si>
    <t>«Zusatzversicherungen Versicherte wohnhaft im Ausland», ab 2012 nicht mehr separat verfügbar.</t>
  </si>
  <si>
    <t>Die FINMA als Aufsichtsorgan publiziert die Angaben zu den Versicherern, die VVG-Produkte anbieten unter</t>
  </si>
  <si>
    <t>www.versichererreport.finma.ch/reportportal/  Rubrik Schadenversicherer / Direktes Schweizergeschäft / Krankenversicherung.</t>
  </si>
  <si>
    <t>2) Vorjahresvergleiche sind nur mit Vorbehalt möglich, da jene Zusatzversicherungen VVG, welche auch unternehmensrechtlich</t>
  </si>
  <si>
    <t>vom KVG-Bereich eines Versicherers abgetrennt werden, sich der Sicht der BAG-Krankenversicherungsstatistik entziehen.</t>
  </si>
  <si>
    <t>3) Revidierte Zahlen für 2002 und 2003 (ohne T 7.06).</t>
  </si>
  <si>
    <r>
      <t xml:space="preserve">Quelle: 2012 -&gt; EF5.8 3 + 995, EF5.8 4 + 5, EF5.8 999 via ISAK (FIN) </t>
    </r>
    <r>
      <rPr>
        <i/>
        <sz val="10"/>
        <rFont val="Arial"/>
        <family val="2"/>
      </rPr>
      <t>( -&gt; 2011 T 7.02 )</t>
    </r>
  </si>
  <si>
    <t>7: Andere Versicherungen der vom BAG anerkannten Krankenversicherer</t>
  </si>
  <si>
    <t>Ertrag, Aufwand und Ergebnis der anderen Versicherungen insgesamt ab 2003</t>
  </si>
  <si>
    <t>Betriebsrechnung der Zusatzversicherungen VVG</t>
  </si>
  <si>
    <t>(inkl. Liechstenstein und Versicherte wohnhaft im Ausland)</t>
  </si>
  <si>
    <t>3: Prämiensoll in der OKP</t>
  </si>
  <si>
    <t xml:space="preserve">Prämiensoll nach Versicherungsform </t>
  </si>
  <si>
    <t>Prämiensoll nach Versicherungsform ab 2003</t>
  </si>
  <si>
    <t>Prämiensoll je versicherte Person nach Versicherungsform</t>
  </si>
  <si>
    <t>Prämiensoll je versicherte Person nach Kanton</t>
  </si>
  <si>
    <t>Prämiensoll je versicherte Person nach Versicherungsform ab 2003</t>
  </si>
  <si>
    <t>Prämiensoll nach Kanton</t>
  </si>
  <si>
    <t>Prämiensoll nach Altersklasse und Geschlecht</t>
  </si>
  <si>
    <t>Prämiensoll je versicherte Person nach Kanton ab 1996</t>
  </si>
  <si>
    <r>
      <t xml:space="preserve">T 3.04  Prämiensoll in Franken je versicherte Person </t>
    </r>
    <r>
      <rPr>
        <b/>
        <vertAlign val="superscript"/>
        <sz val="12"/>
        <rFont val="Arial"/>
        <family val="2"/>
      </rPr>
      <t xml:space="preserve">1 </t>
    </r>
    <r>
      <rPr>
        <b/>
        <sz val="12"/>
        <rFont val="Arial"/>
        <family val="2"/>
      </rPr>
      <t xml:space="preserve"> nach Kanton</t>
    </r>
  </si>
  <si>
    <t>Junge</t>
  </si>
  <si>
    <t>Versicherte</t>
  </si>
  <si>
    <t xml:space="preserve">Quelle : T 3.06 / T 11.14 </t>
  </si>
  <si>
    <t>1) Für alle Versicherungsformen.</t>
  </si>
  <si>
    <r>
      <t xml:space="preserve">T 3.06  Prämiensoll in Franken </t>
    </r>
    <r>
      <rPr>
        <b/>
        <vertAlign val="superscript"/>
        <sz val="12"/>
        <rFont val="Arial"/>
        <family val="2"/>
      </rPr>
      <t>1</t>
    </r>
    <r>
      <rPr>
        <b/>
        <sz val="12"/>
        <rFont val="Arial"/>
        <family val="2"/>
      </rPr>
      <t xml:space="preserve">  nach Kanton</t>
    </r>
  </si>
  <si>
    <t>Quelle: Formular EF 3.15</t>
  </si>
  <si>
    <t>T 2.19  Bruttoleistungen in Franken je versicherte Person nach Kostengruppe</t>
  </si>
  <si>
    <t>Männer</t>
  </si>
  <si>
    <t>Frauen</t>
  </si>
  <si>
    <t>Anteil am</t>
  </si>
  <si>
    <t>total in %</t>
  </si>
  <si>
    <t>in %</t>
  </si>
  <si>
    <t>Arzt ambulant</t>
  </si>
  <si>
    <r>
      <t xml:space="preserve">Spital stationär </t>
    </r>
    <r>
      <rPr>
        <vertAlign val="superscript"/>
        <sz val="11"/>
        <rFont val="Arial"/>
        <family val="2"/>
      </rPr>
      <t>2</t>
    </r>
  </si>
  <si>
    <t>Spital ambulant</t>
  </si>
  <si>
    <t>Medikamente Arzt</t>
  </si>
  <si>
    <t>Medikamente Apotheke</t>
  </si>
  <si>
    <r>
      <t xml:space="preserve">Pflegeheim </t>
    </r>
    <r>
      <rPr>
        <vertAlign val="superscript"/>
        <sz val="11"/>
        <rFont val="Arial"/>
        <family val="2"/>
      </rPr>
      <t>2</t>
    </r>
  </si>
  <si>
    <t>Spitex</t>
  </si>
  <si>
    <t>Physiotherapie</t>
  </si>
  <si>
    <t>Labor</t>
  </si>
  <si>
    <t>Chiropraktik</t>
  </si>
  <si>
    <t>Mittel und Gegenstände</t>
  </si>
  <si>
    <r>
      <t xml:space="preserve">Betriebsbeiträge an HMO's </t>
    </r>
    <r>
      <rPr>
        <vertAlign val="superscript"/>
        <sz val="11"/>
        <rFont val="Arial"/>
        <family val="2"/>
      </rPr>
      <t>1</t>
    </r>
  </si>
  <si>
    <t>Komplementärmedizin</t>
  </si>
  <si>
    <r>
      <t xml:space="preserve">Übrige Leistungen ambulant </t>
    </r>
    <r>
      <rPr>
        <vertAlign val="superscript"/>
        <sz val="11"/>
        <rFont val="Arial"/>
        <family val="2"/>
      </rPr>
      <t>5</t>
    </r>
  </si>
  <si>
    <r>
      <t xml:space="preserve">Übrige Leistungen stationär </t>
    </r>
    <r>
      <rPr>
        <vertAlign val="superscript"/>
        <sz val="11"/>
        <rFont val="Arial"/>
        <family val="2"/>
      </rPr>
      <t>2 4</t>
    </r>
  </si>
  <si>
    <t>Leistungen Total</t>
  </si>
  <si>
    <r>
      <t xml:space="preserve">davon Leistungen Mutterschaft </t>
    </r>
    <r>
      <rPr>
        <i/>
        <vertAlign val="superscript"/>
        <sz val="11"/>
        <rFont val="Arial"/>
        <family val="2"/>
      </rPr>
      <t>6</t>
    </r>
  </si>
  <si>
    <r>
      <t xml:space="preserve">davon Medikamente Spital ambulant </t>
    </r>
    <r>
      <rPr>
        <i/>
        <vertAlign val="superscript"/>
        <sz val="11"/>
        <rFont val="Arial"/>
        <family val="2"/>
      </rPr>
      <t>3</t>
    </r>
  </si>
  <si>
    <r>
      <t xml:space="preserve">davon KVG-Leistungen von Zahnärzten </t>
    </r>
    <r>
      <rPr>
        <i/>
        <vertAlign val="superscript"/>
        <sz val="11"/>
        <rFont val="Arial"/>
        <family val="2"/>
      </rPr>
      <t>5</t>
    </r>
  </si>
  <si>
    <r>
      <t xml:space="preserve">davon Transport- und Rettungskosten </t>
    </r>
    <r>
      <rPr>
        <i/>
        <vertAlign val="superscript"/>
        <sz val="11"/>
        <rFont val="Arial"/>
        <family val="2"/>
      </rPr>
      <t>5</t>
    </r>
  </si>
  <si>
    <t>1) Sofern keine Aufteilung nach den anderen aufgeführten Kostengruppen möglich ist. Vgl. Fussnote 3) von Tabelle 2.16.</t>
  </si>
  <si>
    <t>2) Intra-muros Behandlung; andere Gruppen = ambulante Behandlung.</t>
  </si>
  <si>
    <t>3) Kategorie "Medikamente Spital ambulant": gehört zur Kategorie "Spital ambulant".</t>
  </si>
  <si>
    <t>4) Zum Beispiel Heilbäder.</t>
  </si>
  <si>
    <t>5) Zum Beispiel Logopädie, Ergotherapie.</t>
  </si>
  <si>
    <t xml:space="preserve">     Kategorien "KVG-Leistungen von Zahnärzten" und "Transport- und Rettungskosten" gehören zur Kategorie "Übrige Leistungen ambulant".</t>
  </si>
  <si>
    <t>6) Nur die Leistungen gemäss Art. 29 Abs. 2 KVG, ohne die Leistungen gemäss Art. 64 Abs. 7b sowie 25 und 25 a KVG.</t>
  </si>
  <si>
    <t>Quelle: T 2.17 / T 11.01</t>
  </si>
  <si>
    <t>Ambulante</t>
  </si>
  <si>
    <t>Behandlung</t>
  </si>
  <si>
    <t>davon</t>
  </si>
  <si>
    <t>Arzt</t>
  </si>
  <si>
    <t>Spital</t>
  </si>
  <si>
    <t>Medikamente</t>
  </si>
  <si>
    <t>Mittel und</t>
  </si>
  <si>
    <t>Betriebsbeiträge</t>
  </si>
  <si>
    <t>Komplementär-</t>
  </si>
  <si>
    <t>(ambulant)</t>
  </si>
  <si>
    <t>(Arzt)</t>
  </si>
  <si>
    <t>(Apotheke)</t>
  </si>
  <si>
    <t>Gegenstände</t>
  </si>
  <si>
    <t>medizin</t>
  </si>
  <si>
    <t>Jahresdurch-schnittliche Veränderung 2003-2013</t>
  </si>
  <si>
    <t>«Intra-muros»</t>
  </si>
  <si>
    <t>Leistungen</t>
  </si>
  <si>
    <t xml:space="preserve">Spital </t>
  </si>
  <si>
    <t>Pflegeheim</t>
  </si>
  <si>
    <t>(stationär)</t>
  </si>
  <si>
    <t>2) Vgl. Fussnoten 1) und 2) von Tabelle 2.16.</t>
  </si>
  <si>
    <t>Quelle: T 2.16 / 11.01</t>
  </si>
  <si>
    <t xml:space="preserve">T 2.17  Bruttoleistungen in Franken nach Kostengruppe </t>
  </si>
  <si>
    <t>in 1000 Fr.</t>
  </si>
  <si>
    <r>
      <t xml:space="preserve">Übrige Leistungen ambulant </t>
    </r>
    <r>
      <rPr>
        <vertAlign val="superscript"/>
        <sz val="11"/>
        <rFont val="Arial"/>
        <family val="2"/>
      </rPr>
      <t>5 6</t>
    </r>
  </si>
  <si>
    <r>
      <t xml:space="preserve">davon Leistungen Mutterschaft </t>
    </r>
    <r>
      <rPr>
        <i/>
        <vertAlign val="superscript"/>
        <sz val="11"/>
        <rFont val="Arial"/>
        <family val="2"/>
      </rPr>
      <t>7</t>
    </r>
  </si>
  <si>
    <r>
      <t xml:space="preserve">davon KVG-Leistungen von Zahnärzten </t>
    </r>
    <r>
      <rPr>
        <i/>
        <vertAlign val="superscript"/>
        <sz val="11"/>
        <rFont val="Arial"/>
        <family val="2"/>
      </rPr>
      <t>6</t>
    </r>
  </si>
  <si>
    <r>
      <t xml:space="preserve">davon Transport- und Rettungskosten </t>
    </r>
    <r>
      <rPr>
        <i/>
        <vertAlign val="superscript"/>
        <sz val="11"/>
        <rFont val="Arial"/>
        <family val="2"/>
      </rPr>
      <t>6</t>
    </r>
  </si>
  <si>
    <t>1) Sofern keine Aufteilung nach den anderen aufgeführten Kostengruppen möglich ist.</t>
  </si>
  <si>
    <t xml:space="preserve">   Mit der Einführung eines neuen Kontenplans 2012 erscheinen diese Leistungen von nun an in der Betriebsrechnung der OKP (T 1.02, Rubrik 4300).</t>
  </si>
  <si>
    <t>6) Kategorien "KVG-Leistungen von Zahnärzten" und "Transport- und Rettungskosten" gehören zur Kategorie "Übrige Leistungen ambulant".</t>
  </si>
  <si>
    <t>7) Nur die Leistungen gemäss Art. 29 Abs. 2 KVG, ohne die Leistungen gemäss Art. 64 Abs. 7b sowie 25 und 25 a KVG.</t>
  </si>
  <si>
    <t>Quelle: Formular EF 3.6</t>
  </si>
  <si>
    <r>
      <t xml:space="preserve">T 2.16  Bruttoleistungen </t>
    </r>
    <r>
      <rPr>
        <b/>
        <vertAlign val="superscript"/>
        <sz val="12"/>
        <rFont val="Arial"/>
        <family val="2"/>
      </rPr>
      <t>1</t>
    </r>
    <r>
      <rPr>
        <b/>
        <sz val="12"/>
        <rFont val="Arial"/>
        <family val="2"/>
      </rPr>
      <t xml:space="preserve"> in Mio. Franken nach Kostengruppe ab 2003</t>
    </r>
  </si>
  <si>
    <r>
      <t xml:space="preserve">Behandlung </t>
    </r>
    <r>
      <rPr>
        <b/>
        <vertAlign val="superscript"/>
        <sz val="11"/>
        <rFont val="Arial"/>
        <family val="2"/>
      </rPr>
      <t>2</t>
    </r>
  </si>
  <si>
    <r>
      <t xml:space="preserve">an HMO's </t>
    </r>
    <r>
      <rPr>
        <i/>
        <vertAlign val="superscript"/>
        <sz val="10"/>
        <rFont val="Arial"/>
        <family val="2"/>
      </rPr>
      <t>3</t>
    </r>
  </si>
  <si>
    <t>2) Als «Intra-muros» Behandlung gelten die Kategorien "Spital stationär", "Pflegeheime" und "übrige Leistungen stationär";</t>
  </si>
  <si>
    <t xml:space="preserve"> als ambulante Kosten gelten alle übrigen Kategorien.</t>
  </si>
  <si>
    <t>3) Mit der Einführung eines neuen Kontenplans 2012 erscheinen diese Leistungen von nun an in der Betriebsrechnung der OKP (T 1.02, Rubrik 4300).</t>
  </si>
  <si>
    <t>Quelle: T 2.17</t>
  </si>
  <si>
    <t>8.9.14: 2.16-&gt;2.19,T3,3.04,3.06,T6,6.02,6.04-&gt;6.06,T7,7.01,7.02</t>
  </si>
  <si>
    <t xml:space="preserve">Die Versicherten, die in der Schweiz versichert sind und im Ausland wohnen, werden ab 1.1.2013 </t>
  </si>
  <si>
    <t>im Risikoausgleich nicht mehr berücksichtigt (VORA-Änderung).</t>
  </si>
  <si>
    <t xml:space="preserve">T 8.11 Übersicht über die Kapitalanlagen nach Art. 80ff KVV (ohne Werte VVG und UVG) </t>
  </si>
  <si>
    <t>Anteil</t>
  </si>
  <si>
    <t>Liquidität (Art. 80d Abs. 1 Bst. a KVV)</t>
  </si>
  <si>
    <t>010</t>
  </si>
  <si>
    <t>effektiv abgesicherte Anlagen 1, 2</t>
  </si>
  <si>
    <t>020</t>
  </si>
  <si>
    <t>nicht effektiv abgesicherte Anlagen 3</t>
  </si>
  <si>
    <t>030</t>
  </si>
  <si>
    <t>Obligationen (Art. 80d Abs. 1 Bst. b KVV)</t>
  </si>
  <si>
    <t>040</t>
  </si>
  <si>
    <t>050</t>
  </si>
  <si>
    <t>060</t>
  </si>
  <si>
    <t>Eigenkapitalbeteiligungen (Art. 80d Abs. 1 Bst. c KVV)</t>
  </si>
  <si>
    <t>070</t>
  </si>
  <si>
    <t>080</t>
  </si>
  <si>
    <t>090</t>
  </si>
  <si>
    <t>Immobilien (Grundstücke und Gebäude) (Art. 80d Abs. 1 Bst. d KVV)</t>
  </si>
  <si>
    <t>Anlagen in Institutionen, die der Durchführung der sozialen Krankenversicherung dienen (Art. 80d Abs. 1 Bst. e KVV)</t>
  </si>
  <si>
    <t>Kollektive Kapitalanlagen (Art. 80g KVV) 4</t>
  </si>
  <si>
    <t>In kollektiven Anlagen enthaltene Liquidität (Art. 80d Abs. 1 Bst. a KVV)</t>
  </si>
  <si>
    <t>In kollektiven Anlagen enthaltene "Obligationen" (Art. 80d Abs. 1 Bst. b KVV)</t>
  </si>
  <si>
    <t>In kollektiven Anlagen enthaltene Eigenkapitalbeteiligungen (Art. 80d Abs. 1 Bst. c KVV)</t>
  </si>
  <si>
    <t>In kollektiven Anlagen enthaltene Immobilien (Art. 80d Abs. 1 Bst. d KVV)</t>
  </si>
  <si>
    <t>Total kollektive Anlagen</t>
  </si>
  <si>
    <t>Derivative Finanzinstrumente (Art. 80h KVV)</t>
  </si>
  <si>
    <t>Anlagen, die der Absicherung dienen</t>
  </si>
  <si>
    <t xml:space="preserve">Total Kapitalanlagen gemäss Art. 80ff KVV </t>
  </si>
  <si>
    <t>effektiv abgesicherte Anlagen</t>
  </si>
  <si>
    <t>- effektiv abgesicherte Anlagen sind Anlagen, deren Kurs und Währung vollständig abgesichert sind.</t>
  </si>
  <si>
    <t xml:space="preserve">- Werden Fremdwährungen pauschal abgesichert (z.B. 80% des gesamten Fremdwährungsbestandes), </t>
  </si>
  <si>
    <t>müssen die Absicherungen zum Ausfüllen dieser Tabelle vom Versicherer einzelnen Anlagen zugeordnet werden.</t>
  </si>
  <si>
    <t>nicht effektiv abgesicherte Anlagen</t>
  </si>
  <si>
    <t xml:space="preserve">nicht effektiv abgesicherte Anlagen sind Anlagen  </t>
  </si>
  <si>
    <t xml:space="preserve">  - die nicht abgesichert</t>
  </si>
  <si>
    <t xml:space="preserve">  - die nur unvollständig gegen Kurs- und Währungsschwankungen abgesichert sind.</t>
  </si>
  <si>
    <t>kollektive Anlagen</t>
  </si>
  <si>
    <t>Die Versicherer haben gemäss Art. 80g Abs. 3 KVV 2 Möglichkeiten die kollektiven Anlagen den Anlagekategorien zuzuordnen:</t>
  </si>
  <si>
    <t xml:space="preserve">1. Anteilsmässige Aufteilung auf die Anlagekategorien und Währungen. </t>
  </si>
  <si>
    <t>2. Zuordnung zu der Anlagekategorie oder Währung mit der stärksten Begrenzung.</t>
  </si>
  <si>
    <r>
      <t xml:space="preserve">Quelle: 2012 -&gt; EF4.6 via ISAK (FIN)   </t>
    </r>
    <r>
      <rPr>
        <i/>
        <sz val="10"/>
        <rFont val="Arial"/>
        <family val="2"/>
      </rPr>
      <t>( -&gt; 2011 EF1.11 )</t>
    </r>
  </si>
  <si>
    <t>T 8.10  Bilanz: Passiven der Versicherer per 31.12.</t>
  </si>
  <si>
    <t>Eigenkapital</t>
  </si>
  <si>
    <t>Kapital der Organisation</t>
  </si>
  <si>
    <t>Nicht einbezahltes Kapital der Organisation</t>
  </si>
  <si>
    <t>Kapitalreserven</t>
  </si>
  <si>
    <t>Eigene Anteile am Kapital der Organisation</t>
  </si>
  <si>
    <t>Gewinnreserven bzw. kumulierte Verluste</t>
  </si>
  <si>
    <t>Reserven KVG</t>
  </si>
  <si>
    <t>Reserven OKP CH</t>
  </si>
  <si>
    <t>Reserven OKP EU/EFTA</t>
  </si>
  <si>
    <t>Reserven freiwilliges Taggeld KVG</t>
  </si>
  <si>
    <t>Reserven aktive Rückversicherung KVG</t>
  </si>
  <si>
    <t>Reserven VVG inkl. FL</t>
  </si>
  <si>
    <t>Reserven UVG</t>
  </si>
  <si>
    <t>Einkaufssummen fusionierter Versicherer</t>
  </si>
  <si>
    <t>Total Eigenkapital</t>
  </si>
  <si>
    <t>Fremdkapital</t>
  </si>
  <si>
    <t>Versicherungstechnische Rückstellungen für eigene Rechnung</t>
  </si>
  <si>
    <t>Versicherungstechnische Rückstellungen für freiwilliges Taggeld KVG</t>
  </si>
  <si>
    <t>Versicherungstechnische Rückstellungen für OKP inkl. EU/EFTA</t>
  </si>
  <si>
    <t>Versicherungstechnische Rückstellungen für OKP CH</t>
  </si>
  <si>
    <t>Versicherungstechnische Rückstellungen für OKP EU/EFTA</t>
  </si>
  <si>
    <t>Versicherungstechnische Rückstellungen für Aktive Rückversicherung gemäss KVG</t>
  </si>
  <si>
    <t>Versicherungstechnische Rückstellungen für eigene Rechnung VVG inkl. FL</t>
  </si>
  <si>
    <t>Versicherungstechnische Rückstellungen UVG</t>
  </si>
  <si>
    <t>Versicherungstechnische Schwankungs- und Sicherheitsrückstellungen VVG</t>
  </si>
  <si>
    <t>Nichtversicherungstechnische Rückstellungen</t>
  </si>
  <si>
    <t>Rückstellungen für Risiken in den Kapitalanlagen VVG / UVG</t>
  </si>
  <si>
    <t>Langfristige Verbindlichkeiten</t>
  </si>
  <si>
    <t>Verbindlichkeiten Leistungserbringer</t>
  </si>
  <si>
    <t>Vorausbezahlte Prämien der Versicherten</t>
  </si>
  <si>
    <t>Passive Durchgangskonti</t>
  </si>
  <si>
    <t>Versicherungsorganisationen</t>
  </si>
  <si>
    <t>Agenten und Vermittler</t>
  </si>
  <si>
    <t>Gegenüber staatlichen Stellen</t>
  </si>
  <si>
    <t>Gemeinsame Einrichtung KVG</t>
  </si>
  <si>
    <t>Verbindlichkeiten Lieferanten und Übrige</t>
  </si>
  <si>
    <t>Verbindlichkeiten gegenüber nahestehenden Organisationen und Personen</t>
  </si>
  <si>
    <t>Rechnungsabgrenzung</t>
  </si>
  <si>
    <t>Total Fremdkapital</t>
  </si>
  <si>
    <t>Total Passiven</t>
  </si>
  <si>
    <r>
      <t xml:space="preserve">Quelle:  2012 -&gt; EF4.2 via ISAK (FIN)  </t>
    </r>
    <r>
      <rPr>
        <i/>
        <sz val="10"/>
        <rFont val="Arial"/>
        <family val="2"/>
      </rPr>
      <t>( -&gt;  2011 EF1.4, EF1.5 )</t>
    </r>
  </si>
  <si>
    <t>T 8.09  Bilanz: Aktiven der Versicherer per 31.12.</t>
  </si>
  <si>
    <t>Anlagevermögen</t>
  </si>
  <si>
    <t>Kapitalanlagen</t>
  </si>
  <si>
    <t>Kapitalanlagen KVG</t>
  </si>
  <si>
    <t>Kapitalanlagen VVG</t>
  </si>
  <si>
    <t>Kapitalanlagen UVG</t>
  </si>
  <si>
    <t>Latente Steuern</t>
  </si>
  <si>
    <t>Aktiven aus Vorsorgeplänen</t>
  </si>
  <si>
    <t>Immatrielle Anlagen</t>
  </si>
  <si>
    <t>Lizenzen</t>
  </si>
  <si>
    <t>Patente</t>
  </si>
  <si>
    <t>EDV (Software)</t>
  </si>
  <si>
    <t>Entwicklungskosten</t>
  </si>
  <si>
    <t>übrige Immaterielle Werte</t>
  </si>
  <si>
    <t>Aktivierte Abschlusskosten</t>
  </si>
  <si>
    <t>Sachanlagen</t>
  </si>
  <si>
    <t>Betriebseinrichtungen und Mobiliar</t>
  </si>
  <si>
    <t>EDV (Hardware)</t>
  </si>
  <si>
    <t>Fahrzeuge</t>
  </si>
  <si>
    <t>Total Anlagevermögen</t>
  </si>
  <si>
    <t>Umlaufvermögen</t>
  </si>
  <si>
    <t>Rechnungsabgrenzungen</t>
  </si>
  <si>
    <t>Marchzinsen</t>
  </si>
  <si>
    <t>Übrige Transitorische Aktiven</t>
  </si>
  <si>
    <t>Dirkekte Steuern</t>
  </si>
  <si>
    <t>Forderungen</t>
  </si>
  <si>
    <t>Forderungen Versicherungsnehmer</t>
  </si>
  <si>
    <t>Forderungen Risikoausgleich</t>
  </si>
  <si>
    <t>Übrige Forderungen</t>
  </si>
  <si>
    <t>Forderungen bei nahestehenden Organisationen und Personen</t>
  </si>
  <si>
    <t>Konzerngesellschaften</t>
  </si>
  <si>
    <t>Partner</t>
  </si>
  <si>
    <t>Andere Beteiligungsgesellschaften</t>
  </si>
  <si>
    <t>Flüssige Mittel</t>
  </si>
  <si>
    <t>Total Umlaufvermögen</t>
  </si>
  <si>
    <t>Total Aktiven</t>
  </si>
  <si>
    <r>
      <t xml:space="preserve">Quelle: 2012 -&gt; EF4.1 via ISAK (FIN)  </t>
    </r>
    <r>
      <rPr>
        <i/>
        <sz val="10"/>
        <rFont val="Arial"/>
        <family val="2"/>
      </rPr>
      <t>( -&gt; 2011  EF1.3 )</t>
    </r>
  </si>
  <si>
    <t>T 8.08  Eigenkapital, Kapitalanlagen, Grundstücke und Gebäude der Versicherer ab 2003</t>
  </si>
  <si>
    <t>Eigenkapital-</t>
  </si>
  <si>
    <t>Kapital-</t>
  </si>
  <si>
    <t>Grundstücke</t>
  </si>
  <si>
    <t>in Mio. Fr.</t>
  </si>
  <si>
    <r>
      <t xml:space="preserve">quote </t>
    </r>
    <r>
      <rPr>
        <vertAlign val="superscript"/>
        <sz val="11"/>
        <rFont val="Arial"/>
        <family val="2"/>
      </rPr>
      <t>1</t>
    </r>
  </si>
  <si>
    <t>anlagen</t>
  </si>
  <si>
    <t>und Gebäude</t>
  </si>
  <si>
    <t xml:space="preserve">1) Eigenkapital in % des Prämiensolls. </t>
  </si>
  <si>
    <t xml:space="preserve">Quelle: 2012 -&gt; T 8.10 [20], T 8.05 [300, 301, 302], T 8.09 [990], T 8.11 [100]  via ISAK (FIN)  </t>
  </si>
  <si>
    <t xml:space="preserve"> ( -&gt; 2011  T 8.10 [29] ; T 8.05 [60-63] ; T 8.11 [17, 18] )</t>
  </si>
  <si>
    <t>T 8.07 Aktiven und Passiven der Versicherer in Mio. Franken ab 2003</t>
  </si>
  <si>
    <t>Aktiven</t>
  </si>
  <si>
    <t>Passiven</t>
  </si>
  <si>
    <t>Bilanz-</t>
  </si>
  <si>
    <t>Umlauf-</t>
  </si>
  <si>
    <t>Anlage-</t>
  </si>
  <si>
    <t>Fremd-</t>
  </si>
  <si>
    <t>Fonds und</t>
  </si>
  <si>
    <t>summe</t>
  </si>
  <si>
    <t>vermögen</t>
  </si>
  <si>
    <t>kapital</t>
  </si>
  <si>
    <t>Reserven</t>
  </si>
  <si>
    <t>1) Bestände per Jahresende; Vorjahresvergleiche sind nur mit Vorbehalt möglich, da jene Zusatzversicherungen VVG, welche</t>
  </si>
  <si>
    <t>auch unternehmensrechtlich vom KVG-Bereich eines Versicherers abgetrennt werden, sich der Sicht der BAG-Krankenversi-</t>
  </si>
  <si>
    <t>cherungsstatistik entziehen.</t>
  </si>
  <si>
    <r>
      <t xml:space="preserve">Quelle: 2012 -&gt; T 8.09 [991], 8.09 [990], 8.10 [21], 8.10 [20] , 8.09 [1], 8.10 [2] via ISAK (FIN)  </t>
    </r>
    <r>
      <rPr>
        <i/>
        <sz val="10"/>
        <rFont val="Arial"/>
        <family val="2"/>
      </rPr>
      <t xml:space="preserve"> ( -&gt; 2011 T 8.09; T 8.10 )</t>
    </r>
  </si>
  <si>
    <t>T 8.06 Betriebsaufwand und betrieblicher Erfolg</t>
  </si>
  <si>
    <t xml:space="preserve">Betriebsaufwand für eigene Rechnung </t>
  </si>
  <si>
    <t>Diverser Personalaufwand</t>
  </si>
  <si>
    <t xml:space="preserve">Sonstiger Betriebsaufwand </t>
  </si>
  <si>
    <t>Provisionen</t>
  </si>
  <si>
    <t xml:space="preserve">Abschreibungen  </t>
  </si>
  <si>
    <t>5</t>
  </si>
  <si>
    <t>Total Betriebsaufwand für eigene Rechnung</t>
  </si>
  <si>
    <t>Übriger betrieblicher Erfolg und Kapitalerfolg</t>
  </si>
  <si>
    <t>Übriger betrieblicher Ertrag KVG + VVG</t>
  </si>
  <si>
    <t>Übriger betrieblicher Ertrag KVG</t>
  </si>
  <si>
    <t>Liquide Mittel KVG</t>
  </si>
  <si>
    <t>Forderungen KVG</t>
  </si>
  <si>
    <t>Gewinn aus Veräusserung von Anlagevermögen KVG</t>
  </si>
  <si>
    <t>Weiterer übriger betrieblicher Ertrag KVG</t>
  </si>
  <si>
    <t>Nicht zurückzuerstattende Umweltabgaben VOC / HEL KVG</t>
  </si>
  <si>
    <t>Übriger betrieblicher Ertrag VVG</t>
  </si>
  <si>
    <t>Übriger betrieblicher Aufwand KVG + VVG</t>
  </si>
  <si>
    <t>Übriger betrieblicher Aufwand KVG</t>
  </si>
  <si>
    <t xml:space="preserve">Kurzfristige Verbindlichkeiten KVG                                            </t>
  </si>
  <si>
    <t xml:space="preserve">Langfristige Verbindlichkeiten KVG                                        </t>
  </si>
  <si>
    <t xml:space="preserve">Verlust aus Veräusserung von Anlagevermögen KVG             </t>
  </si>
  <si>
    <t>Weiterer übriger betrieblicher Aufwand KVG</t>
  </si>
  <si>
    <t>Übriger betrieblicher Aufwand VVG</t>
  </si>
  <si>
    <t>Erfolg aus Kapitalanlagen KVG + VVG</t>
  </si>
  <si>
    <t>Erfolg aus Kapitalanlagen KVG</t>
  </si>
  <si>
    <t>Liegenschaftsertrag KVG</t>
  </si>
  <si>
    <t>Liegenschaftsaufwand KVG</t>
  </si>
  <si>
    <t>Hypothekarzinsaufwand KVG</t>
  </si>
  <si>
    <t>Erfolg auf Liegenschaftsverkauf KVG</t>
  </si>
  <si>
    <t>Ertrag aus Wertschriften und übrige Anlagen</t>
  </si>
  <si>
    <t>Realisierte Kursgewinne KVG</t>
  </si>
  <si>
    <t>Nicht realisierte Kursgewinne KVG</t>
  </si>
  <si>
    <t>Realisierte Kursverluste KVG</t>
  </si>
  <si>
    <t>Nicht realisierte Kursverluste KVG</t>
  </si>
  <si>
    <t>Diverse Kapitalaufwendungen KVG</t>
  </si>
  <si>
    <t>Erfolg aus Kapitalanlagen VVG</t>
  </si>
  <si>
    <t>Total Übriger betrieblicher Erfolg und Kapitalerfolg</t>
  </si>
  <si>
    <t>Betriebsfremder und ausserordentlicher Erfolg</t>
  </si>
  <si>
    <t>Ertragssteuern</t>
  </si>
  <si>
    <t>Total Kontenklasse 8 und 9</t>
  </si>
  <si>
    <r>
      <t xml:space="preserve">Quelle:  2012 -&gt; EF4.5 via ISAK (FIN) </t>
    </r>
    <r>
      <rPr>
        <i/>
        <sz val="10"/>
        <rFont val="Arial"/>
        <family val="2"/>
      </rPr>
      <t>( -&gt;  2011 EF1.6 -&gt; EF1.7 )</t>
    </r>
  </si>
  <si>
    <t>T 8.05 Erfolgsrechnung: verdiente Prämien und Leistungsaufwand</t>
  </si>
  <si>
    <t>Prämien TG KVG</t>
  </si>
  <si>
    <r>
      <t xml:space="preserve">Prämien OKP </t>
    </r>
    <r>
      <rPr>
        <i/>
        <sz val="11"/>
        <rFont val="Arial"/>
        <family val="2"/>
      </rPr>
      <t>(CH und EU/EFTA)</t>
    </r>
  </si>
  <si>
    <t>Ordentliche Franchise CH</t>
  </si>
  <si>
    <t>Ordentliche Franchise EU/EFTA</t>
  </si>
  <si>
    <t>Wählbare Franchise</t>
  </si>
  <si>
    <t>Bonus-OKP</t>
  </si>
  <si>
    <t>HMO</t>
  </si>
  <si>
    <t>Hausarztmodell</t>
  </si>
  <si>
    <t>Andere Versicherungsformen</t>
  </si>
  <si>
    <t>Prämien VVG (inkl. FL)</t>
  </si>
  <si>
    <t>Erlösminderungen auf Prämien</t>
  </si>
  <si>
    <t>Prämienanteile der Rückversicherer</t>
  </si>
  <si>
    <t>Prämienverbilligung und sonstige Beiträge/Subventionen</t>
  </si>
  <si>
    <t>Total verdiente Prämien</t>
  </si>
  <si>
    <r>
      <t xml:space="preserve">Leistungen </t>
    </r>
    <r>
      <rPr>
        <i/>
        <sz val="11"/>
        <rFont val="Arial"/>
        <family val="2"/>
      </rPr>
      <t>(mit TG KVG und VVG)</t>
    </r>
    <r>
      <rPr>
        <sz val="11"/>
        <rFont val="Arial"/>
        <family val="2"/>
      </rPr>
      <t xml:space="preserve"> </t>
    </r>
    <r>
      <rPr>
        <vertAlign val="superscript"/>
        <sz val="11"/>
        <rFont val="Arial"/>
        <family val="2"/>
      </rPr>
      <t>3 5</t>
    </r>
  </si>
  <si>
    <r>
      <t xml:space="preserve">Bruttoleistungen OKP KVG </t>
    </r>
    <r>
      <rPr>
        <i/>
        <sz val="11"/>
        <rFont val="Arial"/>
        <family val="2"/>
      </rPr>
      <t xml:space="preserve">(CH und EU/EFTA) </t>
    </r>
    <r>
      <rPr>
        <vertAlign val="superscript"/>
        <sz val="11"/>
        <rFont val="Arial"/>
        <family val="2"/>
      </rPr>
      <t>3</t>
    </r>
  </si>
  <si>
    <t>Bruttoleistungen VVG inkl. FL</t>
  </si>
  <si>
    <r>
      <t xml:space="preserve">Kostenbeteiligungen der Versicherten / Abschreibungen auf Kobe </t>
    </r>
    <r>
      <rPr>
        <i/>
        <sz val="11"/>
        <rFont val="Arial"/>
        <family val="2"/>
      </rPr>
      <t xml:space="preserve"> (CH und EU/EFTA)</t>
    </r>
  </si>
  <si>
    <r>
      <t xml:space="preserve">Kostenbeteiligungen der Versicherten </t>
    </r>
    <r>
      <rPr>
        <i/>
        <sz val="11"/>
        <rFont val="Arial"/>
        <family val="2"/>
      </rPr>
      <t>(CH und EU/EFTA)</t>
    </r>
    <r>
      <rPr>
        <sz val="11"/>
        <rFont val="Arial"/>
        <family val="2"/>
      </rPr>
      <t xml:space="preserve"> </t>
    </r>
    <r>
      <rPr>
        <vertAlign val="superscript"/>
        <sz val="11"/>
        <rFont val="Arial"/>
        <family val="2"/>
      </rPr>
      <t>4</t>
    </r>
  </si>
  <si>
    <t>Zusatzversicherungen VVG (inkl. FL)</t>
  </si>
  <si>
    <r>
      <t xml:space="preserve">Abschreibungen auf Kostenbeteiligungen </t>
    </r>
    <r>
      <rPr>
        <i/>
        <sz val="11"/>
        <rFont val="Arial"/>
        <family val="2"/>
      </rPr>
      <t>(CH und EU/EFTA)</t>
    </r>
    <r>
      <rPr>
        <sz val="11"/>
        <rFont val="Arial"/>
        <family val="2"/>
      </rPr>
      <t xml:space="preserve"> </t>
    </r>
    <r>
      <rPr>
        <vertAlign val="superscript"/>
        <sz val="11"/>
        <rFont val="Arial"/>
        <family val="2"/>
      </rPr>
      <t>4</t>
    </r>
  </si>
  <si>
    <t>Sonstige Leistungen</t>
  </si>
  <si>
    <t>Rückversicherungsleistungen</t>
  </si>
  <si>
    <t>Leistungsanteile passive Rückversicherung</t>
  </si>
  <si>
    <t>Leistungsanteile aktive Rückversicherung</t>
  </si>
  <si>
    <t>Veränd. der versicherungstechnischen Schwankungs- und Sicherheitsrückstellungen VVG</t>
  </si>
  <si>
    <t>Risikoausgleich zwischen Versicherer</t>
  </si>
  <si>
    <t>Überschussbeteiligungen der Versicherten VVG</t>
  </si>
  <si>
    <t>Total Leistungsaufwand</t>
  </si>
  <si>
    <r>
      <t xml:space="preserve">2) Prämiensoll OKP CH </t>
    </r>
    <r>
      <rPr>
        <i/>
        <sz val="10"/>
        <rFont val="Arial"/>
        <family val="2"/>
      </rPr>
      <t>= 301 - 3011</t>
    </r>
    <r>
      <rPr>
        <sz val="10"/>
        <rFont val="Arial"/>
        <family val="2"/>
      </rPr>
      <t xml:space="preserve"> (vgl. T 3.06 et 1.02)</t>
    </r>
  </si>
  <si>
    <r>
      <t xml:space="preserve">3) Bruttoleistungen (-) OKP CH </t>
    </r>
    <r>
      <rPr>
        <i/>
        <sz val="10"/>
        <rFont val="Arial"/>
        <family val="2"/>
      </rPr>
      <t>= 401 - 4011</t>
    </r>
    <r>
      <rPr>
        <sz val="10"/>
        <rFont val="Arial"/>
        <family val="2"/>
      </rPr>
      <t xml:space="preserve"> (vgl. T 2.04 et 1.02) </t>
    </r>
  </si>
  <si>
    <r>
      <t>4) Kostenbeteiligung OKP</t>
    </r>
    <r>
      <rPr>
        <sz val="9"/>
        <rFont val="Arial"/>
        <family val="2"/>
      </rPr>
      <t xml:space="preserve"> </t>
    </r>
    <r>
      <rPr>
        <sz val="10"/>
        <rFont val="Arial"/>
        <family val="2"/>
      </rPr>
      <t xml:space="preserve">CH = </t>
    </r>
    <r>
      <rPr>
        <i/>
        <sz val="10"/>
        <rFont val="Arial"/>
        <family val="2"/>
      </rPr>
      <t>(420 - 4201 - 4207) + (421 - 4211 - 4217)</t>
    </r>
    <r>
      <rPr>
        <sz val="10"/>
        <rFont val="Arial"/>
        <family val="2"/>
      </rPr>
      <t xml:space="preserve">     (vgl. T 2.10 et 1.02)</t>
    </r>
  </si>
  <si>
    <t>5) Nettoleistungen OKP CH = Bruttoleistungen OKP CH - Kostenbeteiligung OKP CH   (vgl. T 2.07 und 1.02)</t>
  </si>
  <si>
    <r>
      <t xml:space="preserve">Source:  2012 -&gt; EF4.3, EF4.4 via ISAK (FIN)  </t>
    </r>
    <r>
      <rPr>
        <i/>
        <sz val="10"/>
        <rFont val="Arial"/>
        <family val="2"/>
      </rPr>
      <t>( -&gt; 2011 EF1.8 -&gt; EF1.9 )</t>
    </r>
  </si>
  <si>
    <t>T 8.04  Ertrag, Aufwand und Ergebnis der Versicherer in Mio. Franken ab 2003</t>
  </si>
  <si>
    <r>
      <t xml:space="preserve">ergebnis </t>
    </r>
    <r>
      <rPr>
        <vertAlign val="superscript"/>
        <sz val="11"/>
        <rFont val="Arial"/>
        <family val="2"/>
      </rPr>
      <t>2</t>
    </r>
  </si>
  <si>
    <t>1) Vorjahresvergleiche sind nur mit Vorbehalt möglich, da jene Zusatzversicherungen VAG, welche auch unternehmensrechtlich</t>
  </si>
  <si>
    <r>
      <t xml:space="preserve">2) Jahresergebnis ( = Vorschlag Gesamtbetriebsrechnung minus Rückschlag Gesamtbetriebsrechnung) vor der </t>
    </r>
    <r>
      <rPr>
        <u/>
        <sz val="10"/>
        <rFont val="Arial"/>
        <family val="2"/>
      </rPr>
      <t>Zuweisung</t>
    </r>
    <r>
      <rPr>
        <sz val="10"/>
        <rFont val="Arial"/>
        <family val="2"/>
      </rPr>
      <t xml:space="preserve"> an</t>
    </r>
  </si>
  <si>
    <r>
      <t xml:space="preserve">die - resp. der </t>
    </r>
    <r>
      <rPr>
        <u/>
        <sz val="10"/>
        <rFont val="Arial"/>
        <family val="2"/>
      </rPr>
      <t>Entnahme</t>
    </r>
    <r>
      <rPr>
        <sz val="10"/>
        <rFont val="Arial"/>
        <family val="2"/>
      </rPr>
      <t xml:space="preserve"> von den - Fonds und Reserven.</t>
    </r>
  </si>
  <si>
    <r>
      <t xml:space="preserve">Quelle:  2012 -&gt; EF 4.3 3 + 4.5 7 + 89, EF 4.4 4 + 4.5 5 via ISAK (FIN) </t>
    </r>
    <r>
      <rPr>
        <i/>
        <sz val="9"/>
        <rFont val="Arial"/>
        <family val="2"/>
      </rPr>
      <t>( -&gt; 2011 T 8.05 [6/7]; T 8.06 [3/4]; T 8.06 [800-801] - T 8.05 [800-801] )</t>
    </r>
  </si>
  <si>
    <t>8: Gesamtgeschäft der vom BAG anerkannten Krankenversicherer</t>
  </si>
  <si>
    <t>Anzahl Versicherer ab 1996</t>
  </si>
  <si>
    <t>Anzahl Versicherer OKP nach Versichertenbestand ab 2003</t>
  </si>
  <si>
    <t>Stellen, Personal und Löhne in der OKP ab 2003</t>
  </si>
  <si>
    <t>Ertrag, Aufwand und Ergebnis der Versicherer ab 2003</t>
  </si>
  <si>
    <t>Erfolgsrechnung: verdiente Prämien und Leistungsaufwand</t>
  </si>
  <si>
    <t>Betriebsaufwand und betrieblicher Erfolg</t>
  </si>
  <si>
    <t>Aktiven und Passiven der Versicherer ab 2003</t>
  </si>
  <si>
    <t>Eigenkapital, Kapitalanlagen, Grundstücke und Gebäude der Versicherer ab 2003</t>
  </si>
  <si>
    <t>Bilanz: Aktiven der Versicherer per 31.12.</t>
  </si>
  <si>
    <t>Bilanz: Passiven der Versicherer per 31.12.</t>
  </si>
  <si>
    <t xml:space="preserve">Übersicht über die Kapitalanlagen nach Art. 80ff KVV (ohne Werte VVG und UVG) </t>
  </si>
  <si>
    <t>11: Versicherte in der OKP</t>
  </si>
  <si>
    <t>Durchschnittlicher Versichertenbestand ab 2003</t>
  </si>
  <si>
    <t>Versichertenbestand per 31.12. ab 2003</t>
  </si>
  <si>
    <t>Versichertenbestand nach Wohnkanton per 31.12.</t>
  </si>
  <si>
    <t>Versichertenbestand und Wohnbevölkerung ab 1996</t>
  </si>
  <si>
    <t>Versichertenbestand per 31.12 nach Versicherungsform ab 2003</t>
  </si>
  <si>
    <t>Versichertenbestand nach Versicherungsform per 31.12.</t>
  </si>
  <si>
    <t>Aufteilung der Versicherten (Kinder und Erwachsene) nach Versicherungsform ab 2003</t>
  </si>
  <si>
    <t>Verteilung der Versicherungsformen in % nach Kanton - Versicherte ab 19 Jahren</t>
  </si>
  <si>
    <t>Verteilung der Versicherungsformen in % nach Kanton - Kinder 0 - 18 Jahre</t>
  </si>
  <si>
    <t xml:space="preserve">Versicherteneintritte und Versichertenaustritte KVG nach Alter und Geschlecht </t>
  </si>
  <si>
    <t>Zahlungsausstände für OKP-Prämien ab 2003</t>
  </si>
  <si>
    <t>Versichertenbestand KVG nach Geschlecht im 2011, 2012 und 2013</t>
  </si>
  <si>
    <t>Durchschnittlicher Versichertenbestand KVG und Durchschnittsalter der Versicherten</t>
  </si>
  <si>
    <t>Durchschnittlicher Versichertenbestand nach Kanton</t>
  </si>
  <si>
    <t>Durchschnittlicher Versichertenbestand nach Altersklasse und Geschlecht</t>
  </si>
  <si>
    <t xml:space="preserve">Durchschnittlicher Versichertenbestand nach Versicherungsform </t>
  </si>
  <si>
    <t>Anzahl Versicherte OKP, in %, nach Grösse der Versicherer ab 2003</t>
  </si>
  <si>
    <t>Durchschnittlicher Versichertenbestand nach Kanton ab 1996</t>
  </si>
  <si>
    <r>
      <t xml:space="preserve">T 11.14  Durchschnittlicher Versichertenbestand </t>
    </r>
    <r>
      <rPr>
        <b/>
        <sz val="12"/>
        <rFont val="Arial"/>
        <family val="2"/>
      </rPr>
      <t>nach Kanton</t>
    </r>
  </si>
  <si>
    <r>
      <t xml:space="preserve">Ausland </t>
    </r>
    <r>
      <rPr>
        <vertAlign val="superscript"/>
        <sz val="11"/>
        <rFont val="Arial"/>
        <family val="2"/>
      </rPr>
      <t>1</t>
    </r>
  </si>
  <si>
    <t>1) Personen mit Wohnsitz/Aufenthalt im Ausland gemäss Art. 4 und 5 KVV.</t>
  </si>
  <si>
    <t>Quelle: Formular EF 3.12</t>
  </si>
  <si>
    <r>
      <t xml:space="preserve">T 11.06  Versichertenbestand nach Versicherungsform </t>
    </r>
    <r>
      <rPr>
        <b/>
        <vertAlign val="superscript"/>
        <sz val="12"/>
        <rFont val="Arial"/>
        <family val="2"/>
      </rPr>
      <t>1</t>
    </r>
    <r>
      <rPr>
        <b/>
        <sz val="12"/>
        <rFont val="Arial"/>
        <family val="2"/>
      </rPr>
      <t xml:space="preserve"> per 31.12.</t>
    </r>
  </si>
  <si>
    <t>Versicherungsform</t>
  </si>
  <si>
    <t>Ordentliche Jahresfranchise</t>
  </si>
  <si>
    <t>Wählbare Jahresfranchisen</t>
  </si>
  <si>
    <t>BONUS-Versicherung</t>
  </si>
  <si>
    <t>Eingeschränkte Wahl (z.B. HMO) *</t>
  </si>
  <si>
    <t xml:space="preserve"> * davon Versicherte, die gleichzeitig eine wählbare Franchise haben</t>
  </si>
  <si>
    <t>1) Für die Zuteilung der Versicherten zu den Versicherungsformen ist die Versicherungsform (Hausarztmodell, HMO…)</t>
  </si>
  <si>
    <t xml:space="preserve">bei der Kategorie „Eingeschränkte Wahl des Leistungserbringers“ massgebend, auch wenn </t>
  </si>
  <si>
    <t>die Versicherung in Kombination mit einer ordentlichen/wählbaren Franchise abgeschlossen wurde.</t>
  </si>
  <si>
    <t>Quelle: Formular EF 3.3</t>
  </si>
  <si>
    <r>
      <t xml:space="preserve">T 11.05 Versichertenbestand per 31.12. nach Versicherungsform </t>
    </r>
    <r>
      <rPr>
        <b/>
        <vertAlign val="superscript"/>
        <sz val="12"/>
        <rFont val="Arial"/>
        <family val="2"/>
      </rPr>
      <t>1</t>
    </r>
    <r>
      <rPr>
        <b/>
        <sz val="12"/>
        <rFont val="Arial"/>
        <family val="2"/>
      </rPr>
      <t xml:space="preserve"> ab 2003</t>
    </r>
  </si>
  <si>
    <t>1) Ab 2006, vgl. Fussnote 1) von Tabelle 11.06.</t>
  </si>
  <si>
    <t>Quelle: T 11.06</t>
  </si>
  <si>
    <t>10.9.14: T8, 8.04 -&gt; 8.11, T11, 11.05, 11.06, 11.14</t>
  </si>
  <si>
    <t>5.9.14: 1.10, 1.11, T2, 2.01, 2.04, 2.07, 2.10, 2.12, 2.20</t>
  </si>
  <si>
    <t>4.9.14: T1, 1.01-&gt;1.09</t>
  </si>
  <si>
    <t>15.9.14: 3.01 -&gt; 3.03, 3.05, 3.07, 3.08</t>
  </si>
  <si>
    <t xml:space="preserve">T 3.01  Prämiensoll in Franken nach Versicherungsform </t>
  </si>
  <si>
    <t>absolut</t>
  </si>
  <si>
    <t>Anteil in %</t>
  </si>
  <si>
    <t>Eingeschränkte Wahl (z.B. HMO)</t>
  </si>
  <si>
    <t>Quelle: Formular EF 3.4</t>
  </si>
  <si>
    <t>T 3.03  Prämiensoll in Fr. je versicherte Person nach Versicherungsform</t>
  </si>
  <si>
    <r>
      <t xml:space="preserve">Versicherungsform </t>
    </r>
    <r>
      <rPr>
        <b/>
        <vertAlign val="superscript"/>
        <sz val="11"/>
        <rFont val="Arial"/>
        <family val="2"/>
      </rPr>
      <t>1</t>
    </r>
  </si>
  <si>
    <t>Kinder 
(0-18 Jahre)</t>
  </si>
  <si>
    <t>Junge Erwachsene 
(19-25 Jahre)</t>
  </si>
  <si>
    <t>Erwachsene 
(ab 26 Jahre)</t>
  </si>
  <si>
    <t>Standardmodell mit ordentlicher Jahresfranchise</t>
  </si>
  <si>
    <r>
      <t xml:space="preserve">F O  </t>
    </r>
    <r>
      <rPr>
        <i/>
        <sz val="11"/>
        <rFont val="Arial"/>
        <family val="2"/>
      </rPr>
      <t xml:space="preserve">(0 / 300) </t>
    </r>
    <r>
      <rPr>
        <i/>
        <vertAlign val="superscript"/>
        <sz val="11"/>
        <rFont val="Arial"/>
        <family val="2"/>
      </rPr>
      <t>2</t>
    </r>
  </si>
  <si>
    <t>Standardmodell</t>
  </si>
  <si>
    <r>
      <t xml:space="preserve">F I  </t>
    </r>
    <r>
      <rPr>
        <i/>
        <sz val="11"/>
        <rFont val="Arial"/>
        <family val="2"/>
      </rPr>
      <t xml:space="preserve">(100 / 500) </t>
    </r>
    <r>
      <rPr>
        <i/>
        <vertAlign val="superscript"/>
        <sz val="11"/>
        <rFont val="Arial"/>
        <family val="2"/>
      </rPr>
      <t>2</t>
    </r>
  </si>
  <si>
    <t>mit wählbarer</t>
  </si>
  <si>
    <r>
      <t xml:space="preserve">F II  </t>
    </r>
    <r>
      <rPr>
        <i/>
        <sz val="11"/>
        <rFont val="Arial"/>
        <family val="2"/>
      </rPr>
      <t xml:space="preserve">(200 / 1000) </t>
    </r>
    <r>
      <rPr>
        <i/>
        <vertAlign val="superscript"/>
        <sz val="11"/>
        <rFont val="Arial"/>
        <family val="2"/>
      </rPr>
      <t>2</t>
    </r>
  </si>
  <si>
    <t>Jahresfranchise</t>
  </si>
  <si>
    <r>
      <t xml:space="preserve">F III  </t>
    </r>
    <r>
      <rPr>
        <i/>
        <sz val="11"/>
        <rFont val="Arial"/>
        <family val="2"/>
      </rPr>
      <t xml:space="preserve">(300 / 1500) </t>
    </r>
    <r>
      <rPr>
        <i/>
        <vertAlign val="superscript"/>
        <sz val="11"/>
        <rFont val="Arial"/>
        <family val="2"/>
      </rPr>
      <t>2</t>
    </r>
  </si>
  <si>
    <r>
      <t xml:space="preserve">F IV  </t>
    </r>
    <r>
      <rPr>
        <i/>
        <sz val="11"/>
        <rFont val="Arial"/>
        <family val="2"/>
      </rPr>
      <t xml:space="preserve">(400 / 2000) </t>
    </r>
    <r>
      <rPr>
        <i/>
        <vertAlign val="superscript"/>
        <sz val="11"/>
        <rFont val="Arial"/>
        <family val="2"/>
      </rPr>
      <t>2</t>
    </r>
  </si>
  <si>
    <r>
      <t xml:space="preserve">F V  </t>
    </r>
    <r>
      <rPr>
        <i/>
        <sz val="11"/>
        <rFont val="Arial"/>
        <family val="2"/>
      </rPr>
      <t xml:space="preserve">(500 / 2500) </t>
    </r>
    <r>
      <rPr>
        <i/>
        <vertAlign val="superscript"/>
        <sz val="11"/>
        <rFont val="Arial"/>
        <family val="2"/>
      </rPr>
      <t>2</t>
    </r>
  </si>
  <si>
    <r>
      <t xml:space="preserve">F VI  </t>
    </r>
    <r>
      <rPr>
        <i/>
        <sz val="11"/>
        <rFont val="Arial"/>
        <family val="2"/>
      </rPr>
      <t xml:space="preserve">(600 / -) </t>
    </r>
    <r>
      <rPr>
        <i/>
        <vertAlign val="superscript"/>
        <sz val="11"/>
        <rFont val="Arial"/>
        <family val="2"/>
      </rPr>
      <t>2</t>
    </r>
  </si>
  <si>
    <t>Andere Versicherungsformen (HMO, Hausarzt-modell,…)</t>
  </si>
  <si>
    <t>Total *</t>
  </si>
  <si>
    <t xml:space="preserve"> * davon Versicherte mit HMO-Modell</t>
  </si>
  <si>
    <t>* davon Versicherte mit Hausarztmodell</t>
  </si>
  <si>
    <t>* davon Versicherte mit wählbarer Franchise</t>
  </si>
  <si>
    <r>
      <t xml:space="preserve">Alle </t>
    </r>
    <r>
      <rPr>
        <b/>
        <vertAlign val="superscript"/>
        <sz val="11"/>
        <rFont val="Arial"/>
        <family val="2"/>
      </rPr>
      <t>3</t>
    </r>
  </si>
  <si>
    <t xml:space="preserve">Quelle: Formular EF 3.16 / EF 3.13 </t>
  </si>
  <si>
    <t>1) Die Zuteilung der Versicherten nach Versicherungsform erfolgt derart, dass die Versicherten der Kategorie „andere Versicherungsformen“</t>
  </si>
  <si>
    <t xml:space="preserve">     (HMO, Hausarztmodell…) zugewiesen werden, falls sie eine Kombination dieser Form mit ordentlicher/wählbarer Franchise aufweisen.</t>
  </si>
  <si>
    <t>2) Franchisenstufen (Kinder / Erwachsene)</t>
  </si>
  <si>
    <t xml:space="preserve">     Kinder: ordentliche Franchise F O: 0.- ; wählbare Franchisen F I -&gt; F VI: 100.- 200.- 300.- 400.- 500.- 600.-</t>
  </si>
  <si>
    <t xml:space="preserve">     Erwachsene ab 19 Jahre: ordentliche Franchise F O: 300.- ; wählbare Franchisen F I -&gt; F V: 500.- 1000.- 1500.- 2000.- 2500.-</t>
  </si>
  <si>
    <t xml:space="preserve">3) Inkl. Personen mit Wohnsitz oder Aufenthalt im Ausland gemäss Art. 4 und 5 KVV, aber ohne Versicherte, die dem </t>
  </si>
  <si>
    <t xml:space="preserve">    Versicherungsobligatorium  unterstehen und in einem EU- oder EFTA-Staat Wohnsitz haben (vgl. Fussnote 1 von Tabelle 11.03).</t>
  </si>
  <si>
    <t>T 3.02  Prämiensoll in Mio. Franken nach Versicherungsform ab 2003</t>
  </si>
  <si>
    <t>1) Vgl. Fussnote 2) von Tabelle 11.02.</t>
  </si>
  <si>
    <t>Quelle: T 3.01</t>
  </si>
  <si>
    <r>
      <t xml:space="preserve">T 3.08  Prämiensoll in Franken je versicherte Person </t>
    </r>
    <r>
      <rPr>
        <b/>
        <vertAlign val="superscript"/>
        <sz val="12"/>
        <rFont val="Arial"/>
        <family val="2"/>
      </rPr>
      <t xml:space="preserve">1 </t>
    </r>
    <r>
      <rPr>
        <b/>
        <sz val="12"/>
        <rFont val="Arial"/>
        <family val="2"/>
      </rPr>
      <t xml:space="preserve"> nach Kanton ab 1996</t>
    </r>
  </si>
  <si>
    <r>
      <t xml:space="preserve">BS </t>
    </r>
    <r>
      <rPr>
        <vertAlign val="superscript"/>
        <sz val="11"/>
        <rFont val="Arial"/>
        <family val="2"/>
      </rPr>
      <t>2</t>
    </r>
  </si>
  <si>
    <t>Quelle: CH T 1.01   /  Kantone 1996 -&gt; 1998: Prämiengenehmigungsverfahren BAG mit Versichertenbestand des Risikoausgleichs, Werte korrigiert auf der Basis des CH-Wertes in T 1.01   /</t>
  </si>
  <si>
    <r>
      <t xml:space="preserve">1999 -&gt; 2008: Prämiengenehmigungsverfahren BAG, Werte korrigiert auf der Basis des CH-Bestandes in T 1.01 / 2009 -&gt; 2010: T 3.13 </t>
    </r>
    <r>
      <rPr>
        <sz val="10"/>
        <rFont val="Arial"/>
        <family val="2"/>
      </rPr>
      <t>/ 2011 -&gt; : T 3.04</t>
    </r>
  </si>
  <si>
    <t>1) Für alle Versicherten für alle Versicherungsformen.</t>
  </si>
  <si>
    <t>2) Von 1996 bis 2012 bezahlte der Kanton BS Subventionen an den Versicherer ÖKK Sympany für die BS-Prämien (Quelle: Staatsrechnung BS). Mit diesen Subventionen kann das effektive Prämiensoll berechnet werden.</t>
  </si>
  <si>
    <t>Subv. in Mio. Fr.</t>
  </si>
  <si>
    <t>Prämien BS mit Subv.</t>
  </si>
  <si>
    <t>T 3.07  Prämiensoll nach Altersklasse und Geschlecht</t>
  </si>
  <si>
    <t>Altersklasse</t>
  </si>
  <si>
    <t>Männlich</t>
  </si>
  <si>
    <t>Weiblich</t>
  </si>
  <si>
    <t>0 – 5</t>
  </si>
  <si>
    <t>6 – 10</t>
  </si>
  <si>
    <t>11 – 15</t>
  </si>
  <si>
    <t>16 – 18</t>
  </si>
  <si>
    <t>Total  0 – 18</t>
  </si>
  <si>
    <t>19 – 20</t>
  </si>
  <si>
    <t>21 – 25</t>
  </si>
  <si>
    <t>Total  19 – 25</t>
  </si>
  <si>
    <t>26 – 30</t>
  </si>
  <si>
    <t>31 – 35</t>
  </si>
  <si>
    <t>36 – 40</t>
  </si>
  <si>
    <t>41 – 45</t>
  </si>
  <si>
    <t>46 – 50</t>
  </si>
  <si>
    <t>51 – 55</t>
  </si>
  <si>
    <t>56 – 60</t>
  </si>
  <si>
    <t>61 – 65</t>
  </si>
  <si>
    <t>66 – 70</t>
  </si>
  <si>
    <t>71 – 75</t>
  </si>
  <si>
    <t>76 – 80</t>
  </si>
  <si>
    <t>81 – 85</t>
  </si>
  <si>
    <t>86 – 90</t>
  </si>
  <si>
    <t>91 – 95</t>
  </si>
  <si>
    <t>96 – 100</t>
  </si>
  <si>
    <t>&gt; 100</t>
  </si>
  <si>
    <t>Total  &gt; 25</t>
  </si>
  <si>
    <t>Quelle: Formular EF 3.14 und 3.11</t>
  </si>
  <si>
    <t>T 3.05  Prämiensoll in Franken je versicherte Person nach Versicherungsform ab 2003</t>
  </si>
  <si>
    <t>schränk-</t>
  </si>
  <si>
    <t>te Wahl</t>
  </si>
  <si>
    <r>
      <t xml:space="preserve">Quelle: 2011 -&gt; : T 3.03   </t>
    </r>
    <r>
      <rPr>
        <i/>
        <sz val="10"/>
        <rFont val="Arial"/>
        <family val="2"/>
      </rPr>
      <t>(2009 -&gt; 2010: T 3.11  ; -&gt; 2008: T 3.10 / T 11.01 und T 11.05)</t>
    </r>
  </si>
  <si>
    <t xml:space="preserve">Erwachsene </t>
  </si>
  <si>
    <t>(26 Jahre und mehr)</t>
  </si>
  <si>
    <r>
      <t xml:space="preserve">Quelle: 2011 -&gt; : T 3.04  (vollständige Daten)  </t>
    </r>
    <r>
      <rPr>
        <i/>
        <sz val="10"/>
        <rFont val="Arial"/>
        <family val="2"/>
      </rPr>
      <t xml:space="preserve">/ 2009 -&gt; 2010 : T 3.13  (vollständige Daten)   / 1997 -&gt; 2008 : DATENPOOL santésuisse [Auswertung BAG] </t>
    </r>
  </si>
  <si>
    <t>1) 1996-&gt;2008: Schätzung des mittleren Versichertenbestandes (ausgenommen Spalte "Alle Versicherte") aufgrund der Aufteilung der Versicherten per 31.12 in T 11.05</t>
  </si>
  <si>
    <t>23.9.14: 6.01,6.03,11.01-&gt;11.03,11.07-&gt;11.09,11.13,11.15-&gt;11.18</t>
  </si>
  <si>
    <r>
      <t xml:space="preserve">T 6.03 Versicherer, Versicherte, Prämien und Leistungen nach Einzel- und Kollektivverträgen </t>
    </r>
    <r>
      <rPr>
        <b/>
        <vertAlign val="superscript"/>
        <sz val="12"/>
        <rFont val="Arial"/>
        <family val="2"/>
      </rPr>
      <t>1</t>
    </r>
  </si>
  <si>
    <t>Anzahl / Betrag</t>
  </si>
  <si>
    <t>Einzel-</t>
  </si>
  <si>
    <t>Kollektiv-</t>
  </si>
  <si>
    <t>versicherung</t>
  </si>
  <si>
    <r>
      <t xml:space="preserve">versicherung </t>
    </r>
    <r>
      <rPr>
        <vertAlign val="superscript"/>
        <sz val="11"/>
        <rFont val="Arial"/>
        <family val="2"/>
      </rPr>
      <t>3</t>
    </r>
  </si>
  <si>
    <t>1999 alt</t>
  </si>
  <si>
    <t>1999 neu</t>
  </si>
  <si>
    <t>Anzahl Versicherer</t>
  </si>
  <si>
    <r>
      <t xml:space="preserve">Versichertenbestand </t>
    </r>
    <r>
      <rPr>
        <b/>
        <vertAlign val="superscript"/>
        <sz val="11"/>
        <rFont val="Arial"/>
        <family val="2"/>
      </rPr>
      <t>2</t>
    </r>
  </si>
  <si>
    <t>Prämiensoll in Franken</t>
  </si>
  <si>
    <t>Prämiensoll in Franken pro Versicherte(n)</t>
  </si>
  <si>
    <t xml:space="preserve">Leistungen in Franken </t>
  </si>
  <si>
    <t>davon Mutterschaft</t>
  </si>
  <si>
    <t>Leistungen in Franken pro Versicherte(n)</t>
  </si>
  <si>
    <t>Quelle: Formular EF 3.9 und T 5.03</t>
  </si>
  <si>
    <t>2) Versichertenbestand am 31.12.</t>
  </si>
  <si>
    <t>3) In der Kollektivversicherung gibt es auch Lohnsummenverträge, bei denen die Zahl der Versicherten nicht bekannt ist.</t>
  </si>
  <si>
    <t>T 6.01 Prämien, Leistungen, Versichertenbestand und Versichererbestand ab 2003</t>
  </si>
  <si>
    <t>Versi-</t>
  </si>
  <si>
    <t xml:space="preserve"> pro</t>
  </si>
  <si>
    <t>cherten-</t>
  </si>
  <si>
    <t>cherer-</t>
  </si>
  <si>
    <t>Versicherte(n)</t>
  </si>
  <si>
    <r>
      <t xml:space="preserve">bestand </t>
    </r>
    <r>
      <rPr>
        <vertAlign val="superscript"/>
        <sz val="11"/>
        <rFont val="Arial"/>
        <family val="2"/>
      </rPr>
      <t>1</t>
    </r>
  </si>
  <si>
    <t>bestand</t>
  </si>
  <si>
    <r>
      <t xml:space="preserve">in Fr. </t>
    </r>
    <r>
      <rPr>
        <vertAlign val="superscript"/>
        <sz val="11"/>
        <rFont val="Arial"/>
        <family val="2"/>
      </rPr>
      <t>1</t>
    </r>
  </si>
  <si>
    <t>Quelle: T 6.03</t>
  </si>
  <si>
    <t xml:space="preserve">1) Versichertenbestand am 31.12. </t>
  </si>
  <si>
    <r>
      <t xml:space="preserve">    </t>
    </r>
    <r>
      <rPr>
        <u/>
        <sz val="10"/>
        <rFont val="Arial"/>
        <family val="2"/>
      </rPr>
      <t>Nur Einzelversicherung.</t>
    </r>
  </si>
  <si>
    <t>T 11.03  Versichertenbestand nach Wohnkanton per 31.12.</t>
  </si>
  <si>
    <t xml:space="preserve">Veränderung </t>
  </si>
  <si>
    <t xml:space="preserve">gegenüber </t>
  </si>
  <si>
    <t>Schweiz</t>
  </si>
  <si>
    <t>unbekannt</t>
  </si>
  <si>
    <t xml:space="preserve">Total </t>
  </si>
  <si>
    <t xml:space="preserve">1) Personen mit Wohnort im Ausland gemäss Artikel 4 KVV (Entsandte Arbeitnehmer und Arbeitnehmerinnen) und 5 KVV </t>
  </si>
  <si>
    <t xml:space="preserve">   (Personen im öffentlichen Dienst mit Aufenthalt im Ausland) mit Ausnahme derjenigen Personen, die in einem EU </t>
  </si>
  <si>
    <t xml:space="preserve">   oder EFTA Staat wohnen und gestützt auf das Freizügigkeitsabkommen oder das EFTA-Abkommen der schweizerischen </t>
  </si>
  <si>
    <t xml:space="preserve">  Versicherung unterstellt sind (Art. 1 Abs. 2 Bst. d und e KVV).</t>
  </si>
  <si>
    <t>Quelle: Formular EF 3.2</t>
  </si>
  <si>
    <t>T 11.02  Versichertenbestand per 31.12 ab 2003</t>
  </si>
  <si>
    <r>
      <t xml:space="preserve">Jahr </t>
    </r>
    <r>
      <rPr>
        <vertAlign val="superscript"/>
        <sz val="11"/>
        <rFont val="Arial"/>
        <family val="2"/>
      </rPr>
      <t>2</t>
    </r>
  </si>
  <si>
    <r>
      <t xml:space="preserve">Kinder </t>
    </r>
    <r>
      <rPr>
        <vertAlign val="superscript"/>
        <sz val="11"/>
        <rFont val="Arial"/>
        <family val="2"/>
      </rPr>
      <t>1</t>
    </r>
  </si>
  <si>
    <t>1) Personen, die das 18. Altersjahr noch nicht vollendet haben.</t>
  </si>
  <si>
    <t>2) Bis 2001: einschliesslich Versicherte mit Wohnsitz oder Aufenthalt im Ausland gemäss Art. 3, 4 und 5 KVV;</t>
  </si>
  <si>
    <t xml:space="preserve">    ab 2002: einschliesslich Personen mit Wohnsitz oder Aufenthalt im Ausland gemäss Art. 4 und 5 KVV (vgl. Fussnote 1 von Tabelle 11.03).</t>
  </si>
  <si>
    <t>Quelle: T 11.03</t>
  </si>
  <si>
    <r>
      <t xml:space="preserve">T 11.01 Durchschnittlicher Versichertenbestand </t>
    </r>
    <r>
      <rPr>
        <b/>
        <vertAlign val="superscript"/>
        <sz val="12"/>
        <rFont val="Arial"/>
        <family val="2"/>
      </rPr>
      <t xml:space="preserve">1  </t>
    </r>
    <r>
      <rPr>
        <b/>
        <sz val="12"/>
        <rFont val="Arial"/>
        <family val="2"/>
      </rPr>
      <t>ab 2003</t>
    </r>
  </si>
  <si>
    <t>1) Durchschnittlicher Versichertenbestand: Stand aller Monate zusammengezählt und geteilt durch 12.</t>
  </si>
  <si>
    <t>2) Vgl. Fussnote 2) von Tabelle 11.02.</t>
  </si>
  <si>
    <t>Quelle: Formular EF 1.12 A</t>
  </si>
  <si>
    <r>
      <t xml:space="preserve">T 11.13 Durchschnittlicher Versichertenbestand </t>
    </r>
    <r>
      <rPr>
        <b/>
        <vertAlign val="superscript"/>
        <sz val="12"/>
        <rFont val="Arial"/>
        <family val="2"/>
      </rPr>
      <t>1</t>
    </r>
    <r>
      <rPr>
        <b/>
        <sz val="12"/>
        <rFont val="Arial"/>
        <family val="2"/>
      </rPr>
      <t xml:space="preserve"> und Durchschnittsalter der Versicherten der obligatorischen Krankenpflegeversicherung gemäss Art. 29 KVV</t>
    </r>
  </si>
  <si>
    <t>a. KVG-Versicherte mit Wohnsitz in der Schweiz und mit schweizerischer Prämie 
(inkl. Versicherte gemäss Art. 4 und 5 KVV)</t>
  </si>
  <si>
    <t>Alter</t>
  </si>
  <si>
    <t>männlich</t>
  </si>
  <si>
    <t>weiblich</t>
  </si>
  <si>
    <t>am Total</t>
  </si>
  <si>
    <t>Kinder (0-18 Jahre)</t>
  </si>
  <si>
    <t>Junge Erwachsene (19-25 Jahre)</t>
  </si>
  <si>
    <t>Erwachsene (26 J. und älter)</t>
  </si>
  <si>
    <t>Durchschnittsalter</t>
  </si>
  <si>
    <r>
      <t xml:space="preserve">b. KVG-Versicherte mit Wohnsitz in einem EG-Staat, in Island oder in Norwegen, inklusive Grenzgänger </t>
    </r>
    <r>
      <rPr>
        <b/>
        <vertAlign val="superscript"/>
        <sz val="12"/>
        <rFont val="Arial"/>
        <family val="2"/>
      </rPr>
      <t>2</t>
    </r>
  </si>
  <si>
    <r>
      <t xml:space="preserve">c. KVG-Versicherte mit Wohnsitz in einem EG-Staat, in Island oder in Norwegen, nur Grenzgänger </t>
    </r>
    <r>
      <rPr>
        <b/>
        <vertAlign val="superscript"/>
        <sz val="12"/>
        <rFont val="Arial"/>
        <family val="2"/>
      </rPr>
      <t>3</t>
    </r>
  </si>
  <si>
    <t>2) Betriebsrechnung: siehe T 1.07.</t>
  </si>
  <si>
    <t>3) Grenzgänger, sowie ihre nichterwerbstätigen Familienangehörigen (Versicherte gemäss Art. 3 KVV).</t>
  </si>
  <si>
    <t>Quelle: A: Formular EF 3.1 und 3.8.1 / B: Formular EF 1.12 D / C: Formular EF 1.12 E</t>
  </si>
  <si>
    <t>T 11.09 Verteilung der Versicherungsformen in % nach Kanton: Kinder 0 - 18 Jahre</t>
  </si>
  <si>
    <r>
      <t>Standardmodell</t>
    </r>
    <r>
      <rPr>
        <b/>
        <vertAlign val="superscript"/>
        <sz val="11"/>
        <rFont val="Arial"/>
        <family val="2"/>
      </rPr>
      <t xml:space="preserve"> 1</t>
    </r>
  </si>
  <si>
    <t>Bonus Versicherung</t>
  </si>
  <si>
    <t>Andere Versicherungsformen (HMO, Hausarztmodell,…)</t>
  </si>
  <si>
    <t>Ordentliche Franchise 
(0 Fr.)</t>
  </si>
  <si>
    <t>Wählbare Franchise I 
(100 Fr.)</t>
  </si>
  <si>
    <t>Wählbare Franchise II (200 Fr.)</t>
  </si>
  <si>
    <t>Wählbare Franchise III (300 Fr.)</t>
  </si>
  <si>
    <t>Wählbare Franchise IV (400 Fr.)</t>
  </si>
  <si>
    <t>Wählbare Franchise V (500 Fr.)</t>
  </si>
  <si>
    <t>Wählbare Franchise VI (600 Fr.)</t>
  </si>
  <si>
    <r>
      <t>Wählbare Franchisen</t>
    </r>
    <r>
      <rPr>
        <b/>
        <sz val="11"/>
        <rFont val="Arial"/>
        <family val="2"/>
      </rPr>
      <t xml:space="preserve"> </t>
    </r>
    <r>
      <rPr>
        <b/>
        <sz val="10"/>
        <rFont val="Arial"/>
        <family val="2"/>
      </rPr>
      <t xml:space="preserve">I -&gt; VI </t>
    </r>
  </si>
  <si>
    <t>Versicherte mit ordentlicher Franchise</t>
  </si>
  <si>
    <t>Versicherte mit wählbarer Franchise</t>
  </si>
  <si>
    <t>* davon Versicherte mit HMO-Modell</t>
  </si>
  <si>
    <t>* davon Versicherte mit Hausarzt-modell</t>
  </si>
  <si>
    <t>Quelle: Formular EF 3.23</t>
  </si>
  <si>
    <t xml:space="preserve">1) Die Zuteilung der Versicherten nach Versicherungsform erfolgt derart, dass die Versicherten der Kategorie „andere Versicherungsformen“ (HMO, Hausarztmodell…)  </t>
  </si>
  <si>
    <t xml:space="preserve">    zugewiesen werden, falls sie eine Kombination dieser Form mit ordentlicher/wählbarer Franchise aufweisen.</t>
  </si>
  <si>
    <t xml:space="preserve">2) Personen mit Wohnsitz oder Aufenthalt im Ausland gemäss Art. 4 und 5 KVV, aber ohne Versicherte, die dem </t>
  </si>
  <si>
    <t>T 11.08 Verteilung der Versicherungsformen in % nach Kanton: Erwachsene ab 19 Jahren</t>
  </si>
  <si>
    <t>Ordentliche Franchise 
(300 Fr.)</t>
  </si>
  <si>
    <t>Wählbare Franchise I 
(500 Fr.)</t>
  </si>
  <si>
    <t>Wählbare Franchise II (1000 Fr.)</t>
  </si>
  <si>
    <t>Wählbare Franchise III (1500 Fr.)</t>
  </si>
  <si>
    <t>Wählbare Franchise IV (2000 Fr.)</t>
  </si>
  <si>
    <t>Wählbare Franchise V (2500 Fr.)</t>
  </si>
  <si>
    <t>Wählbare 
Franchise VI (-)</t>
  </si>
  <si>
    <t xml:space="preserve">Quelle: Formular EF 3.24 </t>
  </si>
  <si>
    <t>1) Die Zuteilung der Versicherten nach Versicherungsform erfolgt derart, dass die Versicherten der Kategorie „andere Versicherungsformen“ (HMO, Hausarztmodell…)</t>
  </si>
  <si>
    <r>
      <t xml:space="preserve">T 11.07 Verteilung der Versicherten (Kinder und Erwachsene) nach Versicherungsform </t>
    </r>
    <r>
      <rPr>
        <b/>
        <vertAlign val="superscript"/>
        <sz val="12"/>
        <rFont val="Arial"/>
        <family val="2"/>
      </rPr>
      <t>1</t>
    </r>
    <r>
      <rPr>
        <b/>
        <sz val="12"/>
        <rFont val="Arial"/>
        <family val="2"/>
      </rPr>
      <t xml:space="preserve"> ab 2003</t>
    </r>
  </si>
  <si>
    <t>Quelle: T 11.05</t>
  </si>
  <si>
    <r>
      <t xml:space="preserve">T 11.18 Durchschnittlicher Versichertenbestand  </t>
    </r>
    <r>
      <rPr>
        <b/>
        <vertAlign val="superscript"/>
        <sz val="12"/>
        <rFont val="Arial"/>
        <family val="2"/>
      </rPr>
      <t xml:space="preserve">1 2 </t>
    </r>
    <r>
      <rPr>
        <b/>
        <sz val="12"/>
        <rFont val="Arial"/>
        <family val="2"/>
      </rPr>
      <t xml:space="preserve"> nach Kanton in tausend ab 1996</t>
    </r>
  </si>
  <si>
    <t xml:space="preserve">Quelle: CH T 1.01   /  Kantone 1996 -&gt; 2008: Versichertenbestand der Statistik des Risikoausgleichs, Gemeinsame Einrichtung KVG   /   2009 -&gt; T 11.14 </t>
  </si>
  <si>
    <r>
      <t xml:space="preserve">Siehe Fussnote 2) in T 11.04. Von den Angaben des T 11.14 werden seit 2009 die Kategorien </t>
    </r>
    <r>
      <rPr>
        <i/>
        <sz val="10"/>
        <rFont val="Arial"/>
        <family val="2"/>
      </rPr>
      <t>Ausland</t>
    </r>
    <r>
      <rPr>
        <sz val="10"/>
        <rFont val="Arial"/>
        <family val="2"/>
      </rPr>
      <t xml:space="preserve"> und </t>
    </r>
    <r>
      <rPr>
        <i/>
        <sz val="10"/>
        <rFont val="Arial"/>
        <family val="2"/>
      </rPr>
      <t>Unbekannt</t>
    </r>
    <r>
      <rPr>
        <sz val="10"/>
        <rFont val="Arial"/>
        <family val="2"/>
      </rPr>
      <t xml:space="preserve"> hier nicht aufgeführt.</t>
    </r>
  </si>
  <si>
    <t>2) Zusätzliche Angaben nach Altersgruppe pro Kanton: www.bag.admin.ch/pyramiden</t>
  </si>
  <si>
    <t>T 11.17  Anzahl Versicherte OKP, in %,  nach Grösse der Versicherer ab 2003</t>
  </si>
  <si>
    <t>Grösse der Versicherer</t>
  </si>
  <si>
    <t>1 – 5'000</t>
  </si>
  <si>
    <t>5'001 –</t>
  </si>
  <si>
    <t>10'001 –</t>
  </si>
  <si>
    <t xml:space="preserve">50'001 – </t>
  </si>
  <si>
    <t xml:space="preserve">100'001 – </t>
  </si>
  <si>
    <t>mehr als</t>
  </si>
  <si>
    <t>(in %)</t>
  </si>
  <si>
    <t>(Durchschnittlicher</t>
  </si>
  <si>
    <t>Versichertenbestand)</t>
  </si>
  <si>
    <t>Quelle: T 5.01</t>
  </si>
  <si>
    <t>T 11.16  Durchschnittlicher Versichertenbestand nach Versicherungsform</t>
  </si>
  <si>
    <t>Kinder 
(0-18 Jahre)</t>
  </si>
  <si>
    <t>Erwachsene 
(ab 26 Jahre)</t>
  </si>
  <si>
    <r>
      <t xml:space="preserve">davon </t>
    </r>
    <r>
      <rPr>
        <i/>
        <vertAlign val="superscript"/>
        <sz val="11"/>
        <rFont val="Arial"/>
        <family val="2"/>
      </rPr>
      <t>4</t>
    </r>
    <r>
      <rPr>
        <i/>
        <sz val="11"/>
        <rFont val="Arial"/>
        <family val="2"/>
      </rPr>
      <t xml:space="preserve"> Versicherte mit Unfalldeckung KVG</t>
    </r>
  </si>
  <si>
    <r>
      <t xml:space="preserve">davon </t>
    </r>
    <r>
      <rPr>
        <i/>
        <vertAlign val="superscript"/>
        <sz val="11"/>
        <rFont val="Arial"/>
        <family val="2"/>
      </rPr>
      <t>4</t>
    </r>
    <r>
      <rPr>
        <i/>
        <sz val="11"/>
        <rFont val="Arial"/>
        <family val="2"/>
      </rPr>
      <t xml:space="preserve"> junge Erwachsene und Erwachsene</t>
    </r>
  </si>
  <si>
    <r>
      <t xml:space="preserve"> davon </t>
    </r>
    <r>
      <rPr>
        <i/>
        <vertAlign val="superscript"/>
        <sz val="11"/>
        <rFont val="Arial"/>
        <family val="2"/>
      </rPr>
      <t>4</t>
    </r>
    <r>
      <rPr>
        <i/>
        <sz val="11"/>
        <rFont val="Arial"/>
        <family val="2"/>
      </rPr>
      <t xml:space="preserve"> Versicherte mit HMO-Modell</t>
    </r>
  </si>
  <si>
    <r>
      <t xml:space="preserve"> davon </t>
    </r>
    <r>
      <rPr>
        <i/>
        <vertAlign val="superscript"/>
        <sz val="11"/>
        <rFont val="Arial"/>
        <family val="2"/>
      </rPr>
      <t>4</t>
    </r>
    <r>
      <rPr>
        <i/>
        <sz val="11"/>
        <rFont val="Arial"/>
        <family val="2"/>
      </rPr>
      <t xml:space="preserve"> Versicherte mit Hausarztmodell</t>
    </r>
  </si>
  <si>
    <r>
      <t xml:space="preserve"> davon </t>
    </r>
    <r>
      <rPr>
        <i/>
        <vertAlign val="superscript"/>
        <sz val="11"/>
        <rFont val="Arial"/>
        <family val="2"/>
      </rPr>
      <t>4</t>
    </r>
    <r>
      <rPr>
        <i/>
        <sz val="11"/>
        <rFont val="Arial"/>
        <family val="2"/>
      </rPr>
      <t xml:space="preserve"> Versicherte mit wählbarer Franchise</t>
    </r>
  </si>
  <si>
    <t xml:space="preserve">Quelle: Formular EF 3.13 </t>
  </si>
  <si>
    <t xml:space="preserve">1) Die Zuteilung der Versicherten nach Versicherungsform erfolgt derart, dass die Versicherten der Kategorie „andere Versicherungsformen“ </t>
  </si>
  <si>
    <t xml:space="preserve">    (HMO, Hausarztmodell…) zugewiesen werden, falls sie eine Kombination dieser Form mit ordentlicher/wählbarer Franchise aufweisen.</t>
  </si>
  <si>
    <t>4) Davon = Teil des Totals.</t>
  </si>
  <si>
    <t>T 11.15 Durchschnittlicher Versichertenbestand nach Altersklasse und Geschlecht</t>
  </si>
  <si>
    <t>Quelle: Formular EF 3.11</t>
  </si>
  <si>
    <t>25.9.14: T5, 5.01 -&gt; 5.06</t>
  </si>
  <si>
    <t>(Embargo bis 25.9.14)</t>
  </si>
  <si>
    <t>BAG-</t>
  </si>
  <si>
    <r>
      <t xml:space="preserve">Name des KVG-Versicherers </t>
    </r>
    <r>
      <rPr>
        <vertAlign val="superscript"/>
        <sz val="10"/>
        <rFont val="Arial"/>
        <family val="2"/>
      </rPr>
      <t>2</t>
    </r>
  </si>
  <si>
    <t xml:space="preserve">Vorhandene  </t>
  </si>
  <si>
    <t xml:space="preserve">Mindesthöhe </t>
  </si>
  <si>
    <r>
      <t xml:space="preserve">Solvenzquote </t>
    </r>
    <r>
      <rPr>
        <b/>
        <vertAlign val="superscript"/>
        <sz val="10"/>
        <rFont val="Arial"/>
        <family val="2"/>
      </rPr>
      <t>4</t>
    </r>
  </si>
  <si>
    <t>Nr.</t>
  </si>
  <si>
    <r>
      <t xml:space="preserve">Reserven </t>
    </r>
    <r>
      <rPr>
        <vertAlign val="superscript"/>
        <sz val="10"/>
        <rFont val="Arial"/>
        <family val="2"/>
      </rPr>
      <t>3</t>
    </r>
  </si>
  <si>
    <t>der Reserven</t>
  </si>
  <si>
    <t>per 1.1.2014</t>
  </si>
  <si>
    <t>1) Die Mindesthöhe der Reserven wird ab 2012 in einem Modell bestimmt, das die Risiken der Versicherer individuell berücksichtigt (KVG-Solvenztest, vgl. Art. 78ff. KVV).</t>
  </si>
  <si>
    <t xml:space="preserve"> Diese neue Berechnungsmethode ersetzt die bis 2011 geltenden Bestimmungen.  Für Versicherer, deren Reserven die Mindesthöhe</t>
  </si>
  <si>
    <t xml:space="preserve"> nicht erreichen (Solvenzquote &lt; 100%), gelten bis 2016 die früheren Reservebestimmungen (vgl. T 5.02).</t>
  </si>
  <si>
    <t xml:space="preserve">2) Name des Versicherers eventuell gekürzt. </t>
  </si>
  <si>
    <t xml:space="preserve">* Die Kolping (KK 762) hat für das Jahr 2014 einen speziellen Rückversicherungsvertrag abgeschlossen (Bilanzschutz), </t>
  </si>
  <si>
    <t>der vom KVG-Solvenztest nur teilweise berücksichtigt werden kann.</t>
  </si>
  <si>
    <t>3) Inkl. Reserven für die freiwillige Taggeldversicherung.</t>
  </si>
  <si>
    <t>4) Verhältnis Vorhandene Reserven / Mindesthöhe der Reserven in %.</t>
  </si>
  <si>
    <t>Quelle: Solvenztest BAG 2014</t>
  </si>
  <si>
    <t>Datenstand: 11.9.14</t>
  </si>
  <si>
    <t>CSS Krankenversicherung AG</t>
  </si>
  <si>
    <t>Aquilana Versicherungen</t>
  </si>
  <si>
    <t>Moove Sympany AG</t>
  </si>
  <si>
    <t>Supra</t>
  </si>
  <si>
    <t>Kranken- und Unfallkasse Einsiedeln</t>
  </si>
  <si>
    <t>PROVITA Gesundheitsversicherung AG</t>
  </si>
  <si>
    <t>Sumiswalder Krankenkasse</t>
  </si>
  <si>
    <t>Krankenkasse Steffisburg</t>
  </si>
  <si>
    <t>Concordia Schweizerische Kranken- und Unfallversicherung AG</t>
  </si>
  <si>
    <t>AGILIA Krankenkasse AG</t>
  </si>
  <si>
    <t>Atupri Krankenkasse</t>
  </si>
  <si>
    <t>Avenir Assurance Maladie SA</t>
  </si>
  <si>
    <t>Krankenkasse Luzerner Hinterland</t>
  </si>
  <si>
    <t>KPT Krankenkasse AG</t>
  </si>
  <si>
    <t>ÖKK Kranken- und Unfallversicherungen AG</t>
  </si>
  <si>
    <t>Vivao Sympany AG</t>
  </si>
  <si>
    <t>Krankenversicherung Flaachtal AG</t>
  </si>
  <si>
    <t>Kolping Krankenkasse AG *</t>
  </si>
  <si>
    <t>Easy Sana Assurance Maladie SA</t>
  </si>
  <si>
    <t>Genossenschaft Glarner Krankenversicherung</t>
  </si>
  <si>
    <t>Cassa da malsauns Lumneziana</t>
  </si>
  <si>
    <t>KLuG Krankenversicherung</t>
  </si>
  <si>
    <t>EGK Grundversicherungen</t>
  </si>
  <si>
    <t>Sanavals Gesundheitskasse</t>
  </si>
  <si>
    <t>Krankenkasse SLKK</t>
  </si>
  <si>
    <t>sodalis gesundheitsgruppe</t>
  </si>
  <si>
    <t>vita surselva</t>
  </si>
  <si>
    <t>Progrès Versicherungen AG</t>
  </si>
  <si>
    <t>Krankenkasse Zeneggen</t>
  </si>
  <si>
    <t>Krankenkasse Visperterminen</t>
  </si>
  <si>
    <t>Wincare Versicherungen AG</t>
  </si>
  <si>
    <t>Caisse maladie Vallée d'Entremont</t>
  </si>
  <si>
    <t>Krankenkasse Institut Ingenbohl</t>
  </si>
  <si>
    <t>Krankenkasse Turbenthal</t>
  </si>
  <si>
    <t>Caisse-maladie du personnel communal de la Ville de Neuchâtel</t>
  </si>
  <si>
    <t>Krankenkasse Wädenswil</t>
  </si>
  <si>
    <t>Krankenkasse Birchmeier</t>
  </si>
  <si>
    <t>kmu-Krankenversicherung</t>
  </si>
  <si>
    <t>Krankenkasse Stoffel</t>
  </si>
  <si>
    <t>Krankenkasse Simplon</t>
  </si>
  <si>
    <t>SWICA Krankenversicherung AG</t>
  </si>
  <si>
    <t>GALENOS Kranken- und Unfallversicherung</t>
  </si>
  <si>
    <t>rhenusana</t>
  </si>
  <si>
    <t>Taggeldkasse bildende KünstlerInnen</t>
  </si>
  <si>
    <t>Publisana Krankenversicherung AG</t>
  </si>
  <si>
    <t>Mutuel Assurance maladie  SA</t>
  </si>
  <si>
    <t>Gewerbliche Krankenkasse Bern</t>
  </si>
  <si>
    <t>AMB Assurance maladie et accidents</t>
  </si>
  <si>
    <t>Sanitas Grundversicherungen AG</t>
  </si>
  <si>
    <t>HOTELA Caisse maladie</t>
  </si>
  <si>
    <t>KSM Krankenkasse Schweiz. Metallbaufirmen</t>
  </si>
  <si>
    <t>INTRAS Kranken-Versicherung AG</t>
  </si>
  <si>
    <t>Philos Assurance Maladie SA</t>
  </si>
  <si>
    <t>Krankengeldversicherung der fenaco-Mitgliedgenossenschaften</t>
  </si>
  <si>
    <t>Assura SA</t>
  </si>
  <si>
    <t>Visana AG</t>
  </si>
  <si>
    <t>Agrisano Krankenkasse AG</t>
  </si>
  <si>
    <t>Helsana Versicherungen AG</t>
  </si>
  <si>
    <t>Avanex Versicherungen AG</t>
  </si>
  <si>
    <t>Sansan Versicherungen AG</t>
  </si>
  <si>
    <t>Sana24 AG</t>
  </si>
  <si>
    <t>Arcosana AG</t>
  </si>
  <si>
    <t>Vivacare AG</t>
  </si>
  <si>
    <t>maxi.ch Versicherungen AG</t>
  </si>
  <si>
    <t>Compact Grundversicherungen AG</t>
  </si>
  <si>
    <t>Sanagate AG</t>
  </si>
  <si>
    <r>
      <t xml:space="preserve">Name des OKP Versicherers </t>
    </r>
    <r>
      <rPr>
        <vertAlign val="superscript"/>
        <sz val="10"/>
        <rFont val="Arial"/>
        <family val="2"/>
      </rPr>
      <t>2</t>
    </r>
  </si>
  <si>
    <t>1</t>
  </si>
  <si>
    <t>2</t>
  </si>
  <si>
    <t>3</t>
  </si>
  <si>
    <t>4</t>
  </si>
  <si>
    <t>6</t>
  </si>
  <si>
    <t>7</t>
  </si>
  <si>
    <t>8</t>
  </si>
  <si>
    <t>9</t>
  </si>
  <si>
    <t>10</t>
  </si>
  <si>
    <t>11</t>
  </si>
  <si>
    <t>12</t>
  </si>
  <si>
    <t>13</t>
  </si>
  <si>
    <t>14</t>
  </si>
  <si>
    <t>15</t>
  </si>
  <si>
    <t>16</t>
  </si>
  <si>
    <t>17</t>
  </si>
  <si>
    <t>18</t>
  </si>
  <si>
    <t>19</t>
  </si>
  <si>
    <t>20</t>
  </si>
  <si>
    <t>21</t>
  </si>
  <si>
    <t>22</t>
  </si>
  <si>
    <t>23</t>
  </si>
  <si>
    <t>24</t>
  </si>
  <si>
    <t>25</t>
  </si>
  <si>
    <t>26</t>
  </si>
  <si>
    <t>27</t>
  </si>
  <si>
    <t>1) Bei den durchschnittlichen Versichertenbeständen der OKP (pro Kanton und Versicherer), die auf der OKP-Prämienseite des BAG publiziert werden, wird den Fusionen von Versicherern bis zum Moment der Gültigkeit der publizierten Prämien Rechnung getragen; aus diesem Grund kann es Unterschiede zwischen den Tabellen geben.</t>
  </si>
  <si>
    <t>2) Name des Versicherers eventuell gekürzt. Name gültig 2013.</t>
  </si>
  <si>
    <t>3) Personen mit Wohnort im Ausland gemäss Artikel 4 KVV (Entsandte Arbeitnehmer und Arbeitnehmerinnen) und 5 KVV (Personen im öffentlichen Dienst mit Aufenthalt im Ausland) mit Ausnahme derjenigen Personen, die in einem EU oder EFTA Staat wohnen und gestützt auf das Freizügigkeitsakbommen oder das EFTA-Abkommen der schweizerischen Versicherung unterstellt sind (Art. 1 Abs. 2 Bst. d und e KVV).</t>
  </si>
  <si>
    <t>Quelle: EF 3.12</t>
  </si>
  <si>
    <t>CSS Kranken-Vers. AG</t>
  </si>
  <si>
    <t>SUPRA SA</t>
  </si>
  <si>
    <t>Kranken- und Unfalkasse Einsiedeln</t>
  </si>
  <si>
    <t>CONCORDIA Kranken- und Unfallversicherung AG</t>
  </si>
  <si>
    <t>Atupri</t>
  </si>
  <si>
    <t>ÖKK</t>
  </si>
  <si>
    <t xml:space="preserve">Krankenversicherung Flaachtal AG </t>
  </si>
  <si>
    <t>Kolping Krankenkasse AG</t>
  </si>
  <si>
    <t>Glarner Krankenversicherung</t>
  </si>
  <si>
    <t>sanavals Gesundheitskasse</t>
  </si>
  <si>
    <t>KRANKENKASSE SLKK</t>
  </si>
  <si>
    <t>CM Vallée d'Entremont</t>
  </si>
  <si>
    <t>KK Wädenswil</t>
  </si>
  <si>
    <t>Krankenkasse Stoffel Mels</t>
  </si>
  <si>
    <t>GALENOS Kranken- und Unfallvers.</t>
  </si>
  <si>
    <t>Publisana</t>
  </si>
  <si>
    <t>Mutuel Assurance Maladie SA</t>
  </si>
  <si>
    <t>AMB</t>
  </si>
  <si>
    <t>Sanitas Grundversicherungen</t>
  </si>
  <si>
    <t>Intras Kranken-Versicherung AG</t>
  </si>
  <si>
    <t>Assura-Basis SA</t>
  </si>
  <si>
    <t>sana 24</t>
  </si>
  <si>
    <t>vivacare AG</t>
  </si>
  <si>
    <t xml:space="preserve">Total : </t>
  </si>
  <si>
    <t>T 5.04  Mutationen bei den Krankenversicherern</t>
  </si>
  <si>
    <t>Name des Versicherers</t>
  </si>
  <si>
    <t>Datum</t>
  </si>
  <si>
    <t>nicht mehr</t>
  </si>
  <si>
    <t>Neuer</t>
  </si>
  <si>
    <t>Neues</t>
  </si>
  <si>
    <t>Zusammenschluss oder Transfer mit</t>
  </si>
  <si>
    <t>in der</t>
  </si>
  <si>
    <t>Versicherer</t>
  </si>
  <si>
    <t>Name</t>
  </si>
  <si>
    <t>Tätigkeits-</t>
  </si>
  <si>
    <t>BAG-Nr. / Versicherer</t>
  </si>
  <si>
    <r>
      <t xml:space="preserve">BAG-Liste </t>
    </r>
    <r>
      <rPr>
        <vertAlign val="superscript"/>
        <sz val="10"/>
        <rFont val="Arial"/>
        <family val="2"/>
      </rPr>
      <t>1</t>
    </r>
  </si>
  <si>
    <t>gebiet</t>
  </si>
  <si>
    <t>Steffisburg</t>
  </si>
  <si>
    <t>01.01.13</t>
  </si>
  <si>
    <t>AG, BE, NW, 
OW, SO, ZH</t>
  </si>
  <si>
    <t>Assura assurance-maladie et accidents</t>
  </si>
  <si>
    <t>Innova Krankenversicherung AG</t>
  </si>
  <si>
    <t>x</t>
  </si>
  <si>
    <t>1) Nach dem Entzug der Anerkennung als Krankenversicherer wurden die Leistungen falls notwendig durch den Insolvenzfonds (Gemeinsame Einrichtung) erbracht.</t>
  </si>
  <si>
    <t>Quelle: Verzeichnisse der zugelassenen Krankenversicherer (Mitteilungen) BAG 01/13 5/13  (www.bag.admin.ch, Rubrik Versicherer und Aufsicht)</t>
  </si>
  <si>
    <t>Datenstand: 1.9.14</t>
  </si>
  <si>
    <r>
      <t xml:space="preserve">Name des KVG-Versicherers </t>
    </r>
    <r>
      <rPr>
        <vertAlign val="superscript"/>
        <sz val="10"/>
        <rFont val="Arial"/>
        <family val="2"/>
      </rPr>
      <t>1</t>
    </r>
  </si>
  <si>
    <t>KVG-Versi-</t>
  </si>
  <si>
    <t>Prämien</t>
  </si>
  <si>
    <t>Verwaltungs-</t>
  </si>
  <si>
    <t>Stand der</t>
  </si>
  <si>
    <t>cherer nur mit</t>
  </si>
  <si>
    <t xml:space="preserve">aufwand + </t>
  </si>
  <si>
    <t xml:space="preserve"> Rückstel-</t>
  </si>
  <si>
    <t xml:space="preserve">freiwilliger </t>
  </si>
  <si>
    <t>Abschrei-</t>
  </si>
  <si>
    <t>lungen</t>
  </si>
  <si>
    <t>Taggeldversi-</t>
  </si>
  <si>
    <t>in Tausend</t>
  </si>
  <si>
    <t>bungen in</t>
  </si>
  <si>
    <t>cherung : *</t>
  </si>
  <si>
    <t>Fr.</t>
  </si>
  <si>
    <t>Tausend Fr.</t>
  </si>
  <si>
    <t>1) Es gibt OKP-Versicherer, die in der freiwilligen KVG-Krankentaggeld keine Versicherten haben. Name des Versicherers eventuell gekürzt. Name gültig 2013.</t>
  </si>
  <si>
    <t>Quelle: Formular EF1345</t>
  </si>
  <si>
    <t>BAG-Nr. nur wenn [2] oder [3] &lt; &gt; 0</t>
  </si>
  <si>
    <t>* wenn EF 1.12A Total = 0 (keine Versicherten in der OKP)</t>
  </si>
  <si>
    <t>Total EF 3.9.2</t>
  </si>
  <si>
    <t>Total EF 3.9.3</t>
  </si>
  <si>
    <t xml:space="preserve">EF2 Konten 40-47 + 48 Krankheit + Unfall Seiten 2.0 -&gt; 2.1 </t>
  </si>
  <si>
    <t>EF2 Konten Gesamtbetriebergebnis {ohne Position} Krankheit + Unfall Seiten 2.0 -&gt; 2.1</t>
  </si>
  <si>
    <t>EF 1.4 Konto 271</t>
  </si>
  <si>
    <t>EF 1.5 Konto 291</t>
  </si>
  <si>
    <t>CONCORDIA Schweiz. Kranken- und Unfallversicherung AG</t>
  </si>
  <si>
    <t>Caisse Maladie du Personnel Communal de la Ville de Neuchâtel</t>
  </si>
  <si>
    <t>*</t>
  </si>
  <si>
    <t>0) Nur OKP Versicherer</t>
  </si>
  <si>
    <t>Name des Versicherers eventuell gekürzt, Name gültig 2013.</t>
  </si>
  <si>
    <t>2) Einnahmen Total (in Mio. Fr.)</t>
  </si>
  <si>
    <t>Prämiensoll, Subventionen und Prämienverbilligungen, Erlösminderungen (Rabatte und Skonti) sowie die übrigen Erträge (Kapital- und Liegenschaftserträge).</t>
  </si>
  <si>
    <t>3A + 3B) Prämien (in Mio. Fr., je versicherte Person in Fr.)</t>
  </si>
  <si>
    <t>Prämiensoll = Prämiensumme gemäss den genehmigten Prämientarifen.</t>
  </si>
  <si>
    <t>4A + 4B + 4C) Risikoausgleich (in Mio. Fr., je versicherte Person in Fr., und in % der Einnahmen)</t>
  </si>
  <si>
    <t xml:space="preserve">Über den Risikoausgleich erhalten Versicherer mit überdurchschnittlich kostenverursachenden Versicherten (Frauen, ältere Personen) Beiträge, </t>
  </si>
  <si>
    <t>welche von den Versicherern mit unterdurchschnittlich kostenverursachenden Versicherten (Männer, jüngere Personen) finanziert werden.</t>
  </si>
  <si>
    <t xml:space="preserve">Eine positive Prozentzahl bedeutet, dass der Versicherer in den Risikoausgleich einzahlen muss, ein negativer Wert steht bei Versicherern, </t>
  </si>
  <si>
    <t>welche aus dem Risikoausgleich Mittel beziehen können.</t>
  </si>
  <si>
    <t>5A + 5B) Nettoleistungen der Versicherer (in Mio. Fr. und je versicherte Person in Fr.)</t>
  </si>
  <si>
    <t>Nettoleistungen = Bezahlte Leistungen der Versicherer an die Leistungserbringer (Ärzte, Spitäler, Apotheken, usw.)</t>
  </si>
  <si>
    <t>nach Abzug der Kostenbeteiligung der Versicherten (Franchise / Selbstbehalt / Tagespauschale im Spital).</t>
  </si>
  <si>
    <t>6A + 6B + 6C) Verwaltungsaufwand und Abschreibungen (in % der Ausgaben, in % der Prämien - Risikoausgleich und je versicherte Person in Fr.)</t>
  </si>
  <si>
    <t xml:space="preserve">Personalaufwand inkl. Sozialleistungen, Verwaltungsräumlichkeiten und Betriebseinrichtungen, EDV-Kosten, Versicherungsprämien </t>
  </si>
  <si>
    <t>(Mobiliar, Haftpflicht usw.), Werbung sowie Abschreibungen. Ausgaben = Total des Versicherungs- und Betriebsaufwands.</t>
  </si>
  <si>
    <t xml:space="preserve">7) Gesamtergebnis (je versicherte Person in Fr.)  </t>
  </si>
  <si>
    <t>Das Gesamtbetriebsergebnis entspricht dem Saldo der Einnahmen (Total des Gesamtertrags) und der Ausgaben (Total des Versicherungs- und Betriebsaufwands).</t>
  </si>
  <si>
    <t xml:space="preserve">8A + 8B) Rückstellungen (in Mio. Fr. und je versicherte Person in Fr.)  </t>
  </si>
  <si>
    <t xml:space="preserve">Rückstellungen für unerledigte Versicherungsfälle, welche am Ende des Jahres für diejenigen Leistungen gebildet werden müssen, </t>
  </si>
  <si>
    <t>welche von den Versicherten bereits in Anspruch genommen worden sind, für die sie aber noch keine Rechnungen erhalten haben.</t>
  </si>
  <si>
    <t xml:space="preserve">Es handelt sich hierbei um geschuldete Leistungen, welche die Versicherer im folgenden Jahr noch zu erbringen haben; sie stellen somit keine Reserven dar. </t>
  </si>
  <si>
    <t xml:space="preserve">9A + 9B) Reserven (in Mio. Fr., je versicherte Person in Fr.)  </t>
  </si>
  <si>
    <t>Sicherheits- und Schwankungsreserven = Mittel, die dem Versicherer zur Sicherstellung der langfristigen eigenen Zahlungsfähigkeit dienen.</t>
  </si>
  <si>
    <t>Je nach Grösse des Versicherers müssen folgende Mindestsätze (Reserven in % des jährlichen Prämiensolls) erreicht werden (Art. 78 KVV -&gt; 2011):</t>
  </si>
  <si>
    <t>≤ 100</t>
  </si>
  <si>
    <t>≤ 500</t>
  </si>
  <si>
    <t>≤ 1'000</t>
  </si>
  <si>
    <t>≤ 2'500</t>
  </si>
  <si>
    <t>≤ 5'000</t>
  </si>
  <si>
    <t>≤ 10'000</t>
  </si>
  <si>
    <t>≤ 50'000</t>
  </si>
  <si>
    <r>
      <t>≤ 250'</t>
    </r>
    <r>
      <rPr>
        <sz val="10"/>
        <color indexed="8"/>
        <rFont val="Arial"/>
        <family val="2"/>
      </rPr>
      <t>000</t>
    </r>
  </si>
  <si>
    <r>
      <t>&gt; 250'</t>
    </r>
    <r>
      <rPr>
        <sz val="10"/>
        <color indexed="8"/>
        <rFont val="Arial"/>
        <family val="2"/>
      </rPr>
      <t>000</t>
    </r>
  </si>
  <si>
    <t>1996 -&gt; 2003 **</t>
  </si>
  <si>
    <t>≤  50'000</t>
  </si>
  <si>
    <t>≤  150'000</t>
  </si>
  <si>
    <t>≤  250'000</t>
  </si>
  <si>
    <t>&gt; 250'000</t>
  </si>
  <si>
    <t>2004 -&gt; 2006</t>
  </si>
  <si>
    <t>20% *</t>
  </si>
  <si>
    <t>2009 -&gt; 2011</t>
  </si>
  <si>
    <t>*) Versicherer mit weniger als 50 000 Versicherten sind verpflichtet, eine Rückversicherung abzuschliessen.</t>
  </si>
  <si>
    <t>**) Dabei dürfen Versicherer mit einer entsprechenden Rückversicherung oder Defizitgarantie den Mindestsatz der Reserven unterschreiten.</t>
  </si>
  <si>
    <t xml:space="preserve">2012 -&gt; </t>
  </si>
  <si>
    <t>11) Verwaltungsaufwand (je versicherte Person in Fr.)</t>
  </si>
  <si>
    <t>12A + 12B) Bruttoleistungen der Versicherer (in Mio. Fr. und je versicherte Person in Fr.)</t>
  </si>
  <si>
    <t>Bruttoleistungen = Leistungen der Versicherer an die Leistungserbringer (Ärzte, Spitäler, Apotheken, usw.)</t>
  </si>
  <si>
    <r>
      <t>mit</t>
    </r>
    <r>
      <rPr>
        <sz val="10"/>
        <color indexed="8"/>
        <rFont val="Arial"/>
        <family val="2"/>
      </rPr>
      <t xml:space="preserve"> Kostenbeteiligung der Versicherten (Franchise / Selbstbehalt / Tagespauschale im Spital).</t>
    </r>
  </si>
  <si>
    <t>13A + 13B) Kostenbeteiligung der Versicherten (in Mio. Fr. und je versicherte Person in Fr.)</t>
  </si>
  <si>
    <t>Kostenbeteiligung der Versicherten: Franchise / Selbstbehalt / Tagespauschale im Spital.</t>
  </si>
  <si>
    <t>Berücksichtigt nur die bei dem Versicherer eingereichten Rechnungen.</t>
  </si>
  <si>
    <t>14) Ausgaben Total (in Mio. Fr.)</t>
  </si>
  <si>
    <t>Ausgaben = Total Versicherungs- und Betriebsaufwand.</t>
  </si>
  <si>
    <t>15) Verhältnis Nettoleistungen / Prämien in %</t>
  </si>
  <si>
    <t>VVG Zusatzversicherungen : Prämien (in Mio. Fr.)  : KVG-Versicherer, welche eigene VVG-Zusatzversicherungen anbieten [ 10) -&gt; 2011 ].</t>
  </si>
  <si>
    <t>Infolge der Überarbeitung des Kontenplans beim BAG sind diese Angaben seit 2012 nur noch bei der FINMA (vgl. Fussnote 1) von Tabelle 7.01) verfügbar.</t>
  </si>
  <si>
    <t xml:space="preserve">Quelle: Formulare EF 1345 </t>
  </si>
  <si>
    <t xml:space="preserve">BAG-Nr. nur wenn EF1.12A Total  &gt; 0 </t>
  </si>
  <si>
    <t xml:space="preserve">EF2 Konten Gesamtbetriebsergebnis {ohne Position} </t>
  </si>
  <si>
    <t xml:space="preserve">EF1.12A Total nur wenn &gt; 0 </t>
  </si>
  <si>
    <t>Krankheit + Unfall Seiten 2.2 -&gt; 2.7 / ( [ 1 ] )</t>
  </si>
  <si>
    <t>EF2 Konten 6 + 7 Krankheit + Unfall Seiten 2.2 -&gt; 2.7</t>
  </si>
  <si>
    <t>EF1 Seite 4 Konto 270</t>
  </si>
  <si>
    <t>EF2 Konto 61 Krankheit + Unfall Seiten 2.2 -&gt; 2.7</t>
  </si>
  <si>
    <t>=( [ 8A ] / [ 1 ] ) in %</t>
  </si>
  <si>
    <t>= ( [ 3A ] / [ 1 ] )</t>
  </si>
  <si>
    <t>EF1 Seite 5 Konten 290 + 290.9</t>
  </si>
  <si>
    <t>4A</t>
  </si>
  <si>
    <t>EF2 Konto 37 Krankheit + Unfall Seiten 2.2 -&gt; 2.7</t>
  </si>
  <si>
    <t>= ( [ 9A ] / [ 1 ] ) in %</t>
  </si>
  <si>
    <t>4B</t>
  </si>
  <si>
    <t>(EF2 Konto 37 Krankheit + Unfall Seiten 2.2 -&gt; 2.7) / [ 1 ]</t>
  </si>
  <si>
    <t xml:space="preserve">(EF2 Konten 40-47 Krankheit + Unfall Seiten 2.2 -&gt; 2.7) / [ 1 ] </t>
  </si>
  <si>
    <t>4C</t>
  </si>
  <si>
    <t>(EF2 Konto 37 Krankheit + Unfall Seiten 2.2 -&gt; 2.7) / [ 2 ]</t>
  </si>
  <si>
    <t>=  [ 5A ] + [ 13A ]</t>
  </si>
  <si>
    <t>5A</t>
  </si>
  <si>
    <t>EF2 Konto 30-33 Krankheit + Unfall Seiten 2.2 -&gt; 2.7</t>
  </si>
  <si>
    <t>= ( [ 12A ] / [ 1 ] )</t>
  </si>
  <si>
    <t>5B</t>
  </si>
  <si>
    <t>= ( [ 5A ] / [ 1 ] )</t>
  </si>
  <si>
    <t>= - (EF2 Konto 32 Krankheit + Unfall Seiten 2.2 -&gt; 2.7)</t>
  </si>
  <si>
    <t>(EF2 Konten 40-47 + 48 Krankheit + Unfall Seiten 2.2 -&gt; 2.7) /  [14] in %</t>
  </si>
  <si>
    <t>= ( [ 13A ] / [ 1 ] )</t>
  </si>
  <si>
    <t xml:space="preserve">(EF2 Konten 40-47 + 48 Krankheit + Unfall Seiten 2.2 -&gt; 2.7) / [ 1 ] </t>
  </si>
  <si>
    <t>(EF2 Konto 3/4 Krankheit + Unfall Seiten 2.2 -&gt; 2.7)</t>
  </si>
  <si>
    <t>6C</t>
  </si>
  <si>
    <t>(EF2 Konten 40-47 + 48 Krankheit + Unfall Seiten 2.2 -&gt; 2.7) /  ( [3A] - [4A] ) in %</t>
  </si>
  <si>
    <t>= ( [ 5B ] / [ 3B ] ) in %</t>
  </si>
  <si>
    <t>Aufsichtsdaten OKP gemäss Art. 31 KVV (Stand 1.1.08) / gemäss Art. 28b KVV (Stand 1.1.09)</t>
  </si>
  <si>
    <t>Name des OKP Versicherers</t>
  </si>
  <si>
    <t>Durch-</t>
  </si>
  <si>
    <t>Netto-</t>
  </si>
  <si>
    <t>Kosten-</t>
  </si>
  <si>
    <t>Brutto-</t>
  </si>
  <si>
    <t>Risikoaus–</t>
  </si>
  <si>
    <t>Gesamter-</t>
  </si>
  <si>
    <t>Verhältnis</t>
  </si>
  <si>
    <t>Einnahmen</t>
  </si>
  <si>
    <t>Ausgaben</t>
  </si>
  <si>
    <t>Risiko–</t>
  </si>
  <si>
    <t>VVG</t>
  </si>
  <si>
    <t>Gesetzlich</t>
  </si>
  <si>
    <t>Höher als die</t>
  </si>
  <si>
    <t>Tiefer als die</t>
  </si>
  <si>
    <t>schnittlicher</t>
  </si>
  <si>
    <t xml:space="preserve">je versicherte </t>
  </si>
  <si>
    <t>leistungen</t>
  </si>
  <si>
    <t>beteiligung</t>
  </si>
  <si>
    <t>gleich je</t>
  </si>
  <si>
    <t>gebnis je</t>
  </si>
  <si>
    <t>Reserven je</t>
  </si>
  <si>
    <t>gleich in %</t>
  </si>
  <si>
    <t>in % der</t>
  </si>
  <si>
    <t>ausgleich</t>
  </si>
  <si>
    <t>Zusatzver-</t>
  </si>
  <si>
    <t>vorgeschrie-</t>
  </si>
  <si>
    <t>gesetzlich</t>
  </si>
  <si>
    <t>(Verwaltungsauf.</t>
  </si>
  <si>
    <t>Versicher-</t>
  </si>
  <si>
    <t xml:space="preserve">Person </t>
  </si>
  <si>
    <t>je versicherte</t>
  </si>
  <si>
    <t xml:space="preserve"> versicherte</t>
  </si>
  <si>
    <t>versicherte</t>
  </si>
  <si>
    <t>lungen je</t>
  </si>
  <si>
    <t xml:space="preserve">versicherte </t>
  </si>
  <si>
    <t>leistungen /</t>
  </si>
  <si>
    <t>der Ein-</t>
  </si>
  <si>
    <t xml:space="preserve"> in Mio. Fr.</t>
  </si>
  <si>
    <t>sicherungen:</t>
  </si>
  <si>
    <t>bene Reserve</t>
  </si>
  <si>
    <t xml:space="preserve"> je</t>
  </si>
  <si>
    <t>+ Abschreib.) /</t>
  </si>
  <si>
    <t>tenbestand</t>
  </si>
  <si>
    <t>bungen je</t>
  </si>
  <si>
    <t xml:space="preserve"> Person</t>
  </si>
  <si>
    <t>nahmen</t>
  </si>
  <si>
    <t>bungen</t>
  </si>
  <si>
    <t>(Prämien -</t>
  </si>
  <si>
    <t>Person</t>
  </si>
  <si>
    <t xml:space="preserve"> in % der </t>
  </si>
  <si>
    <t>(+) in Mio. Fr.</t>
  </si>
  <si>
    <t>(-) in Mio. Fr.</t>
  </si>
  <si>
    <t>Person in Fr.</t>
  </si>
  <si>
    <t>Risikoausgleich)</t>
  </si>
  <si>
    <t>9C</t>
  </si>
  <si>
    <t>11A</t>
  </si>
  <si>
    <t>11B</t>
  </si>
  <si>
    <t>11C</t>
  </si>
  <si>
    <t>Quelle und Erklärungen: T 5.02</t>
  </si>
  <si>
    <t>5: Individuelle Daten pro Versicherer</t>
  </si>
  <si>
    <t xml:space="preserve">KVG-Versicherer: Daten zur freiwilligen Taggeldversicherung </t>
  </si>
  <si>
    <t>Mutationen bei den Krankenversicherern</t>
  </si>
  <si>
    <t>KVG-Solvenztest 2014</t>
  </si>
  <si>
    <t>Schätzungen aus dem Prämiengenehmigungsverfahren: Hauptwerte [in Mio. Fr. ausser Versicherte in Tausend]</t>
  </si>
  <si>
    <t>Schätzung</t>
  </si>
  <si>
    <t xml:space="preserve">Abweichung </t>
  </si>
  <si>
    <t>Prognose</t>
  </si>
  <si>
    <t>Nettoleistungen</t>
  </si>
  <si>
    <t>Verwaltungskosten</t>
  </si>
  <si>
    <t>Rückstellungen</t>
  </si>
  <si>
    <t>Bemerkungen:</t>
  </si>
  <si>
    <t>- 1 -&gt; 4, 6 -&gt; 8 : in der STAT KV publizierte Werte [T 1.01] aus den Formularen EF123/EF1345.</t>
  </si>
  <si>
    <t>- 5 : in der STAT KV publizierte Werte [T 1.02] aus den Formularen EF123/EF1345 (Konten 40-47 / 500-&gt;517, ohne Abschreibungen).</t>
  </si>
  <si>
    <t>- 6: Seit 2012 wird die Höhe der Reserven nicht mehr wie bis 2011 nach dem Prämienvolumen und der Versichertenzahl bestimmt, sondern in Abhängigkeit von den Risiken des Versicherers.</t>
  </si>
  <si>
    <t xml:space="preserve">   Seit 2012 müssen die Versicherer die Bilanz nach dem Marktwert erstellen. Durch die Auflösung der stillen Reserven fallen die ausgewiesenen Reserven höher aus </t>
  </si>
  <si>
    <t xml:space="preserve">   und sind mit denjenigen der Vorjahre nicht vergleichbar (vgl. T 1.01, 1.12, 5.01, 5.02, 5.06).</t>
  </si>
  <si>
    <t>- Schätzung: geschätzte Werte aus dem Prämiengenehmigungsverfahren des BAG, Schätzung für das laufende Jahr</t>
  </si>
  <si>
    <t xml:space="preserve">  Beispiel: Schätzung von 2012 für 2012 / Schätzung von 2013 für 2013</t>
  </si>
  <si>
    <t xml:space="preserve">  Geschätzte Werte für 2014 werden in der STAT KV 2014 veröffentlicht.</t>
  </si>
  <si>
    <t>- Abweichung in % : Abweichung zwischen der Schätzung und dem in der STAT KV publizierten Wert.</t>
  </si>
  <si>
    <t xml:space="preserve">   der Bevölkerung und der geschätzten Bevölkerung in % zum bzw. vom ebenfalls absoluten, für jede Kategorie aufgeführten Wert nach </t>
  </si>
  <si>
    <t xml:space="preserve">   folgendem Schema addiert oder subtrahiert wird:</t>
  </si>
  <si>
    <t>Abweichung geschätzte Bevölkerung - Bevölkerung in %</t>
  </si>
  <si>
    <t>+</t>
  </si>
  <si>
    <t xml:space="preserve">Abweichung geschätzter Wert [2-8] - Wert [2-8] in %   </t>
  </si>
  <si>
    <t>Zeichen der Genauigkeit pro versicherte Person: + oder - %</t>
  </si>
  <si>
    <t xml:space="preserve">  Beispiel: Reserven pro versicherte Person im Jahr 2004 mit der Schätzung: -0.2% + 0.52% = Abweichung pro versicherte Person von + 0.72%</t>
  </si>
  <si>
    <t>- Durchschnittsprämien pro versicherte Person in Fr. : 2013 [T 1.01] 3105 Fr. ; 2014 [Schätzung] 3179 Fr. (+ 2,37%)</t>
  </si>
  <si>
    <t>Datenstand: 24.9.14</t>
  </si>
  <si>
    <r>
      <t xml:space="preserve">T 2.13 Kostenbeteiligung  </t>
    </r>
    <r>
      <rPr>
        <b/>
        <vertAlign val="superscript"/>
        <sz val="12"/>
        <rFont val="Arial"/>
        <family val="2"/>
      </rPr>
      <t>1</t>
    </r>
    <r>
      <rPr>
        <b/>
        <sz val="12"/>
        <rFont val="Arial"/>
        <family val="2"/>
      </rPr>
      <t xml:space="preserve">  in Fr. je versicherte Person nach Kanton</t>
    </r>
  </si>
  <si>
    <t xml:space="preserve">Quelle: T 2.10 / T 11.14 </t>
  </si>
  <si>
    <t>1) Berücksichtigt nur die bei dem Versicherer eingereichten Rechnungen</t>
  </si>
  <si>
    <r>
      <t xml:space="preserve">T 2.08  Nettoleistungen </t>
    </r>
    <r>
      <rPr>
        <b/>
        <vertAlign val="superscript"/>
        <sz val="12"/>
        <rFont val="Arial"/>
        <family val="2"/>
      </rPr>
      <t xml:space="preserve">4  </t>
    </r>
    <r>
      <rPr>
        <b/>
        <sz val="12"/>
        <rFont val="Arial"/>
        <family val="2"/>
      </rPr>
      <t>in Fr. je versicherte Person nach Versicherungsform</t>
    </r>
  </si>
  <si>
    <t>Junge Erwachsene 
(19-25 Jahre)</t>
  </si>
  <si>
    <t>Quelle: T 2.24 - T 2.23</t>
  </si>
  <si>
    <t>2) Franchisenstufen ( Kinder / Erwachsene)</t>
  </si>
  <si>
    <r>
      <t xml:space="preserve">4) Nettoleistungen = bezahlte Leistungen der Versicherer in der OKP </t>
    </r>
    <r>
      <rPr>
        <b/>
        <sz val="10"/>
        <rFont val="Arial"/>
        <family val="2"/>
      </rPr>
      <t>ohne</t>
    </r>
    <r>
      <rPr>
        <sz val="10"/>
        <rFont val="Arial"/>
        <family val="2"/>
      </rPr>
      <t xml:space="preserve"> Kostenbeteiligung durch die Versicherten.</t>
    </r>
  </si>
  <si>
    <r>
      <t xml:space="preserve">T 2.05  Bruttoleistungen </t>
    </r>
    <r>
      <rPr>
        <b/>
        <vertAlign val="superscript"/>
        <sz val="12"/>
        <rFont val="Arial"/>
        <family val="2"/>
      </rPr>
      <t xml:space="preserve">1 </t>
    </r>
    <r>
      <rPr>
        <b/>
        <sz val="12"/>
        <rFont val="Arial"/>
        <family val="2"/>
      </rPr>
      <t xml:space="preserve"> in Fr. je versicherte Person nach Kanton</t>
    </r>
  </si>
  <si>
    <t xml:space="preserve">Quelle: T 2.04 / T 11.14 </t>
  </si>
  <si>
    <r>
      <t xml:space="preserve">T 2.03 Nettoleistungen </t>
    </r>
    <r>
      <rPr>
        <b/>
        <vertAlign val="superscript"/>
        <sz val="12"/>
        <rFont val="Arial"/>
        <family val="2"/>
      </rPr>
      <t xml:space="preserve">1 2 </t>
    </r>
    <r>
      <rPr>
        <b/>
        <sz val="12"/>
        <rFont val="Arial"/>
        <family val="2"/>
      </rPr>
      <t xml:space="preserve"> je versicherte Person nach Kanton in Franken ab 1996</t>
    </r>
  </si>
  <si>
    <t xml:space="preserve">1999 -&gt; 2008: Prämiengenehmigungsverfahren BAG, Werte korrigiert auf der Basis des CH-Bestandes in T 1.01 / 2009 -&gt; : T 2.12 </t>
  </si>
  <si>
    <r>
      <t xml:space="preserve">    Nettoleistungen = bezahlte Leistungen der Versicherer in der OKP </t>
    </r>
    <r>
      <rPr>
        <b/>
        <sz val="10"/>
        <rFont val="Arial"/>
        <family val="2"/>
      </rPr>
      <t>ohne</t>
    </r>
    <r>
      <rPr>
        <sz val="10"/>
        <rFont val="Arial"/>
        <family val="2"/>
      </rPr>
      <t xml:space="preserve"> Kostenbeteiligungen der Versicherten.</t>
    </r>
  </si>
  <si>
    <r>
      <t xml:space="preserve">T 2.26 Kostenbeteiligung </t>
    </r>
    <r>
      <rPr>
        <b/>
        <vertAlign val="superscript"/>
        <sz val="12"/>
        <rFont val="Arial"/>
        <family val="2"/>
      </rPr>
      <t xml:space="preserve">1 2 </t>
    </r>
    <r>
      <rPr>
        <b/>
        <sz val="12"/>
        <rFont val="Arial"/>
        <family val="2"/>
      </rPr>
      <t xml:space="preserve"> je versicherte Person nach Kanton in Franken ab 1996</t>
    </r>
  </si>
  <si>
    <r>
      <t xml:space="preserve">Quelle: 2009 -&gt; : T 2.13  /  CH 1996 -&gt; 2008 :T 1.01  /  Kantone: 1996 -&gt; 2008:  T 2.25 - T 2.03   /   </t>
    </r>
    <r>
      <rPr>
        <i/>
        <sz val="10"/>
        <rFont val="Arial"/>
        <family val="2"/>
      </rPr>
      <t>(Werte 1996 -&gt; 2008 revidiert)</t>
    </r>
  </si>
  <si>
    <r>
      <t xml:space="preserve">T 2.25 Bruttoleistungen </t>
    </r>
    <r>
      <rPr>
        <b/>
        <vertAlign val="superscript"/>
        <sz val="12"/>
        <rFont val="Arial"/>
        <family val="2"/>
      </rPr>
      <t xml:space="preserve">1 2 </t>
    </r>
    <r>
      <rPr>
        <b/>
        <sz val="12"/>
        <rFont val="Arial"/>
        <family val="2"/>
      </rPr>
      <t xml:space="preserve"> je versicherte Person nach Kanton in Franken ab 1996</t>
    </r>
  </si>
  <si>
    <t>Quelle: 2009 -&gt;: T 2.05  /  CH 1996 -&gt; 2008 : T 1.01  /  Kantone 1996 -&gt; 1998: Prämiengenehmigungsverfahren BAG mit Versichertenbestand des Risikoausgleichs, Werte korrigiert auf der Basis des CH-Wertes in T 1.01  /</t>
  </si>
  <si>
    <r>
      <t xml:space="preserve">1999 -&gt; 2008: Prämiengenehmigungsverfahren BAG, Werte korrigiert auf der Basis des CH-Bestandes in T 1.01 /   </t>
    </r>
    <r>
      <rPr>
        <i/>
        <sz val="10"/>
        <rFont val="Arial"/>
        <family val="2"/>
      </rPr>
      <t>(Werte 1996 -&gt; 2008 revidiert)</t>
    </r>
  </si>
  <si>
    <r>
      <t xml:space="preserve">1) Für alle Versicherten für alle Versicherungsformen. Bruttoleistungen = Leistungen der Versicherer in der OKP </t>
    </r>
    <r>
      <rPr>
        <b/>
        <sz val="10"/>
        <rFont val="Arial"/>
        <family val="2"/>
      </rPr>
      <t>mit</t>
    </r>
    <r>
      <rPr>
        <sz val="10"/>
        <rFont val="Arial"/>
        <family val="2"/>
      </rPr>
      <t xml:space="preserve"> Kostenbeteiligung durch die Versicherten.</t>
    </r>
  </si>
  <si>
    <r>
      <t xml:space="preserve">T 2.24  Bruttoleistungen </t>
    </r>
    <r>
      <rPr>
        <b/>
        <vertAlign val="superscript"/>
        <sz val="12"/>
        <rFont val="Arial"/>
        <family val="2"/>
      </rPr>
      <t xml:space="preserve">4  </t>
    </r>
    <r>
      <rPr>
        <b/>
        <sz val="12"/>
        <rFont val="Arial"/>
        <family val="2"/>
      </rPr>
      <t>in Fr. je versicherte Person nach Versicherungsform</t>
    </r>
  </si>
  <si>
    <t xml:space="preserve">Quelle: Formular EF 3.22 / EF 3.13 </t>
  </si>
  <si>
    <t xml:space="preserve">    Versicherungsobligatorium unterstehen und in einem EU- oder EFTA-Staat Wohnsitz haben (vgl. Fussnote 1 von Tabelle 11.03).</t>
  </si>
  <si>
    <r>
      <t xml:space="preserve">4) Bruttoleistungen = Leistungen der Versicherer in der OKP </t>
    </r>
    <r>
      <rPr>
        <b/>
        <sz val="10"/>
        <rFont val="Arial"/>
        <family val="2"/>
      </rPr>
      <t>mit</t>
    </r>
    <r>
      <rPr>
        <sz val="10"/>
        <rFont val="Arial"/>
        <family val="2"/>
      </rPr>
      <t xml:space="preserve"> Kostenbeteiligung durch die Versicherten.</t>
    </r>
  </si>
  <si>
    <r>
      <t xml:space="preserve">T 2.23 Kostenbeteiligung </t>
    </r>
    <r>
      <rPr>
        <b/>
        <vertAlign val="superscript"/>
        <sz val="12"/>
        <rFont val="Arial"/>
        <family val="2"/>
      </rPr>
      <t xml:space="preserve">4  </t>
    </r>
    <r>
      <rPr>
        <b/>
        <sz val="12"/>
        <rFont val="Arial"/>
        <family val="2"/>
      </rPr>
      <t>in Fr. je versicherte Person nach Versicherungsform</t>
    </r>
  </si>
  <si>
    <t xml:space="preserve">Quelle: Formular EF 3.19 / EF 3.13 </t>
  </si>
  <si>
    <t>2) Franchisenstufen (Kinder /  Erwachsene)</t>
  </si>
  <si>
    <t>4) Berücksichtigt nur die bei dem Versicherer eingereichten Rechnungen</t>
  </si>
  <si>
    <t>4: Prämienverbilligung in der OKP</t>
  </si>
  <si>
    <t>Anzahl Bezüger, subventionierte Haushalte sowie ausgerichtete Beiträge ab 1996</t>
  </si>
  <si>
    <t>Anzahl Bezüger nach Kanton</t>
  </si>
  <si>
    <t>Anzahl Bezüger nach Geschlecht und Altersklasse</t>
  </si>
  <si>
    <t xml:space="preserve">Anzahl subventionierte Haushalte nach Haushaltstyp und Kanton </t>
  </si>
  <si>
    <t>Anzahl subventionierte Haushalte nach ausbezahltem Jahresbetrag und Kanton</t>
  </si>
  <si>
    <t>Ausbezahlter Betrag nach Kanton in Mio. Franken</t>
  </si>
  <si>
    <t xml:space="preserve">KVG-Verteilmodell: Berechnungsbasis sowie Bundes- und Kantonsbeiträge </t>
  </si>
  <si>
    <t xml:space="preserve">Prämienverbilligung OKP: effektiv ausgerichtete Beiträge nach Kanton </t>
  </si>
  <si>
    <t>KVG-Verteilmodell: Bundesbeiträge 2013 - 2015</t>
  </si>
  <si>
    <t>Versicherte mit ausstehenden Forderungen aus der OKP nach Kanton</t>
  </si>
  <si>
    <t>Zahlungen der Kantone für ausstehende Forderungen aus der OKP seit 2007</t>
  </si>
  <si>
    <t>T 4.01 Anzahl Bezüger, Bezügerquoten, subventionierte Haushalte sowie ausgerichtete Beiträge nach KVG ab 1996</t>
  </si>
  <si>
    <t>Ausbezahlte</t>
  </si>
  <si>
    <t>Anzahl</t>
  </si>
  <si>
    <t>Bezüger-</t>
  </si>
  <si>
    <t>Durchschnitt-</t>
  </si>
  <si>
    <t>Anzahl sub-</t>
  </si>
  <si>
    <t>Beiträge</t>
  </si>
  <si>
    <t>davon Anteil</t>
  </si>
  <si>
    <t>Bezüger</t>
  </si>
  <si>
    <r>
      <t xml:space="preserve">quote </t>
    </r>
    <r>
      <rPr>
        <vertAlign val="superscript"/>
        <sz val="11"/>
        <rFont val="Arial"/>
        <family val="2"/>
      </rPr>
      <t>2</t>
    </r>
  </si>
  <si>
    <t>licher Beitrag</t>
  </si>
  <si>
    <t>ventionierte</t>
  </si>
  <si>
    <r>
      <t xml:space="preserve">nach KVG </t>
    </r>
    <r>
      <rPr>
        <vertAlign val="superscript"/>
        <sz val="11"/>
        <rFont val="Arial"/>
        <family val="2"/>
      </rPr>
      <t>1</t>
    </r>
  </si>
  <si>
    <t>der Kantone</t>
  </si>
  <si>
    <t>pro Bezüger</t>
  </si>
  <si>
    <t>Haushalte</t>
  </si>
  <si>
    <t>pro Haushalt</t>
  </si>
  <si>
    <t>in Mio. Franken</t>
  </si>
  <si>
    <t>in Franken</t>
  </si>
  <si>
    <r>
      <t xml:space="preserve">2012 </t>
    </r>
    <r>
      <rPr>
        <vertAlign val="superscript"/>
        <sz val="11"/>
        <rFont val="Arial"/>
        <family val="2"/>
      </rPr>
      <t>3</t>
    </r>
  </si>
  <si>
    <t>Datenstand: 17.09.14</t>
  </si>
  <si>
    <t>Quelle:  Erhebung der Prämienverbilligung in der Krankenversicherung, BAG: Formular PV 2.1, PV 2.2 und T 11.14</t>
  </si>
  <si>
    <t>1) Effektiv im Berichtsjahr an die Haushalte/Bezüger ausbezahlte Prämienverbilligungen nach KVG. Ab 2011 ohne Zahlungen</t>
  </si>
  <si>
    <t xml:space="preserve">    der Kantone für ausstehende Forderungen aus der OKP. Zu den Zahlungsausständen vgl. T 4.10 und T 4.11.</t>
  </si>
  <si>
    <t xml:space="preserve">    Die Werte für 2004 wurden revidiert.</t>
  </si>
  <si>
    <t xml:space="preserve">2) Anzahl Bezüger in Prozent des durchschnittlichen Versichertenbestandes (2001-&gt;2008: revidierte Zahlen). </t>
  </si>
  <si>
    <t>3) Im Kanton Bern wird seit 2012 nicht mehr der vollständige Beitrag zur Krankenkassenprämie von EL-Bezügern und</t>
  </si>
  <si>
    <t xml:space="preserve">   Sozialhilfeempfängern als Prämienverbilligung betrachtet. Der Betrag erscheint damit auch nicht mehr vollständig in der Statistik der </t>
  </si>
  <si>
    <t xml:space="preserve">   Prämienverbilligung. Die Zahlen der PV des Kantons Bern sind dadurch deutlich zurückgegangen und mit den Angaben der Vorjahre </t>
  </si>
  <si>
    <t xml:space="preserve">   wie auch mit den Zahlen der anderen Kantone nicht mehr vergleichbar. Dadurch sind auch die gesamtschweizerischen Zahlen ab 2012 </t>
  </si>
  <si>
    <t xml:space="preserve">   nur noch eingeschränkt mit den Zahlen der vorangegangenen Jahre vergleichbar.</t>
  </si>
  <si>
    <t>T 4.02 Anzahl Bezüger nach Kanton</t>
  </si>
  <si>
    <r>
      <t xml:space="preserve">Bezüger </t>
    </r>
    <r>
      <rPr>
        <vertAlign val="superscript"/>
        <sz val="11"/>
        <rFont val="Arial"/>
        <family val="2"/>
      </rPr>
      <t>1</t>
    </r>
  </si>
  <si>
    <t xml:space="preserve">davon </t>
  </si>
  <si>
    <r>
      <t>quote</t>
    </r>
    <r>
      <rPr>
        <vertAlign val="superscript"/>
        <sz val="10"/>
        <rFont val="Arial"/>
        <family val="2"/>
      </rPr>
      <t xml:space="preserve"> </t>
    </r>
    <r>
      <rPr>
        <vertAlign val="superscript"/>
        <sz val="11"/>
        <rFont val="Arial"/>
        <family val="2"/>
      </rPr>
      <t>2</t>
    </r>
  </si>
  <si>
    <t>Bezüger von</t>
  </si>
  <si>
    <t>Sozialhilfe-</t>
  </si>
  <si>
    <t>Bezüger, deren</t>
  </si>
  <si>
    <t>Ergänzungs-</t>
  </si>
  <si>
    <t>bezüger</t>
  </si>
  <si>
    <t>OKP-Prämien</t>
  </si>
  <si>
    <t>vollumfänglich</t>
  </si>
  <si>
    <t>verbilligt werden</t>
  </si>
  <si>
    <r>
      <t xml:space="preserve">BE </t>
    </r>
    <r>
      <rPr>
        <vertAlign val="superscript"/>
        <sz val="11"/>
        <rFont val="Arial"/>
        <family val="2"/>
      </rPr>
      <t>3</t>
    </r>
  </si>
  <si>
    <r>
      <t xml:space="preserve">CH </t>
    </r>
    <r>
      <rPr>
        <b/>
        <vertAlign val="superscript"/>
        <sz val="11"/>
        <rFont val="Arial"/>
        <family val="2"/>
      </rPr>
      <t>3</t>
    </r>
  </si>
  <si>
    <t>Quelle: Erhebung der Prämienverbilligung in der Krankenversicherung, BAG: Formular PV 2.1 und T 11.14</t>
  </si>
  <si>
    <t>1) Anzahl Personen, an welche im Berichtsjahr Subventionen nach KVG ausgerichtet wurden. Ohne Versicherte mit</t>
  </si>
  <si>
    <t xml:space="preserve">    ausstehenden Forderungen aus der OKP. Zu den Zahlungsausständen vgl. T 4.10 und T 4.11.</t>
  </si>
  <si>
    <t>2) Total der Bezüger in Prozent des durchschnittlichen Versichertenbestandes.</t>
  </si>
  <si>
    <t>3) Siehe die Hinweise zum Kanton Bern in T 4.01.</t>
  </si>
  <si>
    <t>T 4.03 Anzahl Bezüger nach Geschlecht und Altersklasse</t>
  </si>
  <si>
    <r>
      <t xml:space="preserve">Bezügerquote </t>
    </r>
    <r>
      <rPr>
        <vertAlign val="superscript"/>
        <sz val="11"/>
        <rFont val="Arial"/>
        <family val="2"/>
      </rPr>
      <t>2</t>
    </r>
  </si>
  <si>
    <t>Im Jahr aus-</t>
  </si>
  <si>
    <t>pro Altersklasse</t>
  </si>
  <si>
    <t>bezahlter Betrag</t>
  </si>
  <si>
    <r>
      <t>in Mio. Franken</t>
    </r>
    <r>
      <rPr>
        <vertAlign val="superscript"/>
        <sz val="11"/>
        <rFont val="Arial"/>
        <family val="2"/>
      </rPr>
      <t xml:space="preserve"> 3</t>
    </r>
  </si>
  <si>
    <t xml:space="preserve">  0 – 18</t>
  </si>
  <si>
    <t>19 – 25</t>
  </si>
  <si>
    <t>91 und mehr</t>
  </si>
  <si>
    <t>Alter unbekannt</t>
  </si>
  <si>
    <r>
      <t xml:space="preserve">Total </t>
    </r>
    <r>
      <rPr>
        <b/>
        <vertAlign val="superscript"/>
        <sz val="11"/>
        <rFont val="Arial"/>
        <family val="2"/>
      </rPr>
      <t>4</t>
    </r>
  </si>
  <si>
    <t>Quelle: Erhebung der Prämienverbilligung in der Krankenversicherung, BAG: Formular PV 2.1 und T 11.15</t>
  </si>
  <si>
    <t>1) Ohne Versicherte mit ausstehenden Forderungen aus der OKP. Zu den Zahlungsausständen vgl. T 4.10 und T 4.11.</t>
  </si>
  <si>
    <t>2) Bezügerquoten (Anzahl Bezüger in Prozent des durchschnittlichen Versichertenbestandes)  0-18 -&gt; 91 und mehr unterschätzt</t>
  </si>
  <si>
    <r>
      <t xml:space="preserve">    wegen der Kategorie "Alter unbekannt".</t>
    </r>
    <r>
      <rPr>
        <i/>
        <sz val="10"/>
        <rFont val="Arial"/>
        <family val="2"/>
      </rPr>
      <t xml:space="preserve"> (kursiv)</t>
    </r>
  </si>
  <si>
    <r>
      <t>3) Angaben in einigen Kantonen unvollständig.</t>
    </r>
    <r>
      <rPr>
        <i/>
        <sz val="10"/>
        <rFont val="Arial"/>
        <family val="2"/>
      </rPr>
      <t xml:space="preserve"> (kursiv)</t>
    </r>
  </si>
  <si>
    <t>4) Siehe auch die Hinweise zum Kanton Bern in T 4.01.</t>
  </si>
  <si>
    <r>
      <t xml:space="preserve">T 4.04 Anzahl subventionierte Haushalte </t>
    </r>
    <r>
      <rPr>
        <b/>
        <vertAlign val="superscript"/>
        <sz val="12"/>
        <rFont val="Arial"/>
        <family val="2"/>
      </rPr>
      <t>1</t>
    </r>
    <r>
      <rPr>
        <b/>
        <sz val="12"/>
        <rFont val="Arial"/>
        <family val="2"/>
      </rPr>
      <t xml:space="preserve"> nach Haushaltstyp und Kanton</t>
    </r>
  </si>
  <si>
    <t xml:space="preserve">Kanton </t>
  </si>
  <si>
    <r>
      <t xml:space="preserve">  Anzahl subventionierte Haushalte</t>
    </r>
    <r>
      <rPr>
        <sz val="11"/>
        <rFont val="Arial"/>
        <family val="2"/>
      </rPr>
      <t xml:space="preserve"> mit Personen:</t>
    </r>
  </si>
  <si>
    <t xml:space="preserve"> Total</t>
  </si>
  <si>
    <t xml:space="preserve"> Haushalte</t>
  </si>
  <si>
    <t>1 Erwach-</t>
  </si>
  <si>
    <t>2 Erwach-</t>
  </si>
  <si>
    <t xml:space="preserve">sener </t>
  </si>
  <si>
    <t>sener und</t>
  </si>
  <si>
    <t xml:space="preserve">sener und </t>
  </si>
  <si>
    <t xml:space="preserve">sene ohne </t>
  </si>
  <si>
    <t>sene und</t>
  </si>
  <si>
    <t xml:space="preserve">sene und </t>
  </si>
  <si>
    <t>mit Anzahl</t>
  </si>
  <si>
    <t>alleine</t>
  </si>
  <si>
    <t>1 Kind</t>
  </si>
  <si>
    <t>2 Kinder</t>
  </si>
  <si>
    <t>3 od. mehr</t>
  </si>
  <si>
    <t>Personen</t>
  </si>
  <si>
    <r>
      <t>BE</t>
    </r>
    <r>
      <rPr>
        <vertAlign val="superscript"/>
        <sz val="11"/>
        <rFont val="Arial"/>
        <family val="2"/>
      </rPr>
      <t xml:space="preserve"> 2</t>
    </r>
  </si>
  <si>
    <r>
      <t xml:space="preserve">GL </t>
    </r>
    <r>
      <rPr>
        <vertAlign val="superscript"/>
        <sz val="11"/>
        <rFont val="Arial"/>
        <family val="2"/>
      </rPr>
      <t>3</t>
    </r>
  </si>
  <si>
    <r>
      <t xml:space="preserve">CH </t>
    </r>
    <r>
      <rPr>
        <b/>
        <vertAlign val="superscript"/>
        <sz val="11"/>
        <rFont val="Arial"/>
        <family val="2"/>
      </rPr>
      <t>2, 4</t>
    </r>
  </si>
  <si>
    <r>
      <t>Im Jahr ausbezahlter  Betrag in Mio. Franken</t>
    </r>
    <r>
      <rPr>
        <vertAlign val="superscript"/>
        <sz val="11"/>
        <rFont val="Arial"/>
        <family val="2"/>
      </rPr>
      <t xml:space="preserve"> 4 </t>
    </r>
    <r>
      <rPr>
        <sz val="11"/>
        <rFont val="Arial"/>
        <family val="2"/>
      </rPr>
      <t xml:space="preserve"> (CH)</t>
    </r>
  </si>
  <si>
    <t>Quelle: Erhebung der Prämienverbilligung in der Krankenversicherung, BAG: Formular PV 2.2</t>
  </si>
  <si>
    <t>1) Anzahl subventionierte Haushalte im Sinne der kantonalen Regelungen zur Prämienverbilligung.</t>
  </si>
  <si>
    <t>2) Siehe die Hinweise zum Kanton Bern in T 4.01.</t>
  </si>
  <si>
    <t>3) Im Kanton Glarus erfolgt die Erhebung der Haushalte ab 2013 mit einem anderen System. Die Zahlen sind daher nicht mit jenen der Vorjahre vergleichbar.</t>
  </si>
  <si>
    <r>
      <t>4) Angaben in einigen Kantonen unvollständig und damit auch für CH.</t>
    </r>
    <r>
      <rPr>
        <i/>
        <sz val="10"/>
        <rFont val="Arial"/>
        <family val="2"/>
      </rPr>
      <t xml:space="preserve"> (kursiv) </t>
    </r>
    <r>
      <rPr>
        <sz val="10"/>
        <rFont val="Arial"/>
        <family val="2"/>
      </rPr>
      <t>Ohne Zahlungen der Kantone für ausstehende Forderungen aus der OKP.</t>
    </r>
  </si>
  <si>
    <t xml:space="preserve">    Zu den Zahlungsausständen vgl. T 4.10 und T 4.11.</t>
  </si>
  <si>
    <r>
      <t xml:space="preserve">T 4.05 Anzahl subventionierte Haushalte </t>
    </r>
    <r>
      <rPr>
        <b/>
        <vertAlign val="superscript"/>
        <sz val="12"/>
        <rFont val="Arial"/>
        <family val="2"/>
      </rPr>
      <t>1</t>
    </r>
    <r>
      <rPr>
        <b/>
        <sz val="12"/>
        <rFont val="Arial"/>
        <family val="2"/>
      </rPr>
      <t xml:space="preserve">  nach ausbezahltem Jahresbetrag und Kanton</t>
    </r>
  </si>
  <si>
    <r>
      <t xml:space="preserve">        Haushalte mit ausbezahltem Jahresbetrag in Franken </t>
    </r>
    <r>
      <rPr>
        <vertAlign val="superscript"/>
        <sz val="11"/>
        <rFont val="Arial"/>
        <family val="2"/>
      </rPr>
      <t>2</t>
    </r>
  </si>
  <si>
    <t>1 - 600</t>
  </si>
  <si>
    <t>601 -</t>
  </si>
  <si>
    <t>1'201 -</t>
  </si>
  <si>
    <t>2'401 -</t>
  </si>
  <si>
    <t>3'601 -</t>
  </si>
  <si>
    <t>4'801 -</t>
  </si>
  <si>
    <t>6'001 -</t>
  </si>
  <si>
    <t>Jahresbetrag</t>
  </si>
  <si>
    <r>
      <t xml:space="preserve">GL </t>
    </r>
    <r>
      <rPr>
        <vertAlign val="superscript"/>
        <sz val="11"/>
        <rFont val="Arial"/>
        <family val="2"/>
      </rPr>
      <t>4</t>
    </r>
  </si>
  <si>
    <r>
      <t>CH</t>
    </r>
    <r>
      <rPr>
        <b/>
        <vertAlign val="superscript"/>
        <sz val="11"/>
        <rFont val="Arial"/>
        <family val="2"/>
      </rPr>
      <t xml:space="preserve"> 3</t>
    </r>
  </si>
  <si>
    <t>2) Ohne Zahlungen der Kantone für ausstehende Forderungen aus der OKP. Zu den Zahlungsausständen vgl. T 4.10 und T 4.11.</t>
  </si>
  <si>
    <t>4) Im Kanton Glarus erfolgt die Erhebung der Haushalte ab 2013 mit einem anderen System. Die Zahlen sind daher nicht mit jenen der Vorjahre vergleichbar.</t>
  </si>
  <si>
    <r>
      <t xml:space="preserve">T 4.06 Ausbezahlter Betrag nach Kanton in Mio. Franken </t>
    </r>
    <r>
      <rPr>
        <b/>
        <vertAlign val="superscript"/>
        <sz val="12"/>
        <rFont val="Arial"/>
        <family val="2"/>
      </rPr>
      <t>1</t>
    </r>
  </si>
  <si>
    <t>(26 Jahre</t>
  </si>
  <si>
    <t xml:space="preserve">Alter </t>
  </si>
  <si>
    <t>und älter)</t>
  </si>
  <si>
    <r>
      <t xml:space="preserve">BE </t>
    </r>
    <r>
      <rPr>
        <vertAlign val="superscript"/>
        <sz val="11"/>
        <rFont val="Arial"/>
        <family val="2"/>
      </rPr>
      <t>2</t>
    </r>
  </si>
  <si>
    <r>
      <t xml:space="preserve">CH </t>
    </r>
    <r>
      <rPr>
        <b/>
        <vertAlign val="superscript"/>
        <sz val="11"/>
        <rFont val="Arial"/>
        <family val="2"/>
      </rPr>
      <t>2,</t>
    </r>
    <r>
      <rPr>
        <b/>
        <sz val="11"/>
        <rFont val="Arial"/>
        <family val="2"/>
      </rPr>
      <t xml:space="preserve"> </t>
    </r>
    <r>
      <rPr>
        <b/>
        <vertAlign val="superscript"/>
        <sz val="11"/>
        <rFont val="Arial"/>
        <family val="2"/>
      </rPr>
      <t>3</t>
    </r>
  </si>
  <si>
    <t>Quelle: Erhebung der Prämienverbilligung in der Krankenversicherung, BAG: Formular PV 2.1</t>
  </si>
  <si>
    <t>1) Ohne Zahlungen der Kantone für ausstehende Forderungen aus der OKP. Zu den Zahlungsausständen vgl. T 4.10 und T 4.11.</t>
  </si>
  <si>
    <r>
      <t xml:space="preserve">3) Angaben in einigen Kantonen unvollständig und damit auch für CH. </t>
    </r>
    <r>
      <rPr>
        <i/>
        <sz val="10"/>
        <rFont val="Arial"/>
        <family val="2"/>
      </rPr>
      <t>(kursiv)</t>
    </r>
  </si>
  <si>
    <t xml:space="preserve">T 4.07 KVG-Verteilmodell: Berechnungsbasis sowie Bundes- und Kantonsbeiträge </t>
  </si>
  <si>
    <t>Mittlere</t>
  </si>
  <si>
    <t>Grenz-</t>
  </si>
  <si>
    <t>Mittlere Wohn-</t>
  </si>
  <si>
    <r>
      <t xml:space="preserve">      KVG-Verteilmodell 2013 </t>
    </r>
    <r>
      <rPr>
        <vertAlign val="superscript"/>
        <sz val="11"/>
        <rFont val="Arial"/>
        <family val="2"/>
      </rPr>
      <t>2</t>
    </r>
  </si>
  <si>
    <t>Wohnbe-</t>
  </si>
  <si>
    <r>
      <t>gänger</t>
    </r>
    <r>
      <rPr>
        <sz val="10"/>
        <rFont val="Arial"/>
        <family val="2"/>
      </rPr>
      <t xml:space="preserve"> </t>
    </r>
    <r>
      <rPr>
        <vertAlign val="superscript"/>
        <sz val="10"/>
        <rFont val="Arial"/>
        <family val="2"/>
      </rPr>
      <t>1</t>
    </r>
  </si>
  <si>
    <t>bevölkerung</t>
  </si>
  <si>
    <t>Bundesbeiträge</t>
  </si>
  <si>
    <t>Kantonsbeiträge</t>
  </si>
  <si>
    <r>
      <t xml:space="preserve">völkerung </t>
    </r>
    <r>
      <rPr>
        <vertAlign val="superscript"/>
        <sz val="10"/>
        <rFont val="Arial"/>
        <family val="2"/>
      </rPr>
      <t>1</t>
    </r>
  </si>
  <si>
    <t>und Grenz-</t>
  </si>
  <si>
    <t>gänger</t>
  </si>
  <si>
    <r>
      <t>in Franken</t>
    </r>
    <r>
      <rPr>
        <b/>
        <sz val="10"/>
        <rFont val="Arial"/>
        <family val="2"/>
      </rPr>
      <t xml:space="preserve"> </t>
    </r>
    <r>
      <rPr>
        <b/>
        <vertAlign val="superscript"/>
        <sz val="10"/>
        <rFont val="Arial"/>
        <family val="2"/>
      </rPr>
      <t>3</t>
    </r>
  </si>
  <si>
    <r>
      <t xml:space="preserve">BE </t>
    </r>
    <r>
      <rPr>
        <vertAlign val="superscript"/>
        <sz val="11"/>
        <rFont val="Arial"/>
        <family val="2"/>
      </rPr>
      <t>4</t>
    </r>
  </si>
  <si>
    <r>
      <t xml:space="preserve">CH </t>
    </r>
    <r>
      <rPr>
        <b/>
        <vertAlign val="superscript"/>
        <sz val="11"/>
        <rFont val="Arial"/>
        <family val="2"/>
      </rPr>
      <t>4</t>
    </r>
  </si>
  <si>
    <t>Quelle: Bundesbeiträge: KVG-Verteilmodell für das Jahr 2013</t>
  </si>
  <si>
    <r>
      <t xml:space="preserve">       </t>
    </r>
    <r>
      <rPr>
        <sz val="12"/>
        <rFont val="Arial"/>
        <family val="2"/>
      </rPr>
      <t xml:space="preserve">    </t>
    </r>
    <r>
      <rPr>
        <sz val="10"/>
        <rFont val="Arial"/>
        <family val="2"/>
      </rPr>
      <t>Kantonsbeiträge: Erhebung der Prämienverbilligung in der Krankenversicherung, BAG: Formular PV 1</t>
    </r>
  </si>
  <si>
    <t xml:space="preserve">1) Mittlere Wohnbevölkerung 2011: Durchschnittliche Wohnbevölkerung in einem bestimmten Gebiet nach wirtschaftlichem Wohnsitz; </t>
  </si>
  <si>
    <t xml:space="preserve">    Quelle: BFS Sektion Bevölkerungsentwicklung und versicherte Grenzgänger 2011 und deren Familienangehörige; Quelle: EF S 3, 2011.</t>
  </si>
  <si>
    <t>3) Ab 1.1.2008 wird die Prämienverbilligung nach der Neugestaltung des Finanzausgleichs und der Aufgabenteilung</t>
  </si>
  <si>
    <r>
      <t xml:space="preserve">   </t>
    </r>
    <r>
      <rPr>
        <sz val="8"/>
        <rFont val="Arial"/>
        <family val="2"/>
      </rPr>
      <t xml:space="preserve">  </t>
    </r>
    <r>
      <rPr>
        <sz val="10"/>
        <rFont val="Arial"/>
        <family val="2"/>
      </rPr>
      <t>zwischen Bund und Kantonen (NFA) berechnet. Vgl. Erläuterungen im Anhang H.</t>
    </r>
  </si>
  <si>
    <t>4) Siehe die Hinweise zum Kanton Bern in T 4.01.</t>
  </si>
  <si>
    <r>
      <t xml:space="preserve">T 4.08 Prämienverbilligung OKP: effektiv ausgerichtete Beiträge nach Kanton </t>
    </r>
    <r>
      <rPr>
        <b/>
        <vertAlign val="superscript"/>
        <sz val="12"/>
        <rFont val="Arial"/>
        <family val="2"/>
      </rPr>
      <t>1</t>
    </r>
  </si>
  <si>
    <t>nach KVG</t>
  </si>
  <si>
    <t>für 2013</t>
  </si>
  <si>
    <t>für 2012 und früher</t>
  </si>
  <si>
    <r>
      <t xml:space="preserve">nach KVG </t>
    </r>
    <r>
      <rPr>
        <b/>
        <vertAlign val="superscript"/>
        <sz val="10"/>
        <rFont val="Arial"/>
        <family val="2"/>
      </rPr>
      <t>2</t>
    </r>
  </si>
  <si>
    <t>der Durch-</t>
  </si>
  <si>
    <r>
      <t xml:space="preserve">schnittsprämie </t>
    </r>
    <r>
      <rPr>
        <vertAlign val="superscript"/>
        <sz val="11"/>
        <rFont val="Arial"/>
        <family val="2"/>
      </rPr>
      <t>4</t>
    </r>
  </si>
  <si>
    <t>Datenstand: 22.09.14</t>
  </si>
  <si>
    <t>Quelle: Erhebung der Prämienverbilligung in der Krankenversicherung, BAG: Formular PV1, 2 und T 3.08</t>
  </si>
  <si>
    <t>2) Effektiv im Berichtsjahr an die Haushalte/Bezüger ausbezahlte Prämienverbilligungen nach KVG. Bund und Kantone.</t>
  </si>
  <si>
    <t xml:space="preserve">    Ab 1.1.2008 wird die Prämienverbilligung nach der Neugestaltung des Finanzausgleichs und der Aufgabenteilung</t>
  </si>
  <si>
    <t xml:space="preserve">    zwischen Bund und Kantonen (NFA) berechnet. Vgl. Erläuterungen im Anhang H.</t>
  </si>
  <si>
    <t>4) Durchschnittsprämie = Prämiensoll gemäss T 3.08.</t>
  </si>
  <si>
    <r>
      <t>T 4.10 Versicherte mit ausstehenden Forderungen aus der OKP</t>
    </r>
    <r>
      <rPr>
        <b/>
        <vertAlign val="superscript"/>
        <sz val="12"/>
        <rFont val="Arial"/>
        <family val="2"/>
      </rPr>
      <t xml:space="preserve"> </t>
    </r>
    <r>
      <rPr>
        <b/>
        <sz val="12"/>
        <rFont val="Arial"/>
        <family val="2"/>
      </rPr>
      <t>nach Kanton</t>
    </r>
  </si>
  <si>
    <r>
      <t xml:space="preserve">Versicherte mit Zahlungsausständen </t>
    </r>
    <r>
      <rPr>
        <vertAlign val="superscript"/>
        <sz val="11"/>
        <rFont val="Arial"/>
        <family val="2"/>
      </rPr>
      <t>1</t>
    </r>
  </si>
  <si>
    <r>
      <t xml:space="preserve">Betrag </t>
    </r>
    <r>
      <rPr>
        <b/>
        <vertAlign val="superscript"/>
        <sz val="11"/>
        <rFont val="Arial"/>
        <family val="2"/>
      </rPr>
      <t>2</t>
    </r>
  </si>
  <si>
    <t>Quelle: Erhebung der Prämienverbilligung in der Krankenversicherung, BAG: Formular PV 2.1.</t>
  </si>
  <si>
    <t>1) Versicherte mit Zahlungsausständen, für die der Kanton 2013 die Kosten bezahlt hat.</t>
  </si>
  <si>
    <t>2) Prämien und Kostenbeteiligungen sowie Verzugszinse und Betreibungskosten, gemäss Art. 64a KVG bzw. Art. 105k KVV.</t>
  </si>
  <si>
    <t xml:space="preserve">    In T 11.11 sind die Anzahl der Versicherten, die im betrachteten Jahr von den Versicherern betrieben wurden und das</t>
  </si>
  <si>
    <t xml:space="preserve">    den Betreibungen unterliegende Prämienvolumen ausgewiesen. Die Zahlen sind daher nicht miteinander vergleichbar.</t>
  </si>
  <si>
    <t xml:space="preserve">3) Das Total der Personen mit Zahlungsausständen entspricht nicht der Summe Männer + Frauen, da die Verteilung nach </t>
  </si>
  <si>
    <t xml:space="preserve">    Geschlecht nicht bei allen Kantonen verfügbar ist.</t>
  </si>
  <si>
    <r>
      <t xml:space="preserve">    Angaben in einigen Kantonen unvollständig und damit auch für CH. </t>
    </r>
    <r>
      <rPr>
        <i/>
        <sz val="10"/>
        <rFont val="Arial"/>
        <family val="2"/>
      </rPr>
      <t>(kursiv)</t>
    </r>
  </si>
  <si>
    <t>T 4.11 Zahlungen der Kantone für ausstehende Forderungen aus der OKP seit 2007</t>
  </si>
  <si>
    <r>
      <t xml:space="preserve">             Kostenvolumen in Mio. Franken </t>
    </r>
    <r>
      <rPr>
        <vertAlign val="superscript"/>
        <sz val="11"/>
        <rFont val="Arial"/>
        <family val="2"/>
      </rPr>
      <t>1</t>
    </r>
  </si>
  <si>
    <r>
      <t xml:space="preserve">CH </t>
    </r>
    <r>
      <rPr>
        <b/>
        <vertAlign val="superscript"/>
        <sz val="11"/>
        <rFont val="Arial"/>
        <family val="2"/>
      </rPr>
      <t>2</t>
    </r>
  </si>
  <si>
    <t>1) Prämien und Kostenbeteiligungen sowie Verzugszinse und Betreibungskosten, gemäss Art. 64a KVG bzw Art. 105k KVV.</t>
  </si>
  <si>
    <t xml:space="preserve">    In T 11.11 sind die Anzahl der Versicherten, die im betrachteten Jahr von den Versicherern betrieben wurden und </t>
  </si>
  <si>
    <t xml:space="preserve">    das den Betreibungen unterliegende Prämienvolumen ausgewiesen. Die Zahlen sind daher nicht miteinander vergleichbar.</t>
  </si>
  <si>
    <r>
      <t xml:space="preserve">2) Angaben in einigen Kantonen unvollständig und damit auch für CH. </t>
    </r>
    <r>
      <rPr>
        <i/>
        <sz val="10"/>
        <rFont val="Arial"/>
        <family val="2"/>
      </rPr>
      <t>(kursiv)</t>
    </r>
  </si>
  <si>
    <t>5.10.14: 2.03,2.05,2.08,2.13,2.23-&gt;2.26,4.01-&gt;4.08, 4.10,4.11,J</t>
  </si>
  <si>
    <t>10.10.14: T12, 12.01 -&gt; 12.07</t>
  </si>
  <si>
    <r>
      <t>T 12.07  Verteilung der Standardprämien pro Kanton</t>
    </r>
    <r>
      <rPr>
        <b/>
        <vertAlign val="superscript"/>
        <sz val="12"/>
        <rFont val="Arial"/>
        <family val="2"/>
      </rPr>
      <t xml:space="preserve"> 1</t>
    </r>
  </si>
  <si>
    <t>der Versicherten sind unterhalb dieser Prämie</t>
  </si>
  <si>
    <t>der Versicherten sind unterhalb und oberhalb dieser Prämie (Median)</t>
  </si>
  <si>
    <t>der Versicherten sind oberhalb dieser Prämie</t>
  </si>
  <si>
    <t>1) Vgl. Fussnote 1) von Tabelle 12.01.</t>
  </si>
  <si>
    <t>für Kinder (0 - 18 Jahre) in Franken für 2015</t>
  </si>
  <si>
    <t>Datenstand: 25.9.14</t>
  </si>
  <si>
    <t>Quelle: Genehmigungsverfahren für Krankenversicherungsprämien, BAG, via ISAK (FIN)</t>
  </si>
  <si>
    <t>(ordentliche Franchise inkl. Unfalldeckung) dar, basierend auf den Beständen des Jahres 2013.</t>
  </si>
  <si>
    <t>Es handelt sich folglich um Schätzungen auf der Basis der aktuellsten verfügbaren Versichertenbestände.</t>
  </si>
  <si>
    <t xml:space="preserve">In den Kantonen mit mehreren Prämienregionen ist die Streuung der Prämien breiter </t>
  </si>
  <si>
    <t>als in den Kantonen mit nur einer Prämienregion.</t>
  </si>
  <si>
    <r>
      <t xml:space="preserve">T 12.06  Verteilung der Standardprämien pro Kanton </t>
    </r>
    <r>
      <rPr>
        <b/>
        <vertAlign val="superscript"/>
        <sz val="12"/>
        <rFont val="Arial"/>
        <family val="2"/>
      </rPr>
      <t>1</t>
    </r>
  </si>
  <si>
    <t>für junge Erwachsene (19 - 25 Jahre) in Franken für 2015</t>
  </si>
  <si>
    <r>
      <t xml:space="preserve">T 12.05  Verteilung der Standardprämien pro Kanton </t>
    </r>
    <r>
      <rPr>
        <b/>
        <vertAlign val="superscript"/>
        <sz val="12"/>
        <rFont val="Arial"/>
        <family val="2"/>
      </rPr>
      <t>1</t>
    </r>
  </si>
  <si>
    <t>für Erwachsene (26 Jahre und mehr) in Franken für 2015</t>
  </si>
  <si>
    <r>
      <t xml:space="preserve">T 12.04  Prämientarif: Standardprämien </t>
    </r>
    <r>
      <rPr>
        <b/>
        <vertAlign val="superscript"/>
        <sz val="12"/>
        <rFont val="Arial"/>
        <family val="2"/>
      </rPr>
      <t>1</t>
    </r>
    <r>
      <rPr>
        <b/>
        <sz val="12"/>
        <rFont val="Arial"/>
        <family val="2"/>
      </rPr>
      <t xml:space="preserve">  pro Prämienregion </t>
    </r>
    <r>
      <rPr>
        <b/>
        <vertAlign val="superscript"/>
        <sz val="12"/>
        <rFont val="Arial"/>
        <family val="2"/>
      </rPr>
      <t xml:space="preserve">2 </t>
    </r>
    <r>
      <rPr>
        <b/>
        <sz val="12"/>
        <rFont val="Arial"/>
        <family val="2"/>
      </rPr>
      <t>pro Kanton</t>
    </r>
  </si>
  <si>
    <t>R1</t>
  </si>
  <si>
    <t>R2</t>
  </si>
  <si>
    <t>R3</t>
  </si>
  <si>
    <t>RU</t>
  </si>
  <si>
    <t>Jahresdurch-</t>
  </si>
  <si>
    <r>
      <t xml:space="preserve">Kinder </t>
    </r>
    <r>
      <rPr>
        <b/>
        <vertAlign val="superscript"/>
        <sz val="11"/>
        <rFont val="Arial"/>
        <family val="2"/>
      </rPr>
      <t>3</t>
    </r>
  </si>
  <si>
    <t>schnittliche</t>
  </si>
  <si>
    <t>2) Die Krankenkassen dürfen innerhalb eines Kantons bis zu drei unterschiedliche Regionaltarife anwenden (R1, R2, R3).</t>
  </si>
  <si>
    <t>Einige Kantone haben nur eine Region: die Krankenkassen wenden eine Einheitsprämie an (RU).</t>
  </si>
  <si>
    <t>3) Prämien publiziert im OKP Prämienwegweiser 2015 vom BAG.</t>
  </si>
  <si>
    <t>1996 - 2015</t>
  </si>
  <si>
    <r>
      <t xml:space="preserve">T 12.03  Prämientarif: Standardprämien </t>
    </r>
    <r>
      <rPr>
        <b/>
        <vertAlign val="superscript"/>
        <sz val="12"/>
        <rFont val="Arial"/>
        <family val="2"/>
      </rPr>
      <t>1</t>
    </r>
    <r>
      <rPr>
        <b/>
        <sz val="12"/>
        <rFont val="Arial"/>
        <family val="2"/>
      </rPr>
      <t xml:space="preserve">  pro Prämienregion </t>
    </r>
    <r>
      <rPr>
        <b/>
        <vertAlign val="superscript"/>
        <sz val="12"/>
        <rFont val="Arial"/>
        <family val="2"/>
      </rPr>
      <t xml:space="preserve">2 </t>
    </r>
    <r>
      <rPr>
        <b/>
        <sz val="12"/>
        <rFont val="Arial"/>
        <family val="2"/>
      </rPr>
      <t>pro Kanton</t>
    </r>
  </si>
  <si>
    <t xml:space="preserve">Alle </t>
  </si>
  <si>
    <t>junge</t>
  </si>
  <si>
    <r>
      <t xml:space="preserve">Erwachsene </t>
    </r>
    <r>
      <rPr>
        <b/>
        <vertAlign val="superscript"/>
        <sz val="11"/>
        <rFont val="Arial"/>
        <family val="2"/>
      </rPr>
      <t>3</t>
    </r>
  </si>
  <si>
    <r>
      <t xml:space="preserve">T 12.02  Prämientarif: Standardprämien </t>
    </r>
    <r>
      <rPr>
        <b/>
        <vertAlign val="superscript"/>
        <sz val="12"/>
        <rFont val="Arial"/>
        <family val="2"/>
      </rPr>
      <t>1</t>
    </r>
    <r>
      <rPr>
        <b/>
        <sz val="12"/>
        <rFont val="Arial"/>
        <family val="2"/>
      </rPr>
      <t xml:space="preserve">  pro Prämienregion </t>
    </r>
    <r>
      <rPr>
        <b/>
        <vertAlign val="superscript"/>
        <sz val="12"/>
        <rFont val="Arial"/>
        <family val="2"/>
      </rPr>
      <t xml:space="preserve">2 </t>
    </r>
    <r>
      <rPr>
        <b/>
        <sz val="12"/>
        <rFont val="Arial"/>
        <family val="2"/>
      </rPr>
      <t>pro Kanton</t>
    </r>
  </si>
  <si>
    <r>
      <t xml:space="preserve">T 12.01 Prämientarif: Standardprämien </t>
    </r>
    <r>
      <rPr>
        <b/>
        <vertAlign val="superscript"/>
        <sz val="12"/>
        <rFont val="Arial"/>
        <family val="2"/>
      </rPr>
      <t>1</t>
    </r>
    <r>
      <rPr>
        <b/>
        <sz val="12"/>
        <rFont val="Arial"/>
        <family val="2"/>
      </rPr>
      <t xml:space="preserve">  OKP in Franken ab 1996: CH</t>
    </r>
  </si>
  <si>
    <r>
      <t xml:space="preserve">(26 J. und älter) </t>
    </r>
    <r>
      <rPr>
        <vertAlign val="superscript"/>
        <sz val="11"/>
        <rFont val="Arial"/>
        <family val="2"/>
      </rPr>
      <t>2</t>
    </r>
  </si>
  <si>
    <r>
      <t xml:space="preserve">(0-18 Jahre) </t>
    </r>
    <r>
      <rPr>
        <vertAlign val="superscript"/>
        <sz val="11"/>
        <rFont val="Arial"/>
        <family val="2"/>
      </rPr>
      <t>4</t>
    </r>
  </si>
  <si>
    <r>
      <t xml:space="preserve">(19-25 Jahre) </t>
    </r>
    <r>
      <rPr>
        <vertAlign val="superscript"/>
        <sz val="11"/>
        <rFont val="Arial"/>
        <family val="2"/>
      </rPr>
      <t>3</t>
    </r>
  </si>
  <si>
    <t>Quelle: T 12.02, 12.03, 12.04</t>
  </si>
  <si>
    <r>
      <t>1) Prämien publiziert in den OKP Prämienwegweisern 1996-&gt;2015 vom BAG (</t>
    </r>
    <r>
      <rPr>
        <i/>
        <sz val="10"/>
        <rFont val="Arial"/>
        <family val="2"/>
      </rPr>
      <t>Prämienübersicht</t>
    </r>
    <r>
      <rPr>
        <sz val="10"/>
        <rFont val="Arial"/>
        <family val="2"/>
      </rPr>
      <t>).</t>
    </r>
  </si>
  <si>
    <r>
      <t xml:space="preserve">Ausgewiesen wird die </t>
    </r>
    <r>
      <rPr>
        <b/>
        <sz val="10"/>
        <rFont val="Arial"/>
        <family val="2"/>
      </rPr>
      <t>geschätzte</t>
    </r>
    <r>
      <rPr>
        <sz val="10"/>
        <rFont val="Arial"/>
        <family val="2"/>
      </rPr>
      <t xml:space="preserve"> monatliche Durchschnittsprämie </t>
    </r>
    <r>
      <rPr>
        <b/>
        <sz val="10"/>
        <rFont val="Arial"/>
        <family val="2"/>
      </rPr>
      <t>OKP</t>
    </r>
    <r>
      <rPr>
        <sz val="10"/>
        <rFont val="Arial"/>
        <family val="2"/>
      </rPr>
      <t xml:space="preserve"> in Franken; die Berechnungen beruhen auf den Prämientarifen</t>
    </r>
  </si>
  <si>
    <r>
      <rPr>
        <b/>
        <sz val="10"/>
        <rFont val="Arial"/>
        <family val="2"/>
      </rPr>
      <t>inklusive Unfalldeckung der ordentlichen Franchise</t>
    </r>
    <r>
      <rPr>
        <sz val="10"/>
        <rFont val="Arial"/>
        <family val="2"/>
      </rPr>
      <t xml:space="preserve"> und auf den Versichertenbeständen nach Kantonen, nach Versicherer </t>
    </r>
  </si>
  <si>
    <t xml:space="preserve">und nach Prämienregionen, gegebenenfalls mit provisorisch genehmigten Prämien, ohne Berücksichtigung einer allfälligen </t>
  </si>
  <si>
    <t xml:space="preserve">unterjährigen Prämienerhöhung eines Versicherers. Die Tarife der Versicherungsmodelle mit wählbarer Franchise, </t>
  </si>
  <si>
    <t xml:space="preserve">Bonus oder eingeschränkter Wahl des Leistungserbringers wurden hier nicht berücksichtigt. </t>
  </si>
  <si>
    <t>2) Die Werte für 1996 wurden revidiert. Diese Werte beziehen sich auf das KVG-Einführungsjahr und sind infolge teilweise</t>
  </si>
  <si>
    <t>unvollständiger Daten mit Zurückhaltung zu interpretieren.</t>
  </si>
  <si>
    <t>3) Die Werte für 1996 wurden revidiert. Sie wurden mittels der Veränderungen 1996/97 der Durchschnittsprämien der Erwachsenen geschätzt.</t>
  </si>
  <si>
    <t>Bis zum Jahr 2000 gab es nur reduzierte Prämien für junge Erwachsene, welche noch in Ausbildung waren. Mit dem Weglassen</t>
  </si>
  <si>
    <t>der Bedingung "in Ausbildung" in 2001 kamen deutlich mehr Personen, welche vorher eine Erwachsenenprämie bezahlen mussten,</t>
  </si>
  <si>
    <t>in den Genuss einer reduzierten Prämie. Als Folge hiervon musste die reduzierte Prämie relativ stark auf 2001 hin erhöht werden.</t>
  </si>
  <si>
    <t>4) Die Werte für 1996 wurden revidiert. Sie wurden mittels der Veränderungen 1996/97 der Durchschnittsprämien der Erwachsenen geschätzt.</t>
  </si>
  <si>
    <t>–</t>
  </si>
  <si>
    <t>12: Prämientarif in der OKP</t>
  </si>
  <si>
    <t>Standardprämien ab 1996: CH</t>
  </si>
  <si>
    <t>Standardprämien pro Kanton für Erwachsene pro Prämienregion 2015</t>
  </si>
  <si>
    <t>Standardprämien pro Kanton für junge Erwachsene pro Prämienregion 2015</t>
  </si>
  <si>
    <t>Standardprämien pro Kanton für Kinder pro Prämienregion 2015</t>
  </si>
  <si>
    <t>Verteilung der Standardprämien pro Kanton für Erwachsene 2015</t>
  </si>
  <si>
    <t>Verteilung der Standardprämien pro Kanton für junge Erwachsene 2015</t>
  </si>
  <si>
    <t>Verteilung der Standardprämien pro Kanton für Kinder 2015</t>
  </si>
  <si>
    <t>Nicht versicherungstechnisches Ergebnis</t>
  </si>
  <si>
    <t>Durchschnittlicher Versichertenbestand = Mittelwert aller Versicherungsbestände am Ende des Monats.</t>
  </si>
  <si>
    <t>1) Durchschnittlicher Versichertenbestand = Mittelwert aller Versicherungsbestände am Ende des Monats.</t>
  </si>
  <si>
    <t>Neue Berechnungsmethode mit Quantifizierung der versicherungstechnischen Risiken, der Markt- und der Kreditrisiken gemäss Art. 78 a,b,c KVV</t>
  </si>
  <si>
    <t>14.10.14: 2.02, 2.06, 2.09, 2.11, 2.14, 2.15, 2.21, 2.22</t>
  </si>
  <si>
    <r>
      <rPr>
        <sz val="11"/>
        <rFont val="Arial"/>
        <family val="2"/>
      </rPr>
      <t xml:space="preserve">Jahr </t>
    </r>
    <r>
      <rPr>
        <vertAlign val="superscript"/>
        <sz val="11"/>
        <rFont val="Arial"/>
        <family val="2"/>
      </rPr>
      <t>2</t>
    </r>
  </si>
  <si>
    <r>
      <t xml:space="preserve">Quelle: 2009 -&gt; : T 2.23   </t>
    </r>
    <r>
      <rPr>
        <i/>
        <sz val="10"/>
        <rFont val="Arial"/>
        <family val="2"/>
      </rPr>
      <t>( -&gt; 2008 : T 2.01 / T 11.01 und T 11.05 )</t>
    </r>
  </si>
  <si>
    <r>
      <t xml:space="preserve">Zusätzliche Angaben: nach Altersgruppe </t>
    </r>
    <r>
      <rPr>
        <b/>
        <vertAlign val="superscript"/>
        <sz val="12"/>
        <rFont val="Arial"/>
        <family val="2"/>
      </rPr>
      <t>3</t>
    </r>
  </si>
  <si>
    <r>
      <t xml:space="preserve">Quelle: 2009 -&gt; : T 2.13 (vollständige Daten)  </t>
    </r>
    <r>
      <rPr>
        <i/>
        <sz val="10"/>
        <rFont val="Arial"/>
        <family val="2"/>
      </rPr>
      <t xml:space="preserve"> ( 1997 -&gt; 2008: DATENPOOL santésuisse [Auswertung BAG, revidierte Daten] )</t>
    </r>
  </si>
  <si>
    <t>1) Berücksichtigt nur die beim Versicherer eingereichten Rechnungen.</t>
  </si>
  <si>
    <t>2) 1996-&gt;2008: Schätzung des mittleren Versichertenbestandes (ausgenommen Spalte "Alle Versicherte") aufgrund der Aufteilung der Versicherten per 31.12 in T 11.05</t>
  </si>
  <si>
    <t>3) Zusätzliche Angaben nach Altersgruppe pro Kanton: T 2.13 und www.bag.admin.ch/pyramiden</t>
  </si>
  <si>
    <r>
      <t xml:space="preserve">T 2.06 Bruttoleistungen </t>
    </r>
    <r>
      <rPr>
        <b/>
        <vertAlign val="superscript"/>
        <sz val="12"/>
        <rFont val="Arial"/>
        <family val="2"/>
      </rPr>
      <t xml:space="preserve">1 </t>
    </r>
    <r>
      <rPr>
        <b/>
        <sz val="12"/>
        <rFont val="Arial"/>
        <family val="2"/>
      </rPr>
      <t>nach Altersklasse und Geschlecht</t>
    </r>
  </si>
  <si>
    <r>
      <t xml:space="preserve">Quelle: Formular EF 3.20 und 3.11  </t>
    </r>
    <r>
      <rPr>
        <i/>
        <sz val="10"/>
        <rFont val="Arial"/>
        <family val="2"/>
      </rPr>
      <t>(-&gt;2008: Statistik des Risikoausgleiches - Gemeinsame Einrichtung KVG)</t>
    </r>
  </si>
  <si>
    <r>
      <t xml:space="preserve">T 2.09 Nettoleistungen </t>
    </r>
    <r>
      <rPr>
        <b/>
        <vertAlign val="superscript"/>
        <sz val="12"/>
        <rFont val="Arial"/>
        <family val="2"/>
      </rPr>
      <t xml:space="preserve">1 </t>
    </r>
    <r>
      <rPr>
        <b/>
        <sz val="12"/>
        <rFont val="Arial"/>
        <family val="2"/>
      </rPr>
      <t>nach Altersklasse und Geschlecht</t>
    </r>
  </si>
  <si>
    <r>
      <t xml:space="preserve">Quelle: T 2.06 - T 2.11  </t>
    </r>
    <r>
      <rPr>
        <i/>
        <sz val="10"/>
        <rFont val="Arial"/>
        <family val="2"/>
      </rPr>
      <t>(-&gt;2008: Statistik des Risikoausgleiches - Gemeinsame Einrichtung KVG)</t>
    </r>
  </si>
  <si>
    <r>
      <t xml:space="preserve">T 2.11 Kostenbeteiligung </t>
    </r>
    <r>
      <rPr>
        <b/>
        <vertAlign val="superscript"/>
        <sz val="12"/>
        <rFont val="Arial"/>
        <family val="2"/>
      </rPr>
      <t xml:space="preserve">1 </t>
    </r>
    <r>
      <rPr>
        <b/>
        <sz val="12"/>
        <rFont val="Arial"/>
        <family val="2"/>
      </rPr>
      <t>nach Altersklasse und Geschlecht</t>
    </r>
  </si>
  <si>
    <r>
      <t xml:space="preserve">Quelle: Formular EF 3.17 und 3.11  </t>
    </r>
    <r>
      <rPr>
        <i/>
        <sz val="10"/>
        <rFont val="Arial"/>
        <family val="2"/>
      </rPr>
      <t>( -&gt;2008: Statistik des Risikoausgleiches - Gemeinsame Einrichtung KVG )</t>
    </r>
  </si>
  <si>
    <t>Quelle: T 2.22</t>
  </si>
  <si>
    <r>
      <t xml:space="preserve">Quelle: 2009 -&gt; : T 2.24  </t>
    </r>
    <r>
      <rPr>
        <i/>
        <sz val="10"/>
        <rFont val="Arial"/>
        <family val="2"/>
      </rPr>
      <t>( -&gt; 2008 : T 2.23 )</t>
    </r>
  </si>
  <si>
    <r>
      <t xml:space="preserve">Quelle: 2009 -&gt; : T 2.05 (vollständige Daten)  </t>
    </r>
    <r>
      <rPr>
        <i/>
        <sz val="10"/>
        <rFont val="Arial"/>
        <family val="2"/>
      </rPr>
      <t xml:space="preserve"> (1997 -&gt; 2008: DATENPOOL santésuisse [Auswertung BAG, revidierte Daten] )</t>
    </r>
  </si>
  <si>
    <t>3) Zusätzliche Angaben nach Altersgruppe pro Kanton: T 2.05 und www.bag.admin.ch/pyramiden</t>
  </si>
  <si>
    <r>
      <t xml:space="preserve">Quelle: 2009 -&gt; : T 2.08   </t>
    </r>
    <r>
      <rPr>
        <i/>
        <sz val="10"/>
        <rFont val="Arial"/>
        <family val="2"/>
      </rPr>
      <t>( 1996 -&gt; 2008: T 2.20 / T 11.01 und T 11.05 )</t>
    </r>
  </si>
  <si>
    <r>
      <t xml:space="preserve">Quelle: 2009 -&gt; : T 2.12 (vollständige Daten)  </t>
    </r>
    <r>
      <rPr>
        <i/>
        <sz val="10"/>
        <rFont val="Arial"/>
        <family val="2"/>
      </rPr>
      <t>( 1997 -&gt; 2008: DATENPOOL santésuisse [Auswertung BAG, revidierte Daten] )</t>
    </r>
  </si>
  <si>
    <t>2) 1996 -&gt; 2008: Schätzung des mittleren Versichertenbestandes (ausgenommen Spalte "Alle Versicherte") aufgrund der Aufteilung der Versicherten per 31.12 in T 11.05</t>
  </si>
  <si>
    <t>3) Zusätzliche Angaben nach Altersgruppe pro Kanton: T 2.12 und www.bag.admin.ch/pyramiden</t>
  </si>
  <si>
    <t>Quelle: Formular EF 3.5</t>
  </si>
  <si>
    <t>junge Erwachsene</t>
  </si>
  <si>
    <t>2) Davon = Teil des Totals.</t>
  </si>
  <si>
    <r>
      <t xml:space="preserve">davon </t>
    </r>
    <r>
      <rPr>
        <i/>
        <vertAlign val="superscript"/>
        <sz val="11"/>
        <color indexed="10"/>
        <rFont val="Arial"/>
        <family val="2"/>
      </rPr>
      <t>2</t>
    </r>
  </si>
  <si>
    <t>T 5.09 OKP: Versichertenbestand per 31.12 nach Versicherer (Kinder, junge Erwachsene, Erwachsene) : CH</t>
  </si>
  <si>
    <r>
      <t xml:space="preserve">Name des OKP Versicherers </t>
    </r>
    <r>
      <rPr>
        <vertAlign val="superscript"/>
        <sz val="10"/>
        <rFont val="Arial"/>
        <family val="2"/>
      </rPr>
      <t>1</t>
    </r>
  </si>
  <si>
    <t>1) Name des Versicherers eventuell gekürzt. Name gültig 2013.</t>
  </si>
  <si>
    <t>Quelle: EF 3.2</t>
  </si>
  <si>
    <r>
      <t xml:space="preserve">T 5.08 OKP: Durchschnittlicher Versichertenbestand nach Versicherer </t>
    </r>
    <r>
      <rPr>
        <b/>
        <vertAlign val="superscript"/>
        <sz val="11"/>
        <rFont val="Arial"/>
        <family val="2"/>
      </rPr>
      <t xml:space="preserve">1  </t>
    </r>
    <r>
      <rPr>
        <b/>
        <sz val="11"/>
        <rFont val="Arial"/>
        <family val="2"/>
      </rPr>
      <t>(Kinder, junge Erwachsene, Erwachsene) : CH</t>
    </r>
  </si>
  <si>
    <r>
      <t xml:space="preserve">Ausland </t>
    </r>
    <r>
      <rPr>
        <vertAlign val="superscript"/>
        <sz val="10"/>
        <rFont val="Arial"/>
        <family val="2"/>
      </rPr>
      <t>2</t>
    </r>
  </si>
  <si>
    <t>2) Personen mit Wohnort im Ausland gemäss Artikel 4 KVV (Entsandte Arbeitnehmer und Arbeitnehmerinnen) und 5 KVV (Personen im öffentlichen Dienst mit Aufenthalt im Ausland) mit Ausnahme derjenigen Personen, die in einem EU oder EFTA Staat wohnen und gestützt auf das Freizügigkeitsakbommen oder das EFTA-Abkommen der schweizerischen Versicherung unterstellt sind (Art. 1 Abs. 2 Bst. d und e KVV).</t>
  </si>
  <si>
    <r>
      <t xml:space="preserve">T </t>
    </r>
    <r>
      <rPr>
        <b/>
        <sz val="12"/>
        <color indexed="10"/>
        <rFont val="Arial"/>
        <family val="2"/>
      </rPr>
      <t>5.05</t>
    </r>
    <r>
      <rPr>
        <b/>
        <sz val="12"/>
        <rFont val="Arial"/>
        <family val="2"/>
      </rPr>
      <t xml:space="preserve"> KVG-Versicherer: Daten zur freiwilligen Taggeldversicherung</t>
    </r>
  </si>
  <si>
    <t>OKP: Durchschnittlicher Versichertenbestand nach Versicherer (Kinder, Junge Erwachsene, Erwachsene) : CH</t>
  </si>
  <si>
    <t>OKP: Versichertenbestand per 31.12 nach Versicherer (Kinder, Junge Erwachsene, Erwachsene) : CH</t>
  </si>
  <si>
    <r>
      <t xml:space="preserve">T </t>
    </r>
    <r>
      <rPr>
        <b/>
        <sz val="12"/>
        <color indexed="10"/>
        <rFont val="Arial"/>
        <family val="2"/>
      </rPr>
      <t>5.03</t>
    </r>
    <r>
      <rPr>
        <b/>
        <sz val="12"/>
        <rFont val="Arial"/>
        <family val="2"/>
      </rPr>
      <t xml:space="preserve"> KVG-Solvenztest </t>
    </r>
    <r>
      <rPr>
        <b/>
        <vertAlign val="superscript"/>
        <sz val="12"/>
        <rFont val="Arial"/>
        <family val="2"/>
      </rPr>
      <t>1</t>
    </r>
    <r>
      <rPr>
        <b/>
        <sz val="12"/>
        <rFont val="Arial"/>
        <family val="2"/>
      </rPr>
      <t xml:space="preserve"> 2014</t>
    </r>
  </si>
  <si>
    <r>
      <t xml:space="preserve">(vgl. T </t>
    </r>
    <r>
      <rPr>
        <sz val="10"/>
        <color indexed="10"/>
        <rFont val="Arial"/>
        <family val="2"/>
      </rPr>
      <t>5.03</t>
    </r>
    <r>
      <rPr>
        <sz val="10"/>
        <rFont val="Arial"/>
        <family val="2"/>
      </rPr>
      <t>). Die Werte ab 2012 sind mit denjenigen aus den Vorjahren aufgrund der Auflösung von stillen Reserven nicht vergleichbar.</t>
    </r>
  </si>
  <si>
    <t>5.11.14: T5, 5.02, 11.03</t>
  </si>
  <si>
    <t>10.9.14:  3.04</t>
  </si>
  <si>
    <t>5.11.14: 4.09, 5.07-&gt;5.09, T10, 10.01 -&gt; 10.05</t>
  </si>
  <si>
    <t>T 4.09 KVG-Verteilmodell: Bundesbeiträge 2013 - 2015</t>
  </si>
  <si>
    <r>
      <t xml:space="preserve">Bundesbeiträge in Franken </t>
    </r>
    <r>
      <rPr>
        <b/>
        <vertAlign val="superscript"/>
        <sz val="11"/>
        <rFont val="Arial"/>
        <family val="2"/>
      </rPr>
      <t>1</t>
    </r>
  </si>
  <si>
    <t>Berechnungsbasis 2015</t>
  </si>
  <si>
    <r>
      <t xml:space="preserve">gänger </t>
    </r>
    <r>
      <rPr>
        <vertAlign val="superscript"/>
        <sz val="10"/>
        <rFont val="Arial"/>
        <family val="2"/>
      </rPr>
      <t>2</t>
    </r>
  </si>
  <si>
    <t>bevölkerung und</t>
  </si>
  <si>
    <r>
      <t xml:space="preserve">völkerung </t>
    </r>
    <r>
      <rPr>
        <vertAlign val="superscript"/>
        <sz val="11"/>
        <rFont val="Arial"/>
        <family val="2"/>
      </rPr>
      <t>2</t>
    </r>
  </si>
  <si>
    <t>Grenzgänger</t>
  </si>
  <si>
    <t>Datenstand: 23.10.2014</t>
  </si>
  <si>
    <t>Quelle: KVG-Verteilmodelle für Bundesbeiträge für 2013/2014/2015.</t>
  </si>
  <si>
    <t>1) Ab 1.1.2008 wird die Prämienverbilligung nach der Neugestaltung des Finanzausgleichs und der Aufgabenteilung</t>
  </si>
  <si>
    <t>2) Mittlere Wohnbevölkerung 2013: Durchschnittliche Wohnbevölkerung in einem bestimmten Gebiet nach wirtschaftlichem Wohnsitz.</t>
  </si>
  <si>
    <t xml:space="preserve">    Quelle: BFS Sektion Bevölkerungsentwicklung und versicherte Grenzgänger 2013 und deren Familienangehörige; Quelle: EF S 3, 2013.</t>
  </si>
  <si>
    <t>10: Risikoausgleich in der OKP</t>
  </si>
  <si>
    <t>Risikoausgleich: Nettozahler und Nettoempfänger ab 1996</t>
  </si>
  <si>
    <t>Risikoausgleich: Bruttoumverteilung und Nettoumverteilung ab 1996</t>
  </si>
  <si>
    <t>Risikoausgleich je versicherte Person und Versicherungsmonat nach Altersklasse und Geschlecht</t>
  </si>
  <si>
    <t>Durchschnittlicher Versichertenbestand nach Kanton (gemäss Definition des Risikoausgleichs)</t>
  </si>
  <si>
    <t>Effektive Kosten nach Kanton (gemäss Definition des Risikoausgleichs)</t>
  </si>
  <si>
    <t>T 10.01  Risikoausgleich: Nettozahler und Nettoempfänger ab 1996</t>
  </si>
  <si>
    <t>Ausgleichs-</t>
  </si>
  <si>
    <t>jahr</t>
  </si>
  <si>
    <r>
      <t xml:space="preserve">zahler </t>
    </r>
    <r>
      <rPr>
        <vertAlign val="superscript"/>
        <sz val="11"/>
        <rFont val="Arial"/>
        <family val="2"/>
      </rPr>
      <t>1</t>
    </r>
  </si>
  <si>
    <r>
      <t xml:space="preserve">empfänger </t>
    </r>
    <r>
      <rPr>
        <vertAlign val="superscript"/>
        <sz val="11"/>
        <rFont val="Arial"/>
        <family val="2"/>
      </rPr>
      <t>1</t>
    </r>
  </si>
  <si>
    <t>Quelle: Statistik des Risikoausgleichs - Gemeinsame Einrichtung KVG</t>
  </si>
  <si>
    <t>1) Anzahl OKP Versicherer, die für das Ausgleichsjahr eine Abgabe an den Risikoausgleich leisten mussten (Nettozahler),</t>
  </si>
  <si>
    <t xml:space="preserve">    resp. einen Beitrag aus dem Risikoausgleich erhielten (Nettoempfänger).</t>
  </si>
  <si>
    <t>Datenstand: 4.7.14</t>
  </si>
  <si>
    <r>
      <t xml:space="preserve">T 10.05  Effektive Kosten </t>
    </r>
    <r>
      <rPr>
        <b/>
        <vertAlign val="superscript"/>
        <sz val="12"/>
        <rFont val="Arial"/>
        <family val="2"/>
      </rPr>
      <t xml:space="preserve">1 </t>
    </r>
    <r>
      <rPr>
        <b/>
        <sz val="12"/>
        <rFont val="Arial"/>
        <family val="2"/>
      </rPr>
      <t xml:space="preserve"> in Fr. nach Kanton 
(gemäss Definition des Risikoausgleichs </t>
    </r>
    <r>
      <rPr>
        <b/>
        <vertAlign val="superscript"/>
        <sz val="12"/>
        <rFont val="Arial"/>
        <family val="2"/>
      </rPr>
      <t xml:space="preserve">2 </t>
    </r>
    <r>
      <rPr>
        <b/>
        <sz val="12"/>
        <rFont val="Arial"/>
        <family val="2"/>
      </rPr>
      <t xml:space="preserve">)  </t>
    </r>
  </si>
  <si>
    <t>Erwach-</t>
  </si>
  <si>
    <t>Kinder und</t>
  </si>
  <si>
    <t>sene</t>
  </si>
  <si>
    <r>
      <t xml:space="preserve">1) Effektive Kosten = (bezahlte) Leistungen der Versicherer in der OKP </t>
    </r>
    <r>
      <rPr>
        <b/>
        <sz val="10"/>
        <rFont val="Arial"/>
        <family val="2"/>
      </rPr>
      <t>ohne</t>
    </r>
    <r>
      <rPr>
        <sz val="10"/>
        <rFont val="Arial"/>
        <family val="2"/>
      </rPr>
      <t xml:space="preserve"> Kostenbeteiligung durch die Versicherten.</t>
    </r>
  </si>
  <si>
    <t>2) Für die Bestimmung der massgebenden Kosten wird neu auf das Behandlungsdatum für die Ausgleichsjahre 2012 und später abgestellt</t>
  </si>
  <si>
    <t xml:space="preserve">(bis 2011 war dagegen das Abrechnungsdatum massgebend). </t>
  </si>
  <si>
    <t xml:space="preserve">Dieser Wechsel schlägt sich tendenziell in einer Verminderung der ausgewiesenen Kosten nieder. </t>
  </si>
  <si>
    <t>Es handelt sich dabei jedoch lediglich um einen statistischen Effekt.</t>
  </si>
  <si>
    <t xml:space="preserve">Für die Zahl der Versicherten, die im Risikoausgleich berücksichtigt werden, gilt eine andere Definition als für die </t>
  </si>
  <si>
    <t>Versichertenbestände in den Formularen EF1345 (Anzahl OKP-Versicherte). Vgl. Fussnote 2) von Tabelle 10.04.</t>
  </si>
  <si>
    <t xml:space="preserve">Auf diesem Grund kommt es zu Differenzen bei den Kosten gegenüber den Angaben im Formular EF1345 der Versicherer </t>
  </si>
  <si>
    <t xml:space="preserve">(Abrechnungsdatum massgebend, siehe insbesondere Kapitel 2). </t>
  </si>
  <si>
    <r>
      <t xml:space="preserve">T 10.04  Durchschnittlicher Versichertenbestand </t>
    </r>
    <r>
      <rPr>
        <b/>
        <vertAlign val="superscript"/>
        <sz val="12"/>
        <rFont val="Arial"/>
        <family val="2"/>
      </rPr>
      <t>1</t>
    </r>
    <r>
      <rPr>
        <b/>
        <sz val="12"/>
        <rFont val="Arial"/>
        <family val="2"/>
      </rPr>
      <t xml:space="preserve">  nach Kanton 
(gemäss Definition des Risikoausgleichs </t>
    </r>
    <r>
      <rPr>
        <b/>
        <vertAlign val="superscript"/>
        <sz val="12"/>
        <rFont val="Arial"/>
        <family val="2"/>
      </rPr>
      <t>2</t>
    </r>
    <r>
      <rPr>
        <b/>
        <sz val="12"/>
        <rFont val="Arial"/>
        <family val="2"/>
      </rPr>
      <t xml:space="preserve">) </t>
    </r>
  </si>
  <si>
    <t xml:space="preserve">2) Für die Zahl der Versicherten, die im Risikoausgleich berücksichtigt werden, gilt eine andere Definition als für </t>
  </si>
  <si>
    <t xml:space="preserve">die Versichertenbestände in den Formularen EF1345 (Anzahl OKP-Versicherte). </t>
  </si>
  <si>
    <t>Folglich ergeben sich Differenzen zu den Beständen von EF1345 bei den Versicherern (vgl. insbesondere Kapitel 11),</t>
  </si>
  <si>
    <t>insbesondere was die Grenzgänger, die Empfänger einer schweizerischen Rente und die Asylsuchenden betrifft.</t>
  </si>
  <si>
    <t>Die genaue Definition der Versicherten, die dem Risikoausgleich unterstehen, ist unter dem nachfolgenden Link verfügbar:</t>
  </si>
  <si>
    <t>http://www.kvg.org/ra/default.htm</t>
  </si>
  <si>
    <t>Rubrik Risikoausgleich.</t>
  </si>
  <si>
    <r>
      <t xml:space="preserve">T 10.03  Risikoausgleich </t>
    </r>
    <r>
      <rPr>
        <b/>
        <vertAlign val="superscript"/>
        <sz val="12"/>
        <rFont val="Arial"/>
        <family val="2"/>
      </rPr>
      <t>1</t>
    </r>
    <r>
      <rPr>
        <b/>
        <sz val="12"/>
        <rFont val="Arial"/>
        <family val="2"/>
      </rPr>
      <t xml:space="preserve">  in Fr. je versicherte Person 
und Versicherungsmonat nach Altersklasse und Geschlecht</t>
    </r>
  </si>
  <si>
    <t>Veränderung in</t>
  </si>
  <si>
    <t>Fr. gegenüber</t>
  </si>
  <si>
    <t>0 - 18</t>
  </si>
  <si>
    <t>19 - 25</t>
  </si>
  <si>
    <t>26 - 30</t>
  </si>
  <si>
    <t>31 - 35</t>
  </si>
  <si>
    <t>36 - 40</t>
  </si>
  <si>
    <t>41 - 45</t>
  </si>
  <si>
    <t>46 - 50</t>
  </si>
  <si>
    <t>51 - 55</t>
  </si>
  <si>
    <t>56 - 60</t>
  </si>
  <si>
    <t>61 - 65</t>
  </si>
  <si>
    <t>66 - 70</t>
  </si>
  <si>
    <t>71 - 75</t>
  </si>
  <si>
    <t>76 - 80</t>
  </si>
  <si>
    <t>81 - 85</t>
  </si>
  <si>
    <t>86 - 90</t>
  </si>
  <si>
    <t>&gt; 90</t>
  </si>
  <si>
    <t xml:space="preserve">1) Bei der Berechnung der Abgaben und Beiträge werden die effektiven Durchschnittskosten jeder Risikogruppe mit den </t>
  </si>
  <si>
    <t>effektiven Durchschnittskosten aller erwachsenen Versicherten im Alter von 19 und mehr Jahren (Referenzgruppe) verglichen.</t>
  </si>
  <si>
    <t xml:space="preserve">Sind die effektiven Durchschnittskosten der jeweiligen Risikogruppe höher als die Durchschnittskosten der Referenzgruppe, </t>
  </si>
  <si>
    <t>so erhält der Versicherer für jeden Versicherten in dieser Risikogruppe einen Beitrag (+). Umgekehrt hat er eine Abgabe (-) zu leisten.</t>
  </si>
  <si>
    <t>Kinder (0-18 Jahre) werden für die Berechnung des Risikoausgleichs nicht miteinbezogen.</t>
  </si>
  <si>
    <t>Die Berechnung des Risikoausgleiches erfolgt nach Kantonen; hier sind die schweizerischen Durchschnittswerte wiedergegeben.</t>
  </si>
  <si>
    <t>T 10.02  Risikoausgleich: Bruttoumverteilung und Nettoumverteilung in Mio. Fr. ab 1996</t>
  </si>
  <si>
    <r>
      <t xml:space="preserve">Bruttoumverteilung </t>
    </r>
    <r>
      <rPr>
        <vertAlign val="superscript"/>
        <sz val="11"/>
        <rFont val="Arial"/>
        <family val="2"/>
      </rPr>
      <t>1</t>
    </r>
  </si>
  <si>
    <r>
      <t xml:space="preserve">Nettoumverteilung </t>
    </r>
    <r>
      <rPr>
        <vertAlign val="superscript"/>
        <sz val="11"/>
        <rFont val="Arial"/>
        <family val="2"/>
      </rPr>
      <t>2</t>
    </r>
  </si>
  <si>
    <t>nach</t>
  </si>
  <si>
    <t>zwischen</t>
  </si>
  <si>
    <r>
      <t xml:space="preserve">Geschlecht </t>
    </r>
    <r>
      <rPr>
        <vertAlign val="superscript"/>
        <sz val="11"/>
        <rFont val="Arial"/>
        <family val="2"/>
      </rPr>
      <t>3</t>
    </r>
  </si>
  <si>
    <r>
      <t xml:space="preserve">Alter </t>
    </r>
    <r>
      <rPr>
        <vertAlign val="superscript"/>
        <sz val="11"/>
        <rFont val="Arial"/>
        <family val="2"/>
      </rPr>
      <t>4</t>
    </r>
  </si>
  <si>
    <r>
      <t xml:space="preserve">Aufenthalt </t>
    </r>
    <r>
      <rPr>
        <vertAlign val="superscript"/>
        <sz val="11"/>
        <rFont val="Arial"/>
        <family val="2"/>
      </rPr>
      <t>5</t>
    </r>
  </si>
  <si>
    <r>
      <t xml:space="preserve">Versicherten </t>
    </r>
    <r>
      <rPr>
        <vertAlign val="superscript"/>
        <sz val="11"/>
        <rFont val="Arial"/>
        <family val="2"/>
      </rPr>
      <t>6</t>
    </r>
  </si>
  <si>
    <t>Versicherern</t>
  </si>
  <si>
    <t xml:space="preserve">Vorjahr </t>
  </si>
  <si>
    <t>1) Gesamtschweizerische theoretisch-statistische Grösse.</t>
  </si>
  <si>
    <r>
      <t xml:space="preserve">2) </t>
    </r>
    <r>
      <rPr>
        <u/>
        <sz val="10"/>
        <rFont val="Arial"/>
        <family val="2"/>
      </rPr>
      <t>Effektiv erfolgte</t>
    </r>
    <r>
      <rPr>
        <sz val="10"/>
        <rFont val="Arial"/>
        <family val="2"/>
      </rPr>
      <t xml:space="preserve"> Umverteilung zwischen den Versicherern (von Nettozahlern zu Nettoempfängern; vgl. Tabelle 10.01).</t>
    </r>
  </si>
  <si>
    <t>3) Umverteilung von Männern zu Frauen.</t>
  </si>
  <si>
    <t>4) Umverteilung von jüngeren Versicherten (19 – 55-jährige Personen) zu älteren Versicherten (56-jährige und ältere Personen).</t>
  </si>
  <si>
    <t>5) Umverteilung von Versicherten ohne Aufenthalt in einem Spital oder Pflegeheim (Dauer mindestens drei aufeinanderfolgende Nächte)</t>
  </si>
  <si>
    <t>im Vorjahr zu Versicherten mit einem Aufenthalt (neuer Ausgleichsfaktor im 2012 eingeführt).</t>
  </si>
  <si>
    <t>6) Umverteilung zwischen den Versicherten. 2012-2013: Mittelwert der beiden absoluten Werte : Total Beiträge und Total Abgaben.</t>
  </si>
  <si>
    <t>14.11.14: 1.12, 1.13, 8.01, 8.02</t>
  </si>
  <si>
    <r>
      <t xml:space="preserve">T 1.13  Stand der Rückstellungen </t>
    </r>
    <r>
      <rPr>
        <b/>
        <vertAlign val="superscript"/>
        <sz val="12"/>
        <rFont val="Arial"/>
        <family val="2"/>
      </rPr>
      <t>1</t>
    </r>
    <r>
      <rPr>
        <b/>
        <sz val="12"/>
        <rFont val="Arial"/>
        <family val="2"/>
      </rPr>
      <t xml:space="preserve"> per 31.12. für unerledigte Versicherungsfälle ab 2003</t>
    </r>
  </si>
  <si>
    <t>Stand</t>
  </si>
  <si>
    <t>Stand Rück-</t>
  </si>
  <si>
    <t>Rück-</t>
  </si>
  <si>
    <t>stellungen pro</t>
  </si>
  <si>
    <t>stellungen</t>
  </si>
  <si>
    <r>
      <t xml:space="preserve">leistungen </t>
    </r>
    <r>
      <rPr>
        <vertAlign val="superscript"/>
        <sz val="11"/>
        <rFont val="Arial"/>
        <family val="2"/>
      </rPr>
      <t>2</t>
    </r>
  </si>
  <si>
    <r>
      <t xml:space="preserve">1) </t>
    </r>
    <r>
      <rPr>
        <i/>
        <sz val="10"/>
        <rFont val="Arial"/>
        <family val="2"/>
      </rPr>
      <t xml:space="preserve">Die Werte ab 2012 sind mit denjenigen aus den Vorjahren aufgrund der Einführung des neuen Rechnungsstandards </t>
    </r>
  </si>
  <si>
    <t>Swiss GAAP FER 41 (Methode des "best estimate") nicht vergleichbar.</t>
  </si>
  <si>
    <t>2) Vgl. Tabelle 2.20.</t>
  </si>
  <si>
    <t>Quelle: 2012 -&gt; : T 5.01, 2.20  ( -&gt; 2011 :T 8.10 [270], 11.13A, 2.20)</t>
  </si>
  <si>
    <r>
      <t xml:space="preserve">T 1.12 Stand der Reserven </t>
    </r>
    <r>
      <rPr>
        <b/>
        <vertAlign val="superscript"/>
        <sz val="12"/>
        <rFont val="Arial"/>
        <family val="2"/>
      </rPr>
      <t>1</t>
    </r>
    <r>
      <rPr>
        <b/>
        <sz val="12"/>
        <rFont val="Arial"/>
        <family val="2"/>
      </rPr>
      <t xml:space="preserve"> per 31.12. ab 2003</t>
    </r>
  </si>
  <si>
    <t>Reserven-</t>
  </si>
  <si>
    <r>
      <t xml:space="preserve">Solvenzquote </t>
    </r>
    <r>
      <rPr>
        <vertAlign val="superscript"/>
        <sz val="11"/>
        <rFont val="Arial"/>
        <family val="2"/>
      </rPr>
      <t>4</t>
    </r>
  </si>
  <si>
    <t>pro versicherte</t>
  </si>
  <si>
    <t>quote</t>
  </si>
  <si>
    <t xml:space="preserve"> Person in Fr.</t>
  </si>
  <si>
    <r>
      <t xml:space="preserve">effektiv </t>
    </r>
    <r>
      <rPr>
        <vertAlign val="superscript"/>
        <sz val="11"/>
        <rFont val="Arial"/>
        <family val="2"/>
      </rPr>
      <t>2</t>
    </r>
  </si>
  <si>
    <r>
      <t>gesetzlich</t>
    </r>
    <r>
      <rPr>
        <vertAlign val="superscript"/>
        <sz val="11"/>
        <rFont val="Arial"/>
        <family val="2"/>
      </rPr>
      <t xml:space="preserve"> 3</t>
    </r>
  </si>
  <si>
    <r>
      <t xml:space="preserve">1) </t>
    </r>
    <r>
      <rPr>
        <i/>
        <sz val="10"/>
        <rFont val="Arial"/>
        <family val="2"/>
      </rPr>
      <t>Die Werte ab 2012 sind mit denjenigen aus den Vorjahren aufgrund der Auflösung von stillen Reserven nicht vergleichbar (vgl. T 5.02).</t>
    </r>
  </si>
  <si>
    <t>2) Reserven in % des Prämiensolls (vgl. T 3.01) -&gt; 2011 (vgl. T 5.02).</t>
  </si>
  <si>
    <t>3) Gemäss den gesetzlichen Bestimmungen berechneter Mindestreservesatz -&gt; 2011 (vgl. T 5.01 und 5.02).</t>
  </si>
  <si>
    <t>4) 2012 -&gt; : Neue Berechnungsmethode mit Quantifizierung der versicherungstechnischen Risiken, der Marktrisiken und der Kreditrisken (vgl. T 5.02).</t>
  </si>
  <si>
    <t xml:space="preserve"> Solvenzquote = Verhältnis Vorhandene Reserven / Mindesthöhe der Reserven in % (mit freiwilliger Taggeldversicherung, vgl. T 5.03).</t>
  </si>
  <si>
    <r>
      <t xml:space="preserve">Quelle: 2013 -&gt; : T 5.01, 5.03  </t>
    </r>
    <r>
      <rPr>
        <i/>
        <sz val="10"/>
        <rFont val="Arial"/>
        <family val="2"/>
      </rPr>
      <t xml:space="preserve">( 2012: T 5.01, 5.06  /  -&gt; 2011 : T 8.10 [290 + 290.9] ; T 11.13A; T 3.01; T 5.01 und Aufsichtsdaten 1998-2003 ) </t>
    </r>
  </si>
  <si>
    <t>T 8.02  Anzahl Versicherer OKP nach Versichertenbestand ab 2003</t>
  </si>
  <si>
    <t>T 8.01 Anzahl KVG Versicherer ab 1996</t>
  </si>
  <si>
    <t>A</t>
  </si>
  <si>
    <t>B</t>
  </si>
  <si>
    <t>C</t>
  </si>
  <si>
    <t>D</t>
  </si>
  <si>
    <r>
      <t xml:space="preserve">    Anzahl KVG-Versicherer </t>
    </r>
    <r>
      <rPr>
        <vertAlign val="superscript"/>
        <sz val="11"/>
        <rFont val="Arial"/>
        <family val="2"/>
      </rPr>
      <t>1 2</t>
    </r>
  </si>
  <si>
    <t xml:space="preserve">Anzahl </t>
  </si>
  <si>
    <t>Zuwachs</t>
  </si>
  <si>
    <t>Abgang</t>
  </si>
  <si>
    <t>Obligatorische</t>
  </si>
  <si>
    <t>Freiwillige</t>
  </si>
  <si>
    <r>
      <t xml:space="preserve">OKP </t>
    </r>
    <r>
      <rPr>
        <b/>
        <i/>
        <sz val="11"/>
        <rFont val="Arial"/>
        <family val="2"/>
      </rPr>
      <t>und</t>
    </r>
  </si>
  <si>
    <t>Krankenpflege-</t>
  </si>
  <si>
    <t>Taggeld-</t>
  </si>
  <si>
    <t>KVG</t>
  </si>
  <si>
    <t>1) Differenz zwischen A und C : Versicherer, die keine Versicherte in der freiwilligen Taggeldversicherung nach KVG haben.</t>
  </si>
  <si>
    <t>2) Differenz zwischen A und B : Versicherer, die keine obligatorische Krankenpflegeversicherung anbieten (reine Taggeldversicherer).</t>
  </si>
  <si>
    <t>Quelle: T 5.01; T 5.04; T 5.05</t>
  </si>
  <si>
    <t>5.12.14: 8.03, 11.11</t>
  </si>
  <si>
    <r>
      <t>T 11.11  Zahlungsausstände für OKP-Prämien</t>
    </r>
    <r>
      <rPr>
        <b/>
        <vertAlign val="superscript"/>
        <sz val="12"/>
        <rFont val="Arial"/>
        <family val="2"/>
      </rPr>
      <t xml:space="preserve"> </t>
    </r>
    <r>
      <rPr>
        <b/>
        <sz val="12"/>
        <rFont val="Arial"/>
        <family val="2"/>
      </rPr>
      <t>ab 2003</t>
    </r>
  </si>
  <si>
    <t xml:space="preserve">Versicherte </t>
  </si>
  <si>
    <t>Prämienvolumen</t>
  </si>
  <si>
    <t>Versicherte mit</t>
  </si>
  <si>
    <r>
      <t xml:space="preserve">mit Betreibung </t>
    </r>
    <r>
      <rPr>
        <vertAlign val="superscript"/>
        <sz val="11"/>
        <rFont val="Arial"/>
        <family val="2"/>
      </rPr>
      <t>1</t>
    </r>
  </si>
  <si>
    <t>pro Betreibung</t>
  </si>
  <si>
    <t>sistierten</t>
  </si>
  <si>
    <t>pro Versicherten</t>
  </si>
  <si>
    <r>
      <t xml:space="preserve"> in Franken </t>
    </r>
    <r>
      <rPr>
        <i/>
        <vertAlign val="superscript"/>
        <sz val="11"/>
        <rFont val="Arial"/>
        <family val="2"/>
      </rPr>
      <t>2</t>
    </r>
  </si>
  <si>
    <r>
      <t xml:space="preserve"> Leistungen </t>
    </r>
    <r>
      <rPr>
        <vertAlign val="superscript"/>
        <sz val="11"/>
        <rFont val="Arial"/>
        <family val="2"/>
      </rPr>
      <t>3</t>
    </r>
  </si>
  <si>
    <t xml:space="preserve"> mit sistierten Leis-</t>
  </si>
  <si>
    <r>
      <t xml:space="preserve"> tungen in Franken </t>
    </r>
    <r>
      <rPr>
        <i/>
        <vertAlign val="superscript"/>
        <sz val="11"/>
        <rFont val="Arial"/>
        <family val="2"/>
      </rPr>
      <t>4</t>
    </r>
  </si>
  <si>
    <t>Quelle: Formular EF 3.10.4</t>
  </si>
  <si>
    <t>1) Anzahl Versicherte, die im betrachteten Jahr betrieben wurden sowie das den Betreibungen unterliegende Prämienvolumen, unabhängig</t>
  </si>
  <si>
    <t xml:space="preserve">    davon, ob die Prämien schlussendlich durch das Betreibungsverfahren eingebracht werden konnten. Daten teilweise unvollständig (siehe Punkt 2).</t>
  </si>
  <si>
    <t>2) Schätzungen aufgrund der Versicherer, die vollständige Angaben geliefert haben (&lt;&gt; 0; 2005 -&gt; 2013: 70-75-82-79-75-79-59-57-57 Versicherer).</t>
  </si>
  <si>
    <t>3) „Versicherte mit sistierten Leistungen“ sind Versicherte für welche Leistungen nicht mehr übernommen werden, weil sie ihre Prämien nicht bezahlt haben.</t>
  </si>
  <si>
    <t xml:space="preserve">    Inkrafttreten des neuen Artikels 64a KVG am 1.1.2012. Die Kantone können die Sistierung der Leistungen gemäss Artikel 64a, Abs. 7 KVG</t>
  </si>
  <si>
    <t xml:space="preserve">    weiterführen. Daten teilweise unvollständig (siehe Punkt 4).</t>
  </si>
  <si>
    <t xml:space="preserve">    Personen, die Militärdienst leisten und deshalb sistiert wurden, sind in dieser Tabelle nicht aufgeführt.</t>
  </si>
  <si>
    <t>4) Schätzungen aufgrund der Versicherer, die vollständige Angaben geliefert haben (&lt;&gt; 0; 2005 -&gt; 2012: 22-50-56-53-57-60-44-37-34 Versicherer).</t>
  </si>
  <si>
    <t>T 8.03  Stellen, Personal und Löhne in der OKP ab 2003</t>
  </si>
  <si>
    <r>
      <t>Jahr</t>
    </r>
    <r>
      <rPr>
        <vertAlign val="superscript"/>
        <sz val="11"/>
        <rFont val="Arial"/>
        <family val="2"/>
      </rPr>
      <t xml:space="preserve"> 1</t>
    </r>
  </si>
  <si>
    <t xml:space="preserve"> Verwaltung / Hauptsitz</t>
  </si>
  <si>
    <t xml:space="preserve"> Sektionen / Agenturen </t>
  </si>
  <si>
    <t xml:space="preserve">         Total             </t>
  </si>
  <si>
    <r>
      <t xml:space="preserve">  Bruttogehälter in Mio. Fr. </t>
    </r>
    <r>
      <rPr>
        <vertAlign val="superscript"/>
        <sz val="9"/>
        <rFont val="Arial"/>
        <family val="2"/>
      </rPr>
      <t xml:space="preserve">3 </t>
    </r>
  </si>
  <si>
    <r>
      <t xml:space="preserve"> Mittleres Bruttogehalt in Fr. </t>
    </r>
    <r>
      <rPr>
        <vertAlign val="superscript"/>
        <sz val="10"/>
        <rFont val="55 Helvetica Roman"/>
      </rPr>
      <t>4</t>
    </r>
  </si>
  <si>
    <t>Stellen</t>
  </si>
  <si>
    <t>pro Stelle</t>
  </si>
  <si>
    <r>
      <t xml:space="preserve">davon Kader </t>
    </r>
    <r>
      <rPr>
        <i/>
        <vertAlign val="superscript"/>
        <sz val="9"/>
        <rFont val="Arial"/>
        <family val="2"/>
      </rPr>
      <t>2</t>
    </r>
  </si>
  <si>
    <t xml:space="preserve">(Hauptsitz und </t>
  </si>
  <si>
    <t>(Total)</t>
  </si>
  <si>
    <r>
      <t xml:space="preserve">(Kader </t>
    </r>
    <r>
      <rPr>
        <vertAlign val="superscript"/>
        <sz val="9"/>
        <rFont val="Arial"/>
        <family val="2"/>
      </rPr>
      <t>2</t>
    </r>
    <r>
      <rPr>
        <sz val="9"/>
        <rFont val="Arial"/>
        <family val="2"/>
      </rPr>
      <t>)</t>
    </r>
  </si>
  <si>
    <t>Agenturen)</t>
  </si>
  <si>
    <t>1) Ab 2001 nur obligatorische Grundversicherung OKP.</t>
  </si>
  <si>
    <t>2) Mitglieder der Direktion und der Räte (Verwaltungsrat, Stiftungsrat…)</t>
  </si>
  <si>
    <t>3) Angaben unvollständig.</t>
  </si>
  <si>
    <t>4) Schätzungen aufgrund der Versicherer, die vollständige Angaben geliefert haben  (2007 -&gt; :  Total: ~ 50 Versicherer / Kader: ~35 Versicherer).</t>
  </si>
  <si>
    <t>Quelle: Formular EF 3.10.3</t>
  </si>
  <si>
    <t>Ausland</t>
  </si>
  <si>
    <r>
      <t xml:space="preserve">1) Die Marktanteile über dem Mittelwert (für die Schweiz und pro Kanton) sind </t>
    </r>
    <r>
      <rPr>
        <b/>
        <sz val="10"/>
        <rFont val="Arial"/>
        <family val="2"/>
      </rPr>
      <t>fett</t>
    </r>
    <r>
      <rPr>
        <sz val="10"/>
        <rFont val="Arial"/>
        <family val="2"/>
      </rPr>
      <t xml:space="preserve"> hervorgehoben.</t>
    </r>
  </si>
  <si>
    <r>
      <t xml:space="preserve">1) Die Marktanteile über dem kantonalen Mittelwert sind </t>
    </r>
    <r>
      <rPr>
        <b/>
        <sz val="10"/>
        <rFont val="Arial"/>
        <family val="2"/>
      </rPr>
      <t>fett</t>
    </r>
    <r>
      <rPr>
        <sz val="10"/>
        <rFont val="Arial"/>
        <family val="2"/>
      </rPr>
      <t xml:space="preserve"> hervorgehoben.</t>
    </r>
  </si>
  <si>
    <t>Quelle: T 5.06</t>
  </si>
  <si>
    <t>…</t>
  </si>
  <si>
    <t>calcul de la valeur moyenne (auto)</t>
  </si>
  <si>
    <t>5.10</t>
  </si>
  <si>
    <t>501-510</t>
  </si>
  <si>
    <r>
      <t xml:space="preserve">T 9.04  Entwicklung der Preisindizes für Gesundheitspflege ab 2003  (1996 = 100) </t>
    </r>
    <r>
      <rPr>
        <b/>
        <vertAlign val="superscript"/>
        <sz val="12"/>
        <rFont val="Arial"/>
        <family val="2"/>
      </rPr>
      <t>1</t>
    </r>
  </si>
  <si>
    <t>Ärztliche Leistungen</t>
  </si>
  <si>
    <t>Zahnärztliche Leistungen</t>
  </si>
  <si>
    <t>Spital-leistungen</t>
  </si>
  <si>
    <t>Andere Gesundheits-leistungen</t>
  </si>
  <si>
    <t>Gesundheits-pflege (Total)</t>
  </si>
  <si>
    <t>Landesindex der Konsu-mentenpreise 
(LIK)</t>
  </si>
  <si>
    <t>Vorjahresveränderung der Preisindizes für Gesundheitspflege</t>
  </si>
  <si>
    <t>Landesindex 
der Konsu-
mentenpreise 
(LIK)</t>
  </si>
  <si>
    <t>Jahresdurchschnit-
tliche Veränderung</t>
  </si>
  <si>
    <t>1) Basis des Indexes der Konsumentenpreise: Dezember 2010 = 100. Indizes neu berechnet auf der Basis Jahresdurchschnitt 1996 = 100.</t>
  </si>
  <si>
    <t xml:space="preserve">   Indizes: Nominalwerte.</t>
  </si>
  <si>
    <t>Methode zur Ermittlung des Index  "Gesundheitspflege":</t>
  </si>
  <si>
    <t>Gesundheitskosten: Gewichtung nach den 6 in der Folge aufgeführten Teilindizes:</t>
  </si>
  <si>
    <t xml:space="preserve"> - Medikamente: Kostenermittlung bei rund 200 Medikamenten in den 10 umsatzstärksten Behandlungskategorien.</t>
  </si>
  <si>
    <t xml:space="preserve"> - Ärztliche Leistungen: Gewichtung nach 26 kantonalen Indizes; </t>
  </si>
  <si>
    <t xml:space="preserve">   für jeden Kanton werden die 30 umsatzstärksten Tarifpositionen ermittelt.</t>
  </si>
  <si>
    <t xml:space="preserve"> - Zahnärztliche Leistungen: Kostenermittlung von 11 typischen Leistungsarten in 16 Gemeinden bei ca. 50 Zahnärzten.</t>
  </si>
  <si>
    <t xml:space="preserve"> - Spitalleistungen: Gewichtung nach 26 kantonalen Indizes unter Berücksichtigung der Tarife für stationäre und ambulante Dienste.</t>
  </si>
  <si>
    <t xml:space="preserve">   Betrachtet wurden öffentliche und private Akutspitäler und Psychiatrieeinrichtungen.</t>
  </si>
  <si>
    <t xml:space="preserve"> - Medizinische Geräte: Kostenermittlung nach den typischen Leistungen in den Bereichen Augenoptik (Brillen und </t>
  </si>
  <si>
    <t xml:space="preserve">   Kontaktlinsen in 16 Gemeinden), Hörgeräte (Kostenfeststellung nach den 6 - nach BAG-Tarif - meistverkauften Geräten)</t>
  </si>
  <si>
    <t xml:space="preserve">   und andere medizinische Geräte (z.B. Gehhilfen, Stützen usw.).</t>
  </si>
  <si>
    <t xml:space="preserve"> - Andere Gesundheitsleistungen: Kostenermittlung nach den typischen Leistungen in den Bereichen Physiotherapie, Labor und Spitex. </t>
  </si>
  <si>
    <t>Quelle: BFS, Sektion Preise.</t>
  </si>
  <si>
    <t>9: Zusatzinformationen zum Gesundheitswesen</t>
  </si>
  <si>
    <t>Wohnbevölkerung, Ärzte mit Praxistätigkeit und Apotheken nach Kanton</t>
  </si>
  <si>
    <t>Entwicklung der Wohnbevölkerung, der Ärzte mit Praxistätigkeit und der Apotheken ab 2003</t>
  </si>
  <si>
    <t>Aufteilung der Versicherten nach Art der Spitalzusatzversicherungen ab 2003</t>
  </si>
  <si>
    <t>Entwicklung der Preisindizes für Gesundheitspflege ab 2003</t>
  </si>
  <si>
    <t>Index der Krankenversicherungsprämien nach Versicherungsart ab 2003</t>
  </si>
  <si>
    <t>Index der Krankenpflegekosten, der Krankenversicherungsausgaben der Versicherten sowie der Löhne ab 1996</t>
  </si>
  <si>
    <t>Gesamtbeitrag je versicherte Person nach Versicherungsform in der OKP ab 2003</t>
  </si>
  <si>
    <t>Erkrankte, Spitaleinweisungen und Spitaltage in der OKP ab 2003</t>
  </si>
  <si>
    <t>Erkrankte, Spitaleinweisungen und Spitaltage in der OKP</t>
  </si>
  <si>
    <t>Taggeldversicherung KVG / VVG ab 2003</t>
  </si>
  <si>
    <t>Krankenversicherung (KVG-Versicherer und Privatversicherer) ab 2003</t>
  </si>
  <si>
    <t>Gesundheitskosten ausgewählter OECD–Länder ab 2003</t>
  </si>
  <si>
    <t>Kosten des Gesundheitswesens in der Schweiz nach Leistungserbringer ab 1996</t>
  </si>
  <si>
    <t>Kosten des Gesundheitswesens in der Schweiz nach Leistungen ab 1996</t>
  </si>
  <si>
    <t>Kosten des Gesundheitswesens in der Schweiz und obligatorische Krankenversicherung ab 1996</t>
  </si>
  <si>
    <t>Datenstand: 19.1.15</t>
  </si>
  <si>
    <t>Medizinische Apparate 
und Geräte</t>
  </si>
  <si>
    <t>T 9.05 Index der Krankenversicherungsprämien je versicherte Person nach Versicherungsart ab 2003 (Basis 1999 = 100)</t>
  </si>
  <si>
    <r>
      <t xml:space="preserve">Obligatorische Krankenpflegeversicherung (OKP) </t>
    </r>
    <r>
      <rPr>
        <b/>
        <vertAlign val="superscript"/>
        <sz val="11"/>
        <rFont val="Arial"/>
        <family val="2"/>
      </rPr>
      <t>2</t>
    </r>
  </si>
  <si>
    <r>
      <t xml:space="preserve">Spitalzusatzversicherungen </t>
    </r>
    <r>
      <rPr>
        <b/>
        <vertAlign val="superscript"/>
        <sz val="11"/>
        <rFont val="Arial"/>
        <family val="2"/>
      </rPr>
      <t>3</t>
    </r>
  </si>
  <si>
    <t xml:space="preserve">Kinder </t>
  </si>
  <si>
    <t>allgemein</t>
  </si>
  <si>
    <t>halbprivat</t>
  </si>
  <si>
    <t>privat</t>
  </si>
  <si>
    <t>(ganze CH)</t>
  </si>
  <si>
    <t>Veränderung gegenüber dem Vorjahr</t>
  </si>
  <si>
    <t>Einfluss auf das</t>
  </si>
  <si>
    <t>verfügbares</t>
  </si>
  <si>
    <t>Einkommen</t>
  </si>
  <si>
    <r>
      <t xml:space="preserve">in %  </t>
    </r>
    <r>
      <rPr>
        <vertAlign val="superscript"/>
        <sz val="10"/>
        <rFont val="Arial"/>
        <family val="2"/>
      </rPr>
      <t>1</t>
    </r>
  </si>
  <si>
    <r>
      <t xml:space="preserve">2014 </t>
    </r>
    <r>
      <rPr>
        <vertAlign val="superscript"/>
        <sz val="11"/>
        <rFont val="Arial"/>
        <family val="2"/>
      </rPr>
      <t>4</t>
    </r>
  </si>
  <si>
    <t>Jahresdurchschnit-
tliche Veränderung 
2003-2013</t>
  </si>
  <si>
    <t>1) Auswirkung der Prämienentwicklung auf das Wachstum des verfügbaren Einkommens der Haushalte in %. Quelle: Siehe 3).</t>
  </si>
  <si>
    <r>
      <t xml:space="preserve">2) Quelle: T 3.05. </t>
    </r>
    <r>
      <rPr>
        <u/>
        <sz val="10"/>
        <rFont val="55 Helvetica Roman"/>
      </rPr>
      <t>Effektive</t>
    </r>
    <r>
      <rPr>
        <sz val="10"/>
        <rFont val="55 Helvetica Roman"/>
      </rPr>
      <t xml:space="preserve"> Erhöhungen für alle Versicherungsarten.</t>
    </r>
  </si>
  <si>
    <r>
      <t xml:space="preserve">Werte der </t>
    </r>
    <r>
      <rPr>
        <u/>
        <sz val="10"/>
        <rFont val="Arial"/>
        <family val="2"/>
      </rPr>
      <t>geschätzten</t>
    </r>
    <r>
      <rPr>
        <sz val="10"/>
        <rFont val="Arial"/>
        <family val="2"/>
      </rPr>
      <t xml:space="preserve"> Erhöhung der Prämien pro Altersgruppe für die ordentliche Franchise: vgl. T 12.01.</t>
    </r>
  </si>
  <si>
    <t>3) Quelle: BFS, Sektion Preise. Krankenversicherungsprämienindex (KVPI) [Medienmitteilung 12/14].</t>
  </si>
  <si>
    <r>
      <t xml:space="preserve">4) OKP: </t>
    </r>
    <r>
      <rPr>
        <i/>
        <sz val="10"/>
        <rFont val="Arial"/>
        <family val="2"/>
      </rPr>
      <t>Schätzung:</t>
    </r>
    <r>
      <rPr>
        <sz val="10"/>
        <rFont val="Arial"/>
        <family val="2"/>
      </rPr>
      <t xml:space="preserve"> Quelle: Siehe 3). Siehe auch Beilage J (Schätzung, pro versicherte Person).</t>
    </r>
  </si>
  <si>
    <t>Datenstand: 1.12.14</t>
  </si>
  <si>
    <r>
      <t xml:space="preserve">T 9.07 Gesamtbeitrag je versicherte Person (Prämie + Kostenbeteiligung </t>
    </r>
    <r>
      <rPr>
        <b/>
        <vertAlign val="superscript"/>
        <sz val="12"/>
        <rFont val="Arial"/>
        <family val="2"/>
      </rPr>
      <t xml:space="preserve">1 </t>
    </r>
    <r>
      <rPr>
        <b/>
        <sz val="12"/>
        <rFont val="Arial"/>
        <family val="2"/>
      </rPr>
      <t>) nach Versicherungsform ab 2003</t>
    </r>
  </si>
  <si>
    <t>Quelle: T 3.05 + 2.02</t>
  </si>
  <si>
    <t>Zusätzliche Angaben nach Altersgruppe</t>
  </si>
  <si>
    <t>T 9.08 Erkrankte, Spitaleinweisungen und Spitaltage ab 2003</t>
  </si>
  <si>
    <r>
      <t xml:space="preserve">Erkrankte </t>
    </r>
    <r>
      <rPr>
        <vertAlign val="superscript"/>
        <sz val="11"/>
        <rFont val="Arial"/>
        <family val="2"/>
      </rPr>
      <t>1</t>
    </r>
  </si>
  <si>
    <r>
      <t xml:space="preserve">Einweisungen </t>
    </r>
    <r>
      <rPr>
        <vertAlign val="superscript"/>
        <sz val="11"/>
        <rFont val="Arial"/>
        <family val="2"/>
      </rPr>
      <t>2</t>
    </r>
  </si>
  <si>
    <r>
      <t xml:space="preserve">Spitaltage </t>
    </r>
    <r>
      <rPr>
        <vertAlign val="superscript"/>
        <sz val="11"/>
        <rFont val="Arial"/>
        <family val="2"/>
      </rPr>
      <t>2</t>
    </r>
  </si>
  <si>
    <t>1) Anzahl versicherte Personen, welche im Berichtsjahr mindestens einmal ambulante oder stationäre Kosten verursacht haben.</t>
  </si>
  <si>
    <t xml:space="preserve">   2008: Unvollständige Daten - 79 Versicherer -&gt; geschätzte Werte, schräg gedruckt.</t>
  </si>
  <si>
    <t xml:space="preserve">   auf ein neues Tarifsystem 2012 zurückzuführen.</t>
  </si>
  <si>
    <t>Quelle: T 9.09</t>
  </si>
  <si>
    <t>T 9.09  Erkrankte, Spitaleinweisungen und Spitaltage</t>
  </si>
  <si>
    <t>Merkmal</t>
  </si>
  <si>
    <r>
      <t xml:space="preserve">Kinder </t>
    </r>
    <r>
      <rPr>
        <vertAlign val="superscript"/>
        <sz val="11"/>
        <rFont val="Arial"/>
        <family val="2"/>
      </rPr>
      <t>5</t>
    </r>
  </si>
  <si>
    <r>
      <t xml:space="preserve">Versicherte </t>
    </r>
    <r>
      <rPr>
        <vertAlign val="superscript"/>
        <sz val="11"/>
        <rFont val="Arial"/>
        <family val="2"/>
      </rPr>
      <t>1</t>
    </r>
  </si>
  <si>
    <r>
      <t xml:space="preserve">Erkrankte </t>
    </r>
    <r>
      <rPr>
        <vertAlign val="superscript"/>
        <sz val="11"/>
        <rFont val="Arial"/>
        <family val="2"/>
      </rPr>
      <t>2</t>
    </r>
  </si>
  <si>
    <r>
      <t xml:space="preserve">Erkrankte je 100 Versicherte </t>
    </r>
    <r>
      <rPr>
        <vertAlign val="superscript"/>
        <sz val="11"/>
        <rFont val="Arial"/>
        <family val="2"/>
      </rPr>
      <t>2</t>
    </r>
  </si>
  <si>
    <r>
      <t xml:space="preserve">Einweisungen </t>
    </r>
    <r>
      <rPr>
        <vertAlign val="superscript"/>
        <sz val="11"/>
        <rFont val="Arial"/>
        <family val="2"/>
      </rPr>
      <t>3, 6</t>
    </r>
  </si>
  <si>
    <t xml:space="preserve">  davon Mutterschaft</t>
  </si>
  <si>
    <t>Einweisungen je 100 Versicherte</t>
  </si>
  <si>
    <r>
      <t xml:space="preserve">Spitaltage </t>
    </r>
    <r>
      <rPr>
        <vertAlign val="superscript"/>
        <sz val="11"/>
        <rFont val="Arial"/>
        <family val="2"/>
      </rPr>
      <t>4, 6</t>
    </r>
  </si>
  <si>
    <t>Spitaltage je 100 Versicherte</t>
  </si>
  <si>
    <t>Spitaltage je Einweisung</t>
  </si>
  <si>
    <t xml:space="preserve">1) Durchschnittlicher Versichertenbestand. </t>
  </si>
  <si>
    <t xml:space="preserve">2) Anzahl versicherte Personen, welche im Berichtsjahr mindestens einmal ambulante oder stationäre Kosten verursacht haben </t>
  </si>
  <si>
    <t xml:space="preserve">   (die Anzahl Erkrankte ist somit kleiner oder gleich wie die Anzahl Versicherte).</t>
  </si>
  <si>
    <t xml:space="preserve">3) Anzahl Einweisungen ins Spital stationär; dazu zählen Einweisungen in Spitäler zur kurzfristigen </t>
  </si>
  <si>
    <t xml:space="preserve">    und zur langfristigen Behandlung körperlich Kranker sowie Einweisungen in psychiatrische Kliniken; </t>
  </si>
  <si>
    <t xml:space="preserve">    nicht dazu zählen hingegen Einweisungen in Pflegeheime. Sobald zwischen zwei Spital- </t>
  </si>
  <si>
    <t xml:space="preserve">    aufenthalten eine Lücke besteht, zählen diese als zwei Einweisungen. </t>
  </si>
  <si>
    <t xml:space="preserve">4) Anzahl Spitaltage im Spital stationär; dazu zählen die Spitaltage in Spitälern zur kurzfristigen </t>
  </si>
  <si>
    <t xml:space="preserve">    und zur langfristigen Behandlung körperlich Kranker sowie die Spitaltage in psychiatrischen Kliniken; </t>
  </si>
  <si>
    <t xml:space="preserve">    nicht dazu zählen hingegen die Tage in Pflegeheimen. </t>
  </si>
  <si>
    <t xml:space="preserve">5) Personen, die das 18. Altersjahr noch nicht vollendet haben (vgl. Art. 61 Abs. 3 KVG). </t>
  </si>
  <si>
    <t>6) Vgl. Fussnote 2) von Tabelle 9.08.</t>
  </si>
  <si>
    <t>Quelle: Formular EF 1.12, 3.7.1 und 3.7.2</t>
  </si>
  <si>
    <t xml:space="preserve">2) 2013: Grosse Veränderung ist auf die Verzögerungen in der Rechnungsstellung aufgrund der Umstellung </t>
  </si>
  <si>
    <t>30.1.15: 5.10, T9, 9.04, 9.05, 9.07-&gt;9.09</t>
  </si>
  <si>
    <r>
      <t xml:space="preserve">1) Bei den durchschnittlichen Versichertenbeständen der OKP (pro Kanton und Versicherer), die in der OKP-Prämienübersicht des BAG publiziert werden, wird den Fusionen von Versicherern bis zum Moment der Gültigkeit der publizierten Prämien Rechnung getragen. </t>
    </r>
    <r>
      <rPr>
        <sz val="10"/>
        <color indexed="10"/>
        <rFont val="Arial"/>
        <family val="2"/>
      </rPr>
      <t>Aus diesem Grund kann es Unterschiede zwischen der oben stehenden Tabelle und der in der OKP-Prämienübersicht des BAG publizierten Tabelle geben.</t>
    </r>
  </si>
  <si>
    <r>
      <t xml:space="preserve">– Anzahl Erkrankte </t>
    </r>
    <r>
      <rPr>
        <vertAlign val="superscript"/>
        <sz val="11"/>
        <rFont val="Arial"/>
        <family val="2"/>
      </rPr>
      <t>5</t>
    </r>
    <r>
      <rPr>
        <sz val="11"/>
        <rFont val="Arial"/>
        <family val="2"/>
      </rPr>
      <t xml:space="preserve"> in 1'000</t>
    </r>
  </si>
  <si>
    <r>
      <t xml:space="preserve">– Anzahl Erkrankte je 100 Versicherte </t>
    </r>
    <r>
      <rPr>
        <vertAlign val="superscript"/>
        <sz val="11"/>
        <rFont val="Arial"/>
        <family val="2"/>
      </rPr>
      <t>5</t>
    </r>
  </si>
  <si>
    <r>
      <t xml:space="preserve">– Anzahl Spitaleinweisungen </t>
    </r>
    <r>
      <rPr>
        <vertAlign val="superscript"/>
        <sz val="11"/>
        <rFont val="Arial"/>
        <family val="2"/>
      </rPr>
      <t>5</t>
    </r>
    <r>
      <rPr>
        <sz val="11"/>
        <rFont val="Arial"/>
        <family val="2"/>
      </rPr>
      <t xml:space="preserve"> in 1'000</t>
    </r>
  </si>
  <si>
    <r>
      <t xml:space="preserve">– Anzahl Spitaltage </t>
    </r>
    <r>
      <rPr>
        <vertAlign val="superscript"/>
        <sz val="11"/>
        <rFont val="Arial"/>
        <family val="2"/>
      </rPr>
      <t>5</t>
    </r>
    <r>
      <rPr>
        <sz val="11"/>
        <rFont val="Arial"/>
        <family val="2"/>
      </rPr>
      <t xml:space="preserve"> in 1'000</t>
    </r>
  </si>
  <si>
    <t>5) Siehe Definition in der Tabelle 9.09.</t>
  </si>
  <si>
    <r>
      <t xml:space="preserve">T 2.18  Bruttoleistungen </t>
    </r>
    <r>
      <rPr>
        <b/>
        <vertAlign val="superscript"/>
        <sz val="12"/>
        <rFont val="Arial"/>
        <family val="2"/>
      </rPr>
      <t>1</t>
    </r>
    <r>
      <rPr>
        <b/>
        <sz val="12"/>
        <rFont val="Arial"/>
        <family val="2"/>
      </rPr>
      <t xml:space="preserve"> in Franken je versicherte Person nach Kostengruppe ab 2003 </t>
    </r>
    <r>
      <rPr>
        <b/>
        <vertAlign val="superscript"/>
        <sz val="12"/>
        <rFont val="Arial"/>
        <family val="2"/>
      </rPr>
      <t>2</t>
    </r>
  </si>
  <si>
    <t>3) Vgl. Fussnote 3) von Tabelle 2.16.</t>
  </si>
  <si>
    <t xml:space="preserve"> als «ambulante Kosten» gelten alle übrigen Kategorien.</t>
  </si>
  <si>
    <r>
      <t>Verbindlichkeiten Dritte</t>
    </r>
    <r>
      <rPr>
        <sz val="11"/>
        <color indexed="10"/>
        <rFont val="Arial"/>
        <family val="2"/>
      </rPr>
      <t>r</t>
    </r>
  </si>
  <si>
    <r>
      <t xml:space="preserve">- Zur </t>
    </r>
    <r>
      <rPr>
        <sz val="8"/>
        <color indexed="10"/>
        <rFont val="Arial"/>
        <family val="2"/>
      </rPr>
      <t>Abweichung</t>
    </r>
    <r>
      <rPr>
        <sz val="8"/>
        <rFont val="Arial"/>
        <family val="2"/>
      </rPr>
      <t xml:space="preserve"> der geschätzten Werte </t>
    </r>
    <r>
      <rPr>
        <b/>
        <sz val="8"/>
        <rFont val="Arial"/>
        <family val="2"/>
      </rPr>
      <t>je versicherte Person</t>
    </r>
    <r>
      <rPr>
        <sz val="8"/>
        <rFont val="Arial"/>
        <family val="2"/>
      </rPr>
      <t>: Sie berechnen sich, indem der absolute Wert der Abweichung zwischen</t>
    </r>
  </si>
  <si>
    <r>
      <t xml:space="preserve">   Das Zeichen der </t>
    </r>
    <r>
      <rPr>
        <sz val="8"/>
        <color indexed="10"/>
        <rFont val="Arial"/>
        <family val="2"/>
      </rPr>
      <t>Abweichung</t>
    </r>
    <r>
      <rPr>
        <sz val="8"/>
        <rFont val="Arial"/>
        <family val="2"/>
      </rPr>
      <t xml:space="preserve"> pro versicherte Person richtet sich nach folgendem Schema:</t>
    </r>
  </si>
  <si>
    <r>
      <t xml:space="preserve">Die Tabelle stellt eine hypothetische </t>
    </r>
    <r>
      <rPr>
        <sz val="10"/>
        <color indexed="10"/>
        <rFont val="Arial"/>
        <family val="2"/>
      </rPr>
      <t>Auf</t>
    </r>
    <r>
      <rPr>
        <sz val="10"/>
        <rFont val="Arial"/>
        <family val="2"/>
      </rPr>
      <t xml:space="preserve">teilung der für das Jahr 2015 genehmigten Prämien für das Grundmodell </t>
    </r>
  </si>
  <si>
    <r>
      <t>Die Tabelle stellt eine hypothetische</t>
    </r>
    <r>
      <rPr>
        <sz val="10"/>
        <color indexed="10"/>
        <rFont val="Arial"/>
        <family val="2"/>
      </rPr>
      <t xml:space="preserve"> Auf</t>
    </r>
    <r>
      <rPr>
        <sz val="10"/>
        <rFont val="Arial"/>
        <family val="2"/>
      </rPr>
      <t xml:space="preserve">teilung der für das Jahr 2015 genehmigten Prämien für das Grundmodell </t>
    </r>
  </si>
  <si>
    <t>in Fr. pro versi-</t>
  </si>
  <si>
    <t>cherte Person</t>
  </si>
  <si>
    <r>
      <t xml:space="preserve">Kostenbeteiligung der Versicherten  </t>
    </r>
    <r>
      <rPr>
        <vertAlign val="superscript"/>
        <sz val="11"/>
        <rFont val="Arial"/>
        <family val="2"/>
      </rPr>
      <t>4</t>
    </r>
  </si>
  <si>
    <r>
      <t xml:space="preserve">Abschreibungen auf Kostenbeteiligung  </t>
    </r>
    <r>
      <rPr>
        <vertAlign val="superscript"/>
        <sz val="11"/>
        <rFont val="Arial"/>
        <family val="2"/>
      </rPr>
      <t>4</t>
    </r>
  </si>
  <si>
    <t>4) Kostenbeteiligung = Kostenbeteiligung der Versicherten  + Abschr. auf Kobe   (vgl. T 2.10).</t>
  </si>
  <si>
    <r>
      <t xml:space="preserve"> (z.B. HMO)</t>
    </r>
    <r>
      <rPr>
        <sz val="11"/>
        <color indexed="10"/>
        <rFont val="Arial"/>
        <family val="2"/>
      </rPr>
      <t xml:space="preserve"> </t>
    </r>
    <r>
      <rPr>
        <vertAlign val="superscript"/>
        <sz val="11"/>
        <color indexed="10"/>
        <rFont val="Arial"/>
        <family val="2"/>
      </rPr>
      <t>1</t>
    </r>
  </si>
  <si>
    <r>
      <t xml:space="preserve"> (z.B. HMO) </t>
    </r>
    <r>
      <rPr>
        <vertAlign val="superscript"/>
        <sz val="11"/>
        <rFont val="Arial"/>
        <family val="2"/>
      </rPr>
      <t>4</t>
    </r>
  </si>
  <si>
    <r>
      <t xml:space="preserve">T 2.02  Kostenbeteiligung </t>
    </r>
    <r>
      <rPr>
        <b/>
        <vertAlign val="superscript"/>
        <sz val="12"/>
        <rFont val="Arial"/>
        <family val="2"/>
      </rPr>
      <t>1</t>
    </r>
    <r>
      <rPr>
        <b/>
        <sz val="12"/>
        <rFont val="Arial"/>
        <family val="2"/>
      </rPr>
      <t xml:space="preserve"> je versicherte Person in Franken nach Versicherungsform </t>
    </r>
    <r>
      <rPr>
        <b/>
        <sz val="12"/>
        <rFont val="Arial"/>
        <family val="2"/>
      </rPr>
      <t>ab 2003</t>
    </r>
  </si>
  <si>
    <t>4) Vgl. Fussnote 1) von Tabelle 2.01.</t>
  </si>
  <si>
    <r>
      <t xml:space="preserve">T 2.14  Bruttoleistungen </t>
    </r>
    <r>
      <rPr>
        <b/>
        <vertAlign val="superscript"/>
        <sz val="12"/>
        <rFont val="Arial"/>
        <family val="2"/>
      </rPr>
      <t>1</t>
    </r>
    <r>
      <rPr>
        <b/>
        <sz val="12"/>
        <rFont val="Arial"/>
        <family val="2"/>
      </rPr>
      <t xml:space="preserve"> in Mio. Franken nach Versicherungsform </t>
    </r>
    <r>
      <rPr>
        <b/>
        <sz val="12"/>
        <rFont val="Arial"/>
        <family val="2"/>
      </rPr>
      <t>ab 2003</t>
    </r>
  </si>
  <si>
    <r>
      <t xml:space="preserve"> (z.B. HMO) </t>
    </r>
    <r>
      <rPr>
        <vertAlign val="superscript"/>
        <sz val="11"/>
        <rFont val="Arial"/>
        <family val="2"/>
      </rPr>
      <t>2</t>
    </r>
  </si>
  <si>
    <t>2) Vgl. Fussnote 1) von Tabelle 2.01.</t>
  </si>
  <si>
    <r>
      <t xml:space="preserve">T 2.15  Bruttoleistungen </t>
    </r>
    <r>
      <rPr>
        <b/>
        <vertAlign val="superscript"/>
        <sz val="12"/>
        <rFont val="Arial"/>
        <family val="2"/>
      </rPr>
      <t>1</t>
    </r>
    <r>
      <rPr>
        <b/>
        <sz val="12"/>
        <rFont val="Arial"/>
        <family val="2"/>
      </rPr>
      <t xml:space="preserve"> in Franken je versicherte Person nach Versicherungsform </t>
    </r>
    <r>
      <rPr>
        <b/>
        <sz val="12"/>
        <rFont val="Arial"/>
        <family val="2"/>
      </rPr>
      <t>ab 2003</t>
    </r>
  </si>
  <si>
    <r>
      <t xml:space="preserve"> (z.B. HMO) </t>
    </r>
    <r>
      <rPr>
        <vertAlign val="superscript"/>
        <sz val="11"/>
        <color indexed="10"/>
        <rFont val="Arial"/>
        <family val="2"/>
      </rPr>
      <t>2</t>
    </r>
  </si>
  <si>
    <r>
      <t xml:space="preserve">T 2.21 Nettoleistungen </t>
    </r>
    <r>
      <rPr>
        <b/>
        <vertAlign val="superscript"/>
        <sz val="12"/>
        <rFont val="Arial"/>
        <family val="2"/>
      </rPr>
      <t>1</t>
    </r>
    <r>
      <rPr>
        <b/>
        <sz val="12"/>
        <rFont val="Arial"/>
        <family val="2"/>
      </rPr>
      <t xml:space="preserve">  in Franken je versicherte Person nach Versicherungsform </t>
    </r>
    <r>
      <rPr>
        <b/>
        <sz val="12"/>
        <rFont val="Arial"/>
        <family val="2"/>
      </rPr>
      <t>ab 2003</t>
    </r>
  </si>
  <si>
    <r>
      <t xml:space="preserve">Versicherungsform </t>
    </r>
    <r>
      <rPr>
        <vertAlign val="superscript"/>
        <sz val="11"/>
        <rFont val="Arial"/>
        <family val="2"/>
      </rPr>
      <t>2</t>
    </r>
  </si>
  <si>
    <r>
      <t xml:space="preserve">T 2.22  Bruttoleistungen </t>
    </r>
    <r>
      <rPr>
        <b/>
        <vertAlign val="superscript"/>
        <sz val="12"/>
        <rFont val="Arial"/>
        <family val="2"/>
      </rPr>
      <t>1</t>
    </r>
    <r>
      <rPr>
        <b/>
        <sz val="12"/>
        <rFont val="Arial"/>
        <family val="2"/>
      </rPr>
      <t xml:space="preserve">  in Franken nach Versicherungsform</t>
    </r>
  </si>
  <si>
    <t>2) Die Zuteilung der Versicherten nach Versicherungsform erfolgt derart, dass die Versicherten der Kategorie „andere Versicherungsformen“</t>
  </si>
  <si>
    <t xml:space="preserve">   (HMO, Hausarztmodell…) zugewiesen werden, falls sie eine Kombination dieser Form mit ordentlicher/wählbarer Franchise aufweisen.</t>
  </si>
  <si>
    <r>
      <t xml:space="preserve">Zusätzliche Angaben: nach Altersgruppe </t>
    </r>
    <r>
      <rPr>
        <b/>
        <vertAlign val="superscript"/>
        <sz val="12"/>
        <rFont val="Arial"/>
        <family val="2"/>
      </rPr>
      <t>3</t>
    </r>
    <r>
      <rPr>
        <b/>
        <sz val="12"/>
        <rFont val="Arial"/>
        <family val="2"/>
      </rPr>
      <t xml:space="preserve"> </t>
    </r>
  </si>
  <si>
    <t>3) Zusätzliche Angaben nach Altersgruppe pro Kanton: T 3.04 und www.bag.admin.ch/pyramiden</t>
  </si>
  <si>
    <t>2) Vgl. Fussnote 2) von Tabelle 3.02.</t>
  </si>
  <si>
    <t>30.1.15:1.01,2.01,2.19,3.02,3.05,T5,8.10</t>
  </si>
  <si>
    <r>
      <t>T 11.04 Versichertenbestand und Wohnbevölkerung</t>
    </r>
    <r>
      <rPr>
        <b/>
        <vertAlign val="superscript"/>
        <sz val="12"/>
        <rFont val="Arial"/>
        <family val="2"/>
      </rPr>
      <t xml:space="preserve"> </t>
    </r>
    <r>
      <rPr>
        <b/>
        <sz val="12"/>
        <rFont val="Arial"/>
        <family val="2"/>
      </rPr>
      <t>ab 1996</t>
    </r>
  </si>
  <si>
    <t>Durchschnittlicher</t>
  </si>
  <si>
    <t xml:space="preserve"> per 1.1</t>
  </si>
  <si>
    <t xml:space="preserve"> per 31.12</t>
  </si>
  <si>
    <t>Wohnbevölke-</t>
  </si>
  <si>
    <r>
      <t xml:space="preserve">EF </t>
    </r>
    <r>
      <rPr>
        <vertAlign val="superscript"/>
        <sz val="11"/>
        <rFont val="Arial"/>
        <family val="2"/>
      </rPr>
      <t>1</t>
    </r>
  </si>
  <si>
    <r>
      <t xml:space="preserve">RA </t>
    </r>
    <r>
      <rPr>
        <vertAlign val="superscript"/>
        <sz val="11"/>
        <rFont val="Arial"/>
        <family val="2"/>
      </rPr>
      <t>2</t>
    </r>
  </si>
  <si>
    <r>
      <t xml:space="preserve">EF </t>
    </r>
    <r>
      <rPr>
        <vertAlign val="superscript"/>
        <sz val="11"/>
        <rFont val="Arial"/>
        <family val="2"/>
      </rPr>
      <t>3</t>
    </r>
  </si>
  <si>
    <r>
      <t xml:space="preserve">rung BFS </t>
    </r>
    <r>
      <rPr>
        <vertAlign val="superscript"/>
        <sz val="11"/>
        <rFont val="Arial"/>
        <family val="2"/>
      </rPr>
      <t>4</t>
    </r>
  </si>
  <si>
    <t>1) Durchschnittlicher Versichertenbestand im Formular EF1345: Stand aller Monate zusammengezählt und geteilt durch 12.</t>
  </si>
  <si>
    <t xml:space="preserve">2) Für die Zahl der Versicherten, die im Risikoausgleich berücksichtigt werden, gilt eine andere Definition als für die </t>
  </si>
  <si>
    <r>
      <t xml:space="preserve">3) Versichertenbestand per 1.1 und per 31.12. im Formular EF1345. </t>
    </r>
    <r>
      <rPr>
        <i/>
        <sz val="10"/>
        <rFont val="Arial"/>
        <family val="2"/>
      </rPr>
      <t>Wert 2011 revidiert (2/14).</t>
    </r>
  </si>
  <si>
    <t>4) Durchschnittliche Wohnbevölkerung in einem bestimmten Gebiet nach wirtschaftlichem Wohnsitz (BFS).</t>
  </si>
  <si>
    <t xml:space="preserve">Quelle:  T 9.01, 11.01, 10.04, 11.12, 11.06 </t>
  </si>
  <si>
    <t>T 11.12 Versichertenbestand KVG nach Geschlecht 2012, 2013 und 2014</t>
  </si>
  <si>
    <t>a. Versichertenbestand am 1.1.14</t>
  </si>
  <si>
    <r>
      <t xml:space="preserve">Total </t>
    </r>
    <r>
      <rPr>
        <b/>
        <vertAlign val="superscript"/>
        <sz val="11"/>
        <rFont val="Arial"/>
        <family val="2"/>
      </rPr>
      <t>1</t>
    </r>
  </si>
  <si>
    <t>L</t>
  </si>
  <si>
    <r>
      <t xml:space="preserve">* davon Eintritte </t>
    </r>
    <r>
      <rPr>
        <i/>
        <vertAlign val="superscript"/>
        <sz val="11"/>
        <rFont val="Arial"/>
        <family val="2"/>
      </rPr>
      <t>2</t>
    </r>
    <r>
      <rPr>
        <i/>
        <sz val="11"/>
        <rFont val="Arial"/>
        <family val="2"/>
      </rPr>
      <t xml:space="preserve"> am 1.1.14</t>
    </r>
  </si>
  <si>
    <t>K</t>
  </si>
  <si>
    <t>b. Versichertenbestand am 31.12.12</t>
  </si>
  <si>
    <t>* davon Austritte am 31.12.12</t>
  </si>
  <si>
    <t>c. Versichertenbestand am 31.12.13</t>
  </si>
  <si>
    <t>I</t>
  </si>
  <si>
    <t>d. Versichertenbestand am 1.1.13</t>
  </si>
  <si>
    <t xml:space="preserve">Siehe Grafik G 11d    ↑   </t>
  </si>
  <si>
    <t>Quelle: EF 3.8.2 (a), T 11.12 c STAT 2012 oder EF 3.1 2012 (A), 3.8.5 (B), EF 3.8.6 (I), T 11.12 a STAT 2012 (D)</t>
  </si>
  <si>
    <t xml:space="preserve">1) Versichertenbestand KVG, Personen mit Wohnsitz in der Schweiz und schweizerischer Prämie </t>
  </si>
  <si>
    <t>(inkl. Versicherte gemäss Art. 4 und 5 KVV).</t>
  </si>
  <si>
    <r>
      <t>2) K:</t>
    </r>
    <r>
      <rPr>
        <i/>
        <sz val="10"/>
        <rFont val="Arial"/>
        <family val="2"/>
      </rPr>
      <t xml:space="preserve"> Schätzungen BAG.</t>
    </r>
  </si>
  <si>
    <t xml:space="preserve">T 11.10  Versicherteneintritte und Versichertenaustritte KVG nach Alter und Geschlecht </t>
  </si>
  <si>
    <t xml:space="preserve">a. Versicherteneintritte </t>
  </si>
  <si>
    <t xml:space="preserve">In % des durch- </t>
  </si>
  <si>
    <t>schnittlichen Ver-</t>
  </si>
  <si>
    <t>sichertenbestandes</t>
  </si>
  <si>
    <t>E</t>
  </si>
  <si>
    <t>* davon Neugeborene</t>
  </si>
  <si>
    <t>F</t>
  </si>
  <si>
    <r>
      <t xml:space="preserve">* davon Eintritte </t>
    </r>
    <r>
      <rPr>
        <i/>
        <vertAlign val="superscript"/>
        <sz val="11"/>
        <rFont val="Arial"/>
        <family val="2"/>
      </rPr>
      <t>1</t>
    </r>
    <r>
      <rPr>
        <i/>
        <sz val="11"/>
        <rFont val="Arial"/>
        <family val="2"/>
      </rPr>
      <t xml:space="preserve"> am 1.1.13</t>
    </r>
  </si>
  <si>
    <t xml:space="preserve">b. Versichertenaustritte </t>
  </si>
  <si>
    <t>G</t>
  </si>
  <si>
    <t>* davon gestorben</t>
  </si>
  <si>
    <t>H</t>
  </si>
  <si>
    <r>
      <t xml:space="preserve">* davon Austritte </t>
    </r>
    <r>
      <rPr>
        <i/>
        <vertAlign val="superscript"/>
        <sz val="11"/>
        <rFont val="Arial"/>
        <family val="2"/>
      </rPr>
      <t>1</t>
    </r>
    <r>
      <rPr>
        <i/>
        <sz val="11"/>
        <rFont val="Arial"/>
        <family val="2"/>
      </rPr>
      <t xml:space="preserve"> am 31.12.13</t>
    </r>
  </si>
  <si>
    <t>J</t>
  </si>
  <si>
    <t xml:space="preserve">Siehe Grafik G 11d     ↑   </t>
  </si>
  <si>
    <t>Quelle: Formular EF 3.8.3 (a), 3.8.4 (b) und T 11.13</t>
  </si>
  <si>
    <r>
      <rPr>
        <sz val="10"/>
        <rFont val="Arial"/>
        <family val="2"/>
      </rPr>
      <t>1) C und J:</t>
    </r>
    <r>
      <rPr>
        <i/>
        <sz val="10"/>
        <rFont val="Arial"/>
        <family val="2"/>
      </rPr>
      <t xml:space="preserve"> Schätzungen BAG.</t>
    </r>
  </si>
  <si>
    <t>Datenstand: 23.10.14</t>
  </si>
  <si>
    <t>T 9.06 Index der Krankenpflegekosten, der Krankenversicherungsausgaben der Versicherten sowie der Löhne ab 1996  (1996 = 100)</t>
  </si>
  <si>
    <t>Pflege-</t>
  </si>
  <si>
    <t>Gesundheits-</t>
  </si>
  <si>
    <t>Ausgaben der</t>
  </si>
  <si>
    <t>OKP-</t>
  </si>
  <si>
    <t>BFS-Lohn-</t>
  </si>
  <si>
    <t>kosten-</t>
  </si>
  <si>
    <t>wesen Kosten-</t>
  </si>
  <si>
    <t>Versicherten</t>
  </si>
  <si>
    <r>
      <t xml:space="preserve">index </t>
    </r>
    <r>
      <rPr>
        <vertAlign val="superscript"/>
        <sz val="11"/>
        <rFont val="Arial"/>
        <family val="2"/>
      </rPr>
      <t>6</t>
    </r>
  </si>
  <si>
    <t>index</t>
  </si>
  <si>
    <r>
      <t xml:space="preserve">index </t>
    </r>
    <r>
      <rPr>
        <vertAlign val="superscript"/>
        <sz val="11"/>
        <rFont val="Arial"/>
        <family val="2"/>
      </rPr>
      <t>2</t>
    </r>
  </si>
  <si>
    <t>in der OKP</t>
  </si>
  <si>
    <t>OKP</t>
  </si>
  <si>
    <t>(nominal)</t>
  </si>
  <si>
    <t>Index</t>
  </si>
  <si>
    <r>
      <t xml:space="preserve">OKP </t>
    </r>
    <r>
      <rPr>
        <vertAlign val="superscript"/>
        <sz val="11"/>
        <rFont val="Arial"/>
        <family val="2"/>
      </rPr>
      <t>1</t>
    </r>
  </si>
  <si>
    <r>
      <t xml:space="preserve">Index </t>
    </r>
    <r>
      <rPr>
        <vertAlign val="superscript"/>
        <sz val="11"/>
        <rFont val="Arial"/>
        <family val="2"/>
      </rPr>
      <t>3</t>
    </r>
  </si>
  <si>
    <r>
      <t xml:space="preserve">Index </t>
    </r>
    <r>
      <rPr>
        <vertAlign val="superscript"/>
        <sz val="11"/>
        <rFont val="Arial"/>
        <family val="2"/>
      </rPr>
      <t>4</t>
    </r>
  </si>
  <si>
    <r>
      <t xml:space="preserve">Index </t>
    </r>
    <r>
      <rPr>
        <vertAlign val="superscript"/>
        <sz val="11"/>
        <rFont val="Arial"/>
        <family val="2"/>
      </rPr>
      <t>5</t>
    </r>
  </si>
  <si>
    <r>
      <t xml:space="preserve">OKP </t>
    </r>
    <r>
      <rPr>
        <vertAlign val="superscript"/>
        <sz val="11"/>
        <rFont val="Arial"/>
        <family val="2"/>
      </rPr>
      <t>7</t>
    </r>
  </si>
  <si>
    <t>1) Quelle: T 2.15. Entwicklung der Bruttoleistungen pro versicherte Person (erfasst mit der Kostenbeteiligung der Versicherten).</t>
  </si>
  <si>
    <r>
      <t xml:space="preserve">2) Quelle: T 9.15. Entwicklung pro Einwohner. </t>
    </r>
    <r>
      <rPr>
        <i/>
        <sz val="10"/>
        <rFont val="Arial"/>
        <family val="2"/>
      </rPr>
      <t>2013: Daten später verfügbar.</t>
    </r>
  </si>
  <si>
    <t>3) Quelle: T 9.07. OKP Ausgaben = Prämien + Kostenbeteiligung (berücksichtigt nur die beim Versicherer eingereichten Rechnungen).</t>
  </si>
  <si>
    <t>4) Quelle: T 3.05. Entwicklung pro versicherte Person für alle Versicherungsmodelle.</t>
  </si>
  <si>
    <t>5) Quelle: T 2.02. Berücksichtigt nur die bei dem Versicherer eingereichten Rechnungen.</t>
  </si>
  <si>
    <t>6) Quelle: BFS, Sektion Löhne und Arbeitsbedingungen.</t>
  </si>
  <si>
    <t>7) Quelle: T 2.21. Entwicklung der Bruttoleistungen pro versicherte Person (erfasst ohne die Kostenbeteiligung der Versicherten).</t>
  </si>
  <si>
    <t>Datenstand: 30.3.15</t>
  </si>
  <si>
    <r>
      <t xml:space="preserve">T 9.03 KVG-Versicherer </t>
    </r>
    <r>
      <rPr>
        <b/>
        <vertAlign val="superscript"/>
        <sz val="12"/>
        <rFont val="Arial"/>
        <family val="2"/>
      </rPr>
      <t>1</t>
    </r>
    <r>
      <rPr>
        <b/>
        <sz val="12"/>
        <rFont val="Arial"/>
        <family val="2"/>
      </rPr>
      <t xml:space="preserve"> : Spitalzusatzversicherungen seit 2003 in % der OKP-Versicherten</t>
    </r>
  </si>
  <si>
    <r>
      <t xml:space="preserve">Versicherte mit Grundversicherung </t>
    </r>
    <r>
      <rPr>
        <sz val="11"/>
        <rFont val="Arial"/>
        <family val="2"/>
      </rPr>
      <t xml:space="preserve">(bei dem selben KVG-Versicherer) </t>
    </r>
    <r>
      <rPr>
        <vertAlign val="superscript"/>
        <sz val="11"/>
        <rFont val="Arial"/>
        <family val="2"/>
      </rPr>
      <t>2</t>
    </r>
  </si>
  <si>
    <r>
      <t xml:space="preserve">Versicherte ohne Grundversicherung </t>
    </r>
    <r>
      <rPr>
        <sz val="11"/>
        <rFont val="Arial"/>
        <family val="2"/>
      </rPr>
      <t xml:space="preserve">(bei dem selben KVG-Versicherer) </t>
    </r>
    <r>
      <rPr>
        <vertAlign val="superscript"/>
        <sz val="11"/>
        <rFont val="Arial"/>
        <family val="2"/>
      </rPr>
      <t>4</t>
    </r>
  </si>
  <si>
    <r>
      <t xml:space="preserve">OKP </t>
    </r>
    <r>
      <rPr>
        <vertAlign val="superscript"/>
        <sz val="11"/>
        <rFont val="Arial"/>
        <family val="2"/>
      </rPr>
      <t>3</t>
    </r>
  </si>
  <si>
    <t>Besondere</t>
  </si>
  <si>
    <t>per 31.12</t>
  </si>
  <si>
    <r>
      <t xml:space="preserve">Angebote </t>
    </r>
    <r>
      <rPr>
        <vertAlign val="superscript"/>
        <sz val="11"/>
        <rFont val="Arial"/>
        <family val="2"/>
      </rPr>
      <t>5</t>
    </r>
  </si>
  <si>
    <t>ganze CH</t>
  </si>
  <si>
    <t>1) KVG-Versicherer: nur Spitalzusatzversicherungen, die den Versicherten von den KVG-Versicherern angeboten werden,</t>
  </si>
  <si>
    <t xml:space="preserve">   zum Teil über Drittversicherer (Gesellschaften, die dem VVG unterstellt sind).</t>
  </si>
  <si>
    <t xml:space="preserve">   Angaben der Privatversicherer: seit 2008 publiziert die FINMA keine Versichertenbestände mehr. Die Angaben von BAG/FINMA zu den Jahren 1996 -&gt; 2007 sind in der KV-Statistik BAG 2008 ersichtlich.</t>
  </si>
  <si>
    <t xml:space="preserve">   Folglich weisen die in dieser Tabelle enthaltenen Prozentwerte nur einen Teil der Versicherten aus, die eine Spitalzusatzversicherung abgeschlossen haben.</t>
  </si>
  <si>
    <t xml:space="preserve">   Kantonale Angaben zu den Spitalzusatzversicherungen stehen nicht zur Verfügung.</t>
  </si>
  <si>
    <t>2) Quelle: Bundesamt für Gesundheit (BAG), Formular EF3.7.3.</t>
  </si>
  <si>
    <t xml:space="preserve">   Es werden nur Versicherte berücksichtigt, welche die Zusatzversicherung beim gleichen Versicherer abgeschlossen haben wie die obligatorische Krankenpflegeversicherung.</t>
  </si>
  <si>
    <t>3) Quelle: T 11.06.</t>
  </si>
  <si>
    <t>4) Quelle: Bundesamt für Gesundheit (BAG), Formular EF3.7.3.</t>
  </si>
  <si>
    <t xml:space="preserve">   Nur Versicherte, welche die Zusatzversicherung bei einem anderen Versicherer abgeschlossen haben als die obligatorische Krankenpflegeversicherung.</t>
  </si>
  <si>
    <t>5) Besondere Versicherungsangebote :</t>
  </si>
  <si>
    <t xml:space="preserve">- Flex-Versicherung, bei der Versicherte von Fall zu Fall die Abteilung, in der sie behandelt werden wollen, und die dazu gehörige Franchise, </t>
  </si>
  <si>
    <t xml:space="preserve">  bzw. Kostenbeteiligung für die halbprivate oder private Abteilung wählen können.</t>
  </si>
  <si>
    <t>- Spitalzimmerversicherung für die freie Wahl von Ein- oder Zweibettzimmern in der allgemeinen Spitalabteilung.</t>
  </si>
  <si>
    <t>- Taggeldversicherung im Zusammenhang mit Spitalaufenthalten, bei denen der Versicherte einen fixen Betrag pro Spitaltag erhält.</t>
  </si>
  <si>
    <t>- Behandlungskostenversicherung bei Spitalaufenthalten mit einem definierten Maximalbetrag pro Jahr.</t>
  </si>
  <si>
    <t>T 9.02  Entwicklung der Wohnbevölkerung, der Ärzte mit Praxistätigkeit und der Apotheken ab 2003</t>
  </si>
  <si>
    <t xml:space="preserve"> Ärzte-</t>
  </si>
  <si>
    <r>
      <t xml:space="preserve">Veränderung </t>
    </r>
    <r>
      <rPr>
        <vertAlign val="superscript"/>
        <sz val="11"/>
        <rFont val="Arial"/>
        <family val="2"/>
      </rPr>
      <t>3</t>
    </r>
  </si>
  <si>
    <t>Apotheken-</t>
  </si>
  <si>
    <r>
      <t xml:space="preserve">Ärzte </t>
    </r>
    <r>
      <rPr>
        <vertAlign val="superscript"/>
        <sz val="11"/>
        <rFont val="Arial"/>
        <family val="2"/>
      </rPr>
      <t>1</t>
    </r>
  </si>
  <si>
    <r>
      <t xml:space="preserve">dichte </t>
    </r>
    <r>
      <rPr>
        <vertAlign val="superscript"/>
        <sz val="11"/>
        <rFont val="Arial"/>
        <family val="2"/>
      </rPr>
      <t>2</t>
    </r>
  </si>
  <si>
    <r>
      <t xml:space="preserve">Apotheken </t>
    </r>
    <r>
      <rPr>
        <vertAlign val="superscript"/>
        <sz val="11"/>
        <rFont val="Arial"/>
        <family val="2"/>
      </rPr>
      <t>1</t>
    </r>
  </si>
  <si>
    <r>
      <t xml:space="preserve">dichte </t>
    </r>
    <r>
      <rPr>
        <vertAlign val="superscript"/>
        <sz val="11"/>
        <rFont val="Arial"/>
        <family val="2"/>
      </rPr>
      <t>4</t>
    </r>
  </si>
  <si>
    <r>
      <t xml:space="preserve">völkerung </t>
    </r>
    <r>
      <rPr>
        <vertAlign val="superscript"/>
        <sz val="11"/>
        <rFont val="Arial"/>
        <family val="2"/>
      </rPr>
      <t>1</t>
    </r>
  </si>
  <si>
    <t>1) Quelle: T 9.01</t>
  </si>
  <si>
    <t xml:space="preserve">    Ab 2008 ohne die Ärzte, die weder im ambulanten noch im stationären Sektor arbeiten (Versicherungen, Bundesverwaltung usw.).</t>
  </si>
  <si>
    <t>2) Anzahl Ärzte mit Praxistätigkeit pro 1'000 Einwohner.</t>
  </si>
  <si>
    <t>3) Veränderung der Dichte.</t>
  </si>
  <si>
    <t>4) Anzahl Apotheken (öffentliche Apotheken) pro 10'000 Einwohner.</t>
  </si>
  <si>
    <t xml:space="preserve">T 9.01  Wohnbevölkerung, Ärzte mit Praxistätigkeit und Apotheken nach Kanton </t>
  </si>
  <si>
    <t>Ärzte:</t>
  </si>
  <si>
    <t>Medika-</t>
  </si>
  <si>
    <t>Allgemein-</t>
  </si>
  <si>
    <t>Spezialärzte</t>
  </si>
  <si>
    <t>Ärzte mit</t>
  </si>
  <si>
    <r>
      <t xml:space="preserve">dichte </t>
    </r>
    <r>
      <rPr>
        <vertAlign val="superscript"/>
        <sz val="11"/>
        <rFont val="Arial"/>
        <family val="2"/>
      </rPr>
      <t>5</t>
    </r>
  </si>
  <si>
    <r>
      <t>Apotheken</t>
    </r>
    <r>
      <rPr>
        <vertAlign val="superscript"/>
        <sz val="11"/>
        <rFont val="Arial"/>
        <family val="2"/>
      </rPr>
      <t xml:space="preserve"> 6</t>
    </r>
  </si>
  <si>
    <t>menten-</t>
  </si>
  <si>
    <r>
      <t xml:space="preserve">dichte </t>
    </r>
    <r>
      <rPr>
        <vertAlign val="superscript"/>
        <sz val="11"/>
        <rFont val="Arial"/>
        <family val="2"/>
      </rPr>
      <t>8</t>
    </r>
  </si>
  <si>
    <r>
      <t xml:space="preserve">praktiker </t>
    </r>
    <r>
      <rPr>
        <vertAlign val="superscript"/>
        <sz val="11"/>
        <rFont val="Arial"/>
        <family val="2"/>
      </rPr>
      <t>2</t>
    </r>
  </si>
  <si>
    <r>
      <t xml:space="preserve">FMH </t>
    </r>
    <r>
      <rPr>
        <vertAlign val="superscript"/>
        <sz val="11"/>
        <rFont val="Arial"/>
        <family val="2"/>
      </rPr>
      <t>3</t>
    </r>
  </si>
  <si>
    <t>Praxistä-</t>
  </si>
  <si>
    <r>
      <t xml:space="preserve">verkauf </t>
    </r>
    <r>
      <rPr>
        <vertAlign val="superscript"/>
        <sz val="11"/>
        <rFont val="Arial"/>
        <family val="2"/>
      </rPr>
      <t>7</t>
    </r>
  </si>
  <si>
    <r>
      <t xml:space="preserve">tigkeit </t>
    </r>
    <r>
      <rPr>
        <vertAlign val="superscript"/>
        <sz val="11"/>
        <rFont val="Arial"/>
        <family val="2"/>
      </rPr>
      <t>4</t>
    </r>
  </si>
  <si>
    <t>1) Durchschnittliche Wohnbevölkerung in einem bestimmten Gebiet nach wirtschaftlichem Wohnsitz.</t>
  </si>
  <si>
    <t xml:space="preserve">    Quelle: BFS Sektion Bevölkerungsentwicklung.</t>
  </si>
  <si>
    <t>2) Summe der Ärzte (mit Praxistätigkeit) mit Facharzttitel in Allgemeinmedizin und der Ärzte (mit Praxistätigkeit) ohne Facharzttitel.</t>
  </si>
  <si>
    <t xml:space="preserve">    Inklusiv Fachärzte für innere Medizin, die als Grundversorger tätig sind.</t>
  </si>
  <si>
    <t>3) Ohne Fachärzte für innere Medizin, die als Grundversorger tätig sind.</t>
  </si>
  <si>
    <t>4) Quelle: FMH, Ärztestatistik.</t>
  </si>
  <si>
    <t>5) Anzahl Ärzte mit Praxistätigkeit pro 1'000 Einwohner.</t>
  </si>
  <si>
    <t>6) Quelle: pharmaSuisse, Schweizerischer Apothekerverein SAV.</t>
  </si>
  <si>
    <t>7) Selbstdispensation (Medikamentenverkauf durch Ärzte): 1: flächendeckend im Kanton / 2: Mischformen / 3: reines Rezeptursystem.</t>
  </si>
  <si>
    <t xml:space="preserve">    Quelle: pharmaSuisse, Schweizerischer Apothekerverein SAV.</t>
  </si>
  <si>
    <t>8) Anzahl Apotheken (öffentliche Apotheken) pro 10'000 Einwohner.</t>
  </si>
  <si>
    <r>
      <t xml:space="preserve">Prämien </t>
    </r>
    <r>
      <rPr>
        <b/>
        <vertAlign val="superscript"/>
        <sz val="11"/>
        <rFont val="Arial"/>
        <family val="2"/>
      </rPr>
      <t>4</t>
    </r>
  </si>
  <si>
    <r>
      <t xml:space="preserve">Nettoleistungen </t>
    </r>
    <r>
      <rPr>
        <b/>
        <vertAlign val="superscript"/>
        <sz val="11"/>
        <rFont val="Arial"/>
        <family val="2"/>
      </rPr>
      <t>4</t>
    </r>
  </si>
  <si>
    <t>KVG-Versicherer</t>
  </si>
  <si>
    <t>Privat-versicherer</t>
  </si>
  <si>
    <t>freiwillige</t>
  </si>
  <si>
    <r>
      <t xml:space="preserve">VVG </t>
    </r>
    <r>
      <rPr>
        <vertAlign val="superscript"/>
        <sz val="11"/>
        <rFont val="Arial"/>
        <family val="2"/>
      </rPr>
      <t>2</t>
    </r>
  </si>
  <si>
    <r>
      <t xml:space="preserve">VVG </t>
    </r>
    <r>
      <rPr>
        <vertAlign val="superscript"/>
        <sz val="11"/>
        <rFont val="Arial"/>
        <family val="2"/>
      </rPr>
      <t>3</t>
    </r>
  </si>
  <si>
    <r>
      <t xml:space="preserve">KVG </t>
    </r>
    <r>
      <rPr>
        <vertAlign val="superscript"/>
        <sz val="11"/>
        <rFont val="Arial"/>
        <family val="2"/>
      </rPr>
      <t>1</t>
    </r>
  </si>
  <si>
    <t>1) Quelle: T 6.04 Bruttoprämien [3000+3005+330] und bezahlte Leistungen [4000+4005] (-&gt;2011: T 6.04 Bruttoprämien [60-65] und bezahlte Leistungen [30-33]). Mit Unfallversicherung.</t>
  </si>
  <si>
    <t>2) Quelle: T 7.02 Krankentaggeld VVG (BAG, EF 1.12C). Mit Unfallversicherung.</t>
  </si>
  <si>
    <t xml:space="preserve">    Quelle: (2004-&gt;2011:  Quelle: T 7.03 Krankentaggeld VVG (BAG). Mit Unfallversicherung / -&gt; 2003: Bundesamt für Privatversicherungen [BPV]. Ohne Unfallversicherung)</t>
  </si>
  <si>
    <t>3) Quelle: Die privaten Versicherungseinrichtungen in der Schweiz (FINMA), Total der Tabelle AS03N, C, D [ohne Unfallversicherung] - Total KVG Versicherer für die VVG Versicherung [Spalte 2].</t>
  </si>
  <si>
    <t xml:space="preserve">    (-&gt; 2007: Die privaten Versicherungseinrichtungen in der Schweiz (BPV), detaillierte Fassung der Tabelle AS03N. Ohne Unfallversicherung)</t>
  </si>
  <si>
    <t xml:space="preserve">    Die Zusatzversicherungen gemäss VVG der KVG-Versicherer (Krankenkassen) sind nicht in diesen Zahlen inbegriffen (siehe Spalte 2).</t>
  </si>
  <si>
    <t>4) Privatversicherer: Prämien = verdiente Prämien brutto; Leistungen = Zahlungen für Versicherungsfälle / KVG-Versicherer: Prämien = Bruttoprämien ; Nettoleistungen = bezahlte Leistungen.</t>
  </si>
  <si>
    <t>Datenstand: 6.2.15</t>
  </si>
  <si>
    <r>
      <t xml:space="preserve">T 9.11  Krankenversicherung </t>
    </r>
    <r>
      <rPr>
        <b/>
        <vertAlign val="superscript"/>
        <sz val="12"/>
        <rFont val="Arial"/>
        <family val="2"/>
      </rPr>
      <t>1</t>
    </r>
    <r>
      <rPr>
        <b/>
        <sz val="12"/>
        <rFont val="Arial"/>
        <family val="2"/>
      </rPr>
      <t xml:space="preserve"> (KVG-Versicherer und Privatversicherer) ab 2003 in Mio. Fr.</t>
    </r>
  </si>
  <si>
    <r>
      <t xml:space="preserve">Privat-versicherer </t>
    </r>
    <r>
      <rPr>
        <b/>
        <vertAlign val="superscript"/>
        <sz val="11"/>
        <rFont val="Arial"/>
        <family val="2"/>
      </rPr>
      <t>2</t>
    </r>
  </si>
  <si>
    <t>Grund-</t>
  </si>
  <si>
    <r>
      <t>versicherung</t>
    </r>
    <r>
      <rPr>
        <sz val="10"/>
        <rFont val="Arial"/>
        <family val="2"/>
      </rPr>
      <t xml:space="preserve"> </t>
    </r>
    <r>
      <rPr>
        <vertAlign val="superscript"/>
        <sz val="10"/>
        <rFont val="Arial"/>
        <family val="2"/>
      </rPr>
      <t>4</t>
    </r>
  </si>
  <si>
    <r>
      <t xml:space="preserve">sicherung </t>
    </r>
    <r>
      <rPr>
        <vertAlign val="superscript"/>
        <sz val="11"/>
        <rFont val="Arial"/>
        <family val="2"/>
      </rPr>
      <t>3</t>
    </r>
  </si>
  <si>
    <t xml:space="preserve">   Privatversicherer: Prämien = verdiente Prämien brutto; Leistungen = Zahlungen für Versicherungsfälle / KVG-Versicherer: Prämien = Bruttoprämien ; Nettoleistungen = bezahlte Leistungen.</t>
  </si>
  <si>
    <t>2) Quelle: Die privaten Versicherungseinrichtungen in der Schweiz (FINMA), Total der Tabelle AS03N, C, D [Ohne Unfallversicherung] - Total KVG Versicherer Versicherung VVG [Spalte 2].</t>
  </si>
  <si>
    <t>3) VVG Zusatzversicherungen der KVG-Versicherer (Krankenkassen). Mit Unfallversicherung.</t>
  </si>
  <si>
    <t xml:space="preserve">   Quelle: T 7.02 Bruttoprämien [3020+335] und bezahlte Leistungen [4020-(4207+4217)] (BAG) - Krankentaggeld VVG  [EF1.12C]  </t>
  </si>
  <si>
    <t xml:space="preserve">   Ab 2012 inkl. Liechstenstein und Versicherte wohnhaft im Ausland.</t>
  </si>
  <si>
    <t xml:space="preserve">   Quelle: (-&gt;2011: T 7.03 Bruttoprämien [60-65] und bezahlte Leistungen [30-33] (BAG) - Krankentaggeld VVG / -&gt; 2003: Bundesamt für Privatversicherungen [BPV] )</t>
  </si>
  <si>
    <t>4) Quelle: T 1.02 Bruttoprämien [3010-&gt;16+331] und bezahlte Leistungen [4010-&gt;16-(4200-&gt;16-4210-&gt;16)]. Mit Unfallversicherung.</t>
  </si>
  <si>
    <t xml:space="preserve">    Quelle: (-&gt;2011: T 1.02 Bruttoprämien [60-65] und bezahlte Leistungen [30-33]. Mit Unfallversicherung.)</t>
  </si>
  <si>
    <t>T 9.12  Gesundheitskosten ausgewählter OECD–Länder ab 2003</t>
  </si>
  <si>
    <r>
      <t xml:space="preserve">A. in % des BIP </t>
    </r>
    <r>
      <rPr>
        <b/>
        <vertAlign val="superscript"/>
        <sz val="12"/>
        <rFont val="Arial"/>
        <family val="2"/>
      </rPr>
      <t>1</t>
    </r>
  </si>
  <si>
    <t>Land</t>
  </si>
  <si>
    <t>Australien</t>
  </si>
  <si>
    <t>Österreich</t>
  </si>
  <si>
    <t>Belgien</t>
  </si>
  <si>
    <t>Dänemark</t>
  </si>
  <si>
    <t>Finnland</t>
  </si>
  <si>
    <t>Frankreich</t>
  </si>
  <si>
    <t>Deutschland</t>
  </si>
  <si>
    <t>Italien</t>
  </si>
  <si>
    <t>Japan</t>
  </si>
  <si>
    <t>Niederlande</t>
  </si>
  <si>
    <t>Norwegen</t>
  </si>
  <si>
    <t>Spanien</t>
  </si>
  <si>
    <t>Schweden</t>
  </si>
  <si>
    <t>Grossbritannien</t>
  </si>
  <si>
    <t>USA</t>
  </si>
  <si>
    <t>Schweiz *</t>
  </si>
  <si>
    <r>
      <t xml:space="preserve">* davon Kosten OKP </t>
    </r>
    <r>
      <rPr>
        <b/>
        <vertAlign val="superscript"/>
        <sz val="11"/>
        <rFont val="Arial"/>
        <family val="2"/>
      </rPr>
      <t>2, 4</t>
    </r>
  </si>
  <si>
    <r>
      <t xml:space="preserve">B. in CHF pro Person </t>
    </r>
    <r>
      <rPr>
        <b/>
        <vertAlign val="superscript"/>
        <sz val="12"/>
        <rFont val="Arial"/>
        <family val="2"/>
      </rPr>
      <t>1, 3</t>
    </r>
  </si>
  <si>
    <r>
      <t xml:space="preserve">* davon Kosten OKP </t>
    </r>
    <r>
      <rPr>
        <b/>
        <vertAlign val="superscript"/>
        <sz val="11"/>
        <rFont val="Arial"/>
        <family val="2"/>
      </rPr>
      <t>2</t>
    </r>
  </si>
  <si>
    <t>1) Quelle: www.oecd.org -&gt; Topics: Health -&gt; OECD Health Data 2014 Version: January 2015 (Werte 2003 -&gt; 2013 teilweise revidiert oder geschätzt).</t>
  </si>
  <si>
    <t xml:space="preserve">Topics &gt; OECD &gt; Themes &gt; Health Expenditure and Financing &gt;  total health expenditure &gt; total expenditure HC1-HC9,HCR1; HF1-HF3; HP1-HP9, </t>
  </si>
  <si>
    <t>% gross domestic product.</t>
  </si>
  <si>
    <t>Topics &gt; OECD &gt; Themes &gt; National accounts  &gt;  annual National accounts &gt; main aggregates &gt; PPP and exchange rates</t>
  </si>
  <si>
    <t>exchange rate and national currency per US dollar.</t>
  </si>
  <si>
    <t xml:space="preserve">2) nur die Kosten im Zusammenhang mit der obligatorischen Krankenpflegeversicherung, also Bruttoleistungen (bezahlte </t>
  </si>
  <si>
    <t xml:space="preserve">    Leistungen und Kostenbeteiligung) sowie Verwaltungskosten und Abschreibungen der KVG-Versicherer. Quelle: T 1.01.</t>
  </si>
  <si>
    <t>3) Umrechnung von US$ in CHF mit dem Kurs des betrachteten Jahres, Kaufkraftbereinigt gemäss den OECD-Kaufkraftparitäten.</t>
  </si>
  <si>
    <t xml:space="preserve">% gross domestic product,    /capita, national currency unit (CH),   /capita, US$ purchasing power parity. </t>
  </si>
  <si>
    <t>exchange rate and national currency per US dollar. (Werte 2003 -&gt; 2013 teilweise revidiert oder geschätzt).</t>
  </si>
  <si>
    <t>4) Quelle: BIP (Bruttoinlandprodukt): BFS, zu laufenden Preisen (Werte 2003 -&gt; 2013 teilweise revidiert oder geschätzt).</t>
  </si>
  <si>
    <r>
      <t>T 9.13  Kosten des Gesundheitswesens in der Schweiz nach Leistungserbringer</t>
    </r>
    <r>
      <rPr>
        <b/>
        <vertAlign val="superscript"/>
        <sz val="12"/>
        <rFont val="Arial"/>
        <family val="2"/>
      </rPr>
      <t xml:space="preserve"> 1</t>
    </r>
    <r>
      <rPr>
        <b/>
        <sz val="12"/>
        <rFont val="Arial"/>
        <family val="2"/>
      </rPr>
      <t xml:space="preserve"> in Mio. Fr. ab 1996</t>
    </r>
  </si>
  <si>
    <t>Kranken-</t>
  </si>
  <si>
    <t>Sozialme-</t>
  </si>
  <si>
    <t>Detail-</t>
  </si>
  <si>
    <t xml:space="preserve">Staat </t>
  </si>
  <si>
    <t>Organisa-</t>
  </si>
  <si>
    <t>Total </t>
  </si>
  <si>
    <t xml:space="preserve">häuser </t>
  </si>
  <si>
    <t>dizinische</t>
  </si>
  <si>
    <t>Versorgung</t>
  </si>
  <si>
    <t xml:space="preserve">handel </t>
  </si>
  <si>
    <t>tionen ohne</t>
  </si>
  <si>
    <t>Institutionen</t>
  </si>
  <si>
    <t>Erwerbs-</t>
  </si>
  <si>
    <t>charakter</t>
  </si>
  <si>
    <t xml:space="preserve">1) Neue BFS-Berechnungsmethode im 2008 -&gt; vom BFS revidierte Werte für 1996-&gt;2006. </t>
  </si>
  <si>
    <t xml:space="preserve">    Vom BFS revidierte Werte für 2009 (10/12) und 2011 (3/15).</t>
  </si>
  <si>
    <t xml:space="preserve">2) Seit 2012 publiziert die Konjunkturforschungsstelle KOF der ETHZ keine Prognose mehr zur Kostenentwicklung. </t>
  </si>
  <si>
    <t xml:space="preserve">    Das BFS publiziert die definitiven Kosten mit einer Verzögerung von zwei Jahren und publiziert keine Schätzungen für die zukünftige Entwicklung.</t>
  </si>
  <si>
    <t>Quelle: 1996-2012: Statistisches Lexikon BFS, Kosten des Gesundheitswesens</t>
  </si>
  <si>
    <t>Datenstand: 15.3.15</t>
  </si>
  <si>
    <r>
      <t xml:space="preserve">T 9.14  Kosten des Gesundheitswesens in der Schweiz nach Leistungen </t>
    </r>
    <r>
      <rPr>
        <b/>
        <vertAlign val="superscript"/>
        <sz val="12"/>
        <rFont val="Arial"/>
        <family val="2"/>
      </rPr>
      <t>1</t>
    </r>
    <r>
      <rPr>
        <b/>
        <sz val="12"/>
        <rFont val="Arial"/>
        <family val="2"/>
      </rPr>
      <t xml:space="preserve"> in Mio. Fr. ab 1996</t>
    </r>
  </si>
  <si>
    <t>Stationäre</t>
  </si>
  <si>
    <t>Andere</t>
  </si>
  <si>
    <t>Verkauf</t>
  </si>
  <si>
    <t>Prävention</t>
  </si>
  <si>
    <t>Verwaltung</t>
  </si>
  <si>
    <t>Gesund-</t>
  </si>
  <si>
    <t>heitsgüter</t>
  </si>
  <si>
    <r>
      <t xml:space="preserve">1) Neue BFS-Berechnungsmethode im 2008 -&gt; vom BFS revidierte Werte für 1996-&gt;2006. </t>
    </r>
    <r>
      <rPr>
        <i/>
        <sz val="10"/>
        <rFont val="Arial"/>
        <family val="2"/>
      </rPr>
      <t>Vom BFS revidierte Werte für 2009 (10/12).</t>
    </r>
  </si>
  <si>
    <t xml:space="preserve">Quelle: 1996-2012: Statistisches Lexikon BFS, Kosten des Gesundheitswesens </t>
  </si>
  <si>
    <r>
      <t xml:space="preserve">T 9.15 Kosten des Gesundheitswesens in der Schweiz </t>
    </r>
    <r>
      <rPr>
        <b/>
        <vertAlign val="superscript"/>
        <sz val="12"/>
        <rFont val="Arial"/>
        <family val="2"/>
      </rPr>
      <t>1</t>
    </r>
    <r>
      <rPr>
        <b/>
        <sz val="12"/>
        <rFont val="Arial"/>
        <family val="2"/>
      </rPr>
      <t xml:space="preserve"> und obligatorische Krankenversicherung ab 1996</t>
    </r>
  </si>
  <si>
    <r>
      <t xml:space="preserve">2013 </t>
    </r>
    <r>
      <rPr>
        <b/>
        <vertAlign val="superscript"/>
        <sz val="10"/>
        <rFont val="Arial"/>
        <family val="2"/>
      </rPr>
      <t>2</t>
    </r>
  </si>
  <si>
    <r>
      <t xml:space="preserve">nach Finanzierungsregimes (BFS) </t>
    </r>
    <r>
      <rPr>
        <b/>
        <i/>
        <vertAlign val="superscript"/>
        <sz val="10"/>
        <rFont val="Arial"/>
        <family val="2"/>
      </rPr>
      <t>3</t>
    </r>
    <r>
      <rPr>
        <b/>
        <i/>
        <sz val="10"/>
        <rFont val="Arial"/>
        <family val="2"/>
      </rPr>
      <t>, in Mio. Fr.</t>
    </r>
  </si>
  <si>
    <r>
      <t xml:space="preserve">Total Kosten des Gesundheitswesens </t>
    </r>
    <r>
      <rPr>
        <b/>
        <vertAlign val="superscript"/>
        <sz val="10"/>
        <rFont val="Arial"/>
        <family val="2"/>
      </rPr>
      <t>4</t>
    </r>
  </si>
  <si>
    <r>
      <t xml:space="preserve">Staat </t>
    </r>
    <r>
      <rPr>
        <b/>
        <vertAlign val="superscript"/>
        <sz val="10"/>
        <rFont val="Arial"/>
        <family val="2"/>
      </rPr>
      <t>5</t>
    </r>
  </si>
  <si>
    <t xml:space="preserve">  Bund</t>
  </si>
  <si>
    <t xml:space="preserve">  Kantone</t>
  </si>
  <si>
    <t xml:space="preserve">  Gemeinden</t>
  </si>
  <si>
    <t xml:space="preserve">Sozialversicherungen </t>
  </si>
  <si>
    <r>
      <t xml:space="preserve">  Krankenversicherung KVG (Grundvers.) </t>
    </r>
    <r>
      <rPr>
        <vertAlign val="superscript"/>
        <sz val="9"/>
        <rFont val="Arial"/>
        <family val="2"/>
      </rPr>
      <t>6</t>
    </r>
  </si>
  <si>
    <t>Privatversicherungen</t>
  </si>
  <si>
    <r>
      <t xml:space="preserve">  KVG-Versicherer (VVG) </t>
    </r>
    <r>
      <rPr>
        <vertAlign val="superscript"/>
        <sz val="9"/>
        <rFont val="Arial"/>
        <family val="2"/>
      </rPr>
      <t>6</t>
    </r>
  </si>
  <si>
    <r>
      <t xml:space="preserve">  Private Versicherungseinrichtungen </t>
    </r>
    <r>
      <rPr>
        <vertAlign val="superscript"/>
        <sz val="9"/>
        <rFont val="Arial"/>
        <family val="2"/>
      </rPr>
      <t>6</t>
    </r>
  </si>
  <si>
    <t>Private Haushalte</t>
  </si>
  <si>
    <r>
      <t xml:space="preserve">  Kostenbeteiligung, Sozialversicherung </t>
    </r>
    <r>
      <rPr>
        <vertAlign val="superscript"/>
        <sz val="9"/>
        <rFont val="Arial"/>
        <family val="2"/>
      </rPr>
      <t>7</t>
    </r>
  </si>
  <si>
    <r>
      <t xml:space="preserve">  Kostenbeteiligung, Privatversicherung </t>
    </r>
    <r>
      <rPr>
        <vertAlign val="superscript"/>
        <sz val="9"/>
        <rFont val="Arial"/>
        <family val="2"/>
      </rPr>
      <t>7</t>
    </r>
  </si>
  <si>
    <r>
      <t xml:space="preserve">Übrige private Finanzierung </t>
    </r>
    <r>
      <rPr>
        <b/>
        <vertAlign val="superscript"/>
        <sz val="10"/>
        <rFont val="Arial"/>
        <family val="2"/>
      </rPr>
      <t>8</t>
    </r>
  </si>
  <si>
    <r>
      <t xml:space="preserve">Andere </t>
    </r>
    <r>
      <rPr>
        <b/>
        <i/>
        <vertAlign val="superscript"/>
        <sz val="10"/>
        <rFont val="Arial"/>
        <family val="2"/>
      </rPr>
      <t>9</t>
    </r>
  </si>
  <si>
    <t>aus der Sicht der Krankenversicherung (BAG), in Mio. Fr.</t>
  </si>
  <si>
    <r>
      <t xml:space="preserve">  Prämien Krankenversicherung </t>
    </r>
    <r>
      <rPr>
        <b/>
        <vertAlign val="superscript"/>
        <sz val="9"/>
        <rFont val="Arial"/>
        <family val="2"/>
      </rPr>
      <t>10</t>
    </r>
  </si>
  <si>
    <t>Obligatorische Krankenpflegeversicherung KVG</t>
  </si>
  <si>
    <t xml:space="preserve">Zusatzversicherungen VVG der KVG-Versicherer </t>
  </si>
  <si>
    <t>Zusatzversicherungen VVG der Privatversicherer</t>
  </si>
  <si>
    <r>
      <t xml:space="preserve">  Nettoleistungen Krankenversicherung </t>
    </r>
    <r>
      <rPr>
        <b/>
        <vertAlign val="superscript"/>
        <sz val="9"/>
        <rFont val="Arial"/>
        <family val="2"/>
      </rPr>
      <t>10</t>
    </r>
  </si>
  <si>
    <t xml:space="preserve">  Kostenbeteiligung</t>
  </si>
  <si>
    <r>
      <t xml:space="preserve">Obligatorische Krankenpflegeversicherung KVG </t>
    </r>
    <r>
      <rPr>
        <vertAlign val="superscript"/>
        <sz val="8"/>
        <rFont val="Arial"/>
        <family val="2"/>
      </rPr>
      <t>11</t>
    </r>
  </si>
  <si>
    <r>
      <t xml:space="preserve">Zusatzversicherungen VVG der KVG-Versicherer </t>
    </r>
    <r>
      <rPr>
        <vertAlign val="superscript"/>
        <sz val="8"/>
        <rFont val="Arial"/>
        <family val="2"/>
      </rPr>
      <t>12</t>
    </r>
  </si>
  <si>
    <r>
      <t xml:space="preserve">  Bruttoleistungen Krankenversicherung </t>
    </r>
    <r>
      <rPr>
        <b/>
        <vertAlign val="superscript"/>
        <sz val="9"/>
        <rFont val="Arial"/>
        <family val="2"/>
      </rPr>
      <t>13</t>
    </r>
  </si>
  <si>
    <r>
      <t xml:space="preserve">  Prämienverbilligung KVG </t>
    </r>
    <r>
      <rPr>
        <b/>
        <vertAlign val="superscript"/>
        <sz val="9"/>
        <rFont val="Arial"/>
        <family val="2"/>
      </rPr>
      <t>14</t>
    </r>
  </si>
  <si>
    <r>
      <t xml:space="preserve">Kosten des Gesundheitswesens in Franken pro Einwohner </t>
    </r>
    <r>
      <rPr>
        <vertAlign val="superscript"/>
        <sz val="9"/>
        <rFont val="Arial"/>
        <family val="2"/>
      </rPr>
      <t>15</t>
    </r>
  </si>
  <si>
    <r>
      <t xml:space="preserve">Durchschnittliche Prämien in der OKP in Franken pro Versicherte </t>
    </r>
    <r>
      <rPr>
        <vertAlign val="superscript"/>
        <sz val="9"/>
        <rFont val="Arial"/>
        <family val="2"/>
      </rPr>
      <t>16</t>
    </r>
  </si>
  <si>
    <t>1) Als Folge der Revision der Kosten des Gesundheitssystems durch das BFS stehen die in den Tabellen T 9.01, 9.02, 9.05, 9.06, 9.07 und 9.08 der KV-Statistik 2010 vorhandenen weiteren Rubriken nicht mehr als Zeitreihe seit 1996 zur Verfügung.</t>
  </si>
  <si>
    <t>   Insbesondere publiziert das BFS seit 2010 die Angaben nicht mehr, die es erlauben, die Prämien und die Prämienverbilligungen und die Leistungen der OKP innerhalb des Gesundheitswesens auszuweisen.</t>
  </si>
  <si>
    <t>3) Ersetzt die Finanzierung des Gesundheitswesens nach Direktzahler ab 2010.</t>
  </si>
  <si>
    <r>
      <t>4) Neue BFS-Berechnungsmethode im 2008 -&gt; vom BFS revidierte Werte für 1996-&gt;2006.</t>
    </r>
    <r>
      <rPr>
        <i/>
        <sz val="10"/>
        <rFont val="Arial"/>
        <family val="2"/>
      </rPr>
      <t xml:space="preserve">  Vom BFS revidierte Werte für 2009 (10/12) und 2011 (3/15).</t>
    </r>
  </si>
  <si>
    <t xml:space="preserve">5) Subventionen oder direkte Leistungen an das Gesundheitswesen (an die Leistungserbringer {Spitäler}, an die   </t>
  </si>
  <si>
    <t xml:space="preserve">   sozialmedizinischen Institutionen, an die Spitex- und Rettungsdienste) und die Öffentliche Gesundheit, Verwaltung und Prävention.   </t>
  </si>
  <si>
    <t>6) Nettoleistungen + übriger Aufwand + Prävention + Verwaltungskosten (Leistungen III in T 9.08 STAT KV 10).</t>
  </si>
  <si>
    <t>7) Kostenbeteiligung, Obligatorische Krankenpflegeversicherung KVG und Zusatzversicherungen VVG der KVG-Versicherer, Quelle: BAG.</t>
  </si>
  <si>
    <t xml:space="preserve">8) Spenden und Legate an Organisationen ohne Erwerbszweck wie Pflegeheime für Betagte, Institutionen für Behinderte, Spitexorganisationen, Gesundheitsligen.   </t>
  </si>
  <si>
    <t>10) Quelle T 9.11.</t>
  </si>
  <si>
    <t>11) T 1.01 (-&gt; 2011 T 1.02 [32]) ; erscheint auch als Privathaushalte in der Tabelle des BFS nach Finanzierungsregimes.</t>
  </si>
  <si>
    <t>12) T 7.02 [4207+4217]  (-&gt;2011 T 7.03 [32]) ; erscheint auch als Privathaushalte in der Tabelle des BFS nach Finanzierungsregimes. 2012-&gt; inkl. Liechstenstein und Versicherte wohnhaft im Ausland.</t>
  </si>
  <si>
    <t>13) Bruttoleistungen = Nettoleistungen + Kostenbeteiligung.</t>
  </si>
  <si>
    <t>14) 2008 -&gt; : Ausbezahlte Subventionen gemäss KVG (T 4.01) / -&gt; 2007: Budget nach  Reduktion (T 4.07).</t>
  </si>
  <si>
    <t>15) Kosten des Gesundheitswesens (BFS) / Anzahl Einwohner (T 9.01) in Franken.</t>
  </si>
  <si>
    <t>16) Prämiensoll pro Versicherten in Fr. für alle Versicherungsformen (T 1.01).</t>
  </si>
  <si>
    <t>Quelle: BAG : T 1.01, 4.01, 7.02, 9.01, 9.11  (2011: T 1.01, 1.02, 4.01, 7.03, 9.01, 9.11 ; 1996-&gt;2010 T 9.01-&gt;9.08 STAT KV 10)  / OFS : 2010 : Statistisches Lexikon BFS, Kosten des Gesundheitswesens</t>
  </si>
  <si>
    <t>12.02</t>
  </si>
  <si>
    <t>12.03</t>
  </si>
  <si>
    <t>12.04</t>
  </si>
  <si>
    <t>12.05</t>
  </si>
  <si>
    <t>12.06</t>
  </si>
  <si>
    <t>12.07</t>
  </si>
  <si>
    <t>Beilage F2</t>
  </si>
  <si>
    <t>Entwicklung der Franchisen, Prämienrabatte und Selbstbehalte ab 1996 (Kinder)</t>
  </si>
  <si>
    <t>1996-1997</t>
  </si>
  <si>
    <t>Selbstbehalt</t>
  </si>
  <si>
    <t>10% max. 300.-</t>
  </si>
  <si>
    <t>Franchise</t>
  </si>
  <si>
    <t>maximaler Prämienrabatt in %</t>
  </si>
  <si>
    <t>ordentlich 0.-</t>
  </si>
  <si>
    <t>1) 150.-</t>
  </si>
  <si>
    <t>2) 300.-</t>
  </si>
  <si>
    <t>3) 375.-</t>
  </si>
  <si>
    <t>1998-2000</t>
  </si>
  <si>
    <t>2001-2003</t>
  </si>
  <si>
    <t>jedoch höchstens Fr. pro Jahr</t>
  </si>
  <si>
    <t>(Differenz zwischen wählbarer und ordentlicher Franchise)</t>
  </si>
  <si>
    <r>
      <t xml:space="preserve">10% </t>
    </r>
    <r>
      <rPr>
        <i/>
        <sz val="10"/>
        <rFont val="Arial"/>
        <family val="2"/>
      </rPr>
      <t xml:space="preserve">max. </t>
    </r>
    <r>
      <rPr>
        <b/>
        <i/>
        <sz val="10"/>
        <rFont val="Arial"/>
        <family val="2"/>
      </rPr>
      <t>350.-</t>
    </r>
  </si>
  <si>
    <t>(80% der Differenz zwischen wählbarer und ordentlicher Franchise)</t>
  </si>
  <si>
    <t>10% max. 350.-</t>
  </si>
  <si>
    <t>1) 100.-</t>
  </si>
  <si>
    <t>2) 200.-</t>
  </si>
  <si>
    <t>3) 300.-</t>
  </si>
  <si>
    <t>4) 400.-</t>
  </si>
  <si>
    <t>5) 500.-</t>
  </si>
  <si>
    <t>6) 600.-</t>
  </si>
  <si>
    <t>2006-2009</t>
  </si>
  <si>
    <r>
      <t>10%</t>
    </r>
    <r>
      <rPr>
        <sz val="10"/>
        <rFont val="Arial"/>
        <family val="2"/>
      </rPr>
      <t xml:space="preserve"> </t>
    </r>
    <r>
      <rPr>
        <vertAlign val="superscript"/>
        <sz val="10"/>
        <rFont val="Arial"/>
        <family val="2"/>
      </rPr>
      <t>1</t>
    </r>
    <r>
      <rPr>
        <sz val="10"/>
        <rFont val="Arial"/>
        <family val="2"/>
      </rPr>
      <t xml:space="preserve"> </t>
    </r>
    <r>
      <rPr>
        <i/>
        <sz val="10"/>
        <rFont val="Arial"/>
        <family val="2"/>
      </rPr>
      <t xml:space="preserve">max. </t>
    </r>
    <r>
      <rPr>
        <sz val="10"/>
        <rFont val="Arial"/>
        <family val="2"/>
      </rPr>
      <t>350</t>
    </r>
    <r>
      <rPr>
        <i/>
        <sz val="10"/>
        <rFont val="Arial"/>
        <family val="2"/>
      </rPr>
      <t>.-</t>
    </r>
  </si>
  <si>
    <t>2010-</t>
  </si>
  <si>
    <t>(70% der Differenz zwischen wählbarer und ordentlicher Franchise)</t>
  </si>
  <si>
    <t>Datenstand: 15.1.15</t>
  </si>
  <si>
    <t>Quelle: BAG</t>
  </si>
  <si>
    <t xml:space="preserve">1) Ausnahme: Erhöhung des Selbstbehaltes auf 20 % für Originalpräparate, von welchen </t>
  </si>
  <si>
    <t xml:space="preserve">    ein mindestens 20 % billigeres Generikum in der Spezialitätenliste angeführt ist (Art. 38a KLV).</t>
  </si>
  <si>
    <t>(Änderungen grau)</t>
  </si>
  <si>
    <t>Beilage F1</t>
  </si>
  <si>
    <t>Entwicklung der Franchisen, Prämienrabatte und Selbstbehalte ab 1996 (Erwachsene)</t>
  </si>
  <si>
    <r>
      <t xml:space="preserve">Erwachsene (ab 19 Jahren) </t>
    </r>
    <r>
      <rPr>
        <b/>
        <i/>
        <vertAlign val="superscript"/>
        <sz val="9"/>
        <rFont val="Arial"/>
        <family val="2"/>
      </rPr>
      <t>1</t>
    </r>
  </si>
  <si>
    <t>10% max. 600.-</t>
  </si>
  <si>
    <t>ordentlich 150.-</t>
  </si>
  <si>
    <t>1) 300.-</t>
  </si>
  <si>
    <t>2) 600.-</t>
  </si>
  <si>
    <t>3) 1200.-</t>
  </si>
  <si>
    <t>4) 1500.-</t>
  </si>
  <si>
    <r>
      <t xml:space="preserve">ordentlich </t>
    </r>
    <r>
      <rPr>
        <b/>
        <i/>
        <sz val="10"/>
        <rFont val="Arial"/>
        <family val="2"/>
      </rPr>
      <t>230</t>
    </r>
    <r>
      <rPr>
        <b/>
        <sz val="10"/>
        <rFont val="Arial"/>
        <family val="2"/>
      </rPr>
      <t>.-</t>
    </r>
  </si>
  <si>
    <r>
      <t xml:space="preserve">1) </t>
    </r>
    <r>
      <rPr>
        <b/>
        <i/>
        <sz val="10"/>
        <rFont val="Arial"/>
        <family val="2"/>
      </rPr>
      <t>400.-</t>
    </r>
  </si>
  <si>
    <t>ordentlich 230.-</t>
  </si>
  <si>
    <t>1) 400.-</t>
  </si>
  <si>
    <r>
      <t xml:space="preserve">10% </t>
    </r>
    <r>
      <rPr>
        <i/>
        <sz val="10"/>
        <rFont val="Arial"/>
        <family val="2"/>
      </rPr>
      <t>max</t>
    </r>
    <r>
      <rPr>
        <b/>
        <i/>
        <sz val="10"/>
        <rFont val="Arial"/>
        <family val="2"/>
      </rPr>
      <t>. 700.-</t>
    </r>
  </si>
  <si>
    <r>
      <t xml:space="preserve">ordentlich </t>
    </r>
    <r>
      <rPr>
        <b/>
        <i/>
        <sz val="10"/>
        <rFont val="Arial"/>
        <family val="2"/>
      </rPr>
      <t>300</t>
    </r>
    <r>
      <rPr>
        <b/>
        <sz val="10"/>
        <rFont val="Arial"/>
        <family val="2"/>
      </rPr>
      <t>.-</t>
    </r>
  </si>
  <si>
    <t>10% max. 700.-</t>
  </si>
  <si>
    <t>ordentlich 300.-</t>
  </si>
  <si>
    <t>1) 500.-</t>
  </si>
  <si>
    <t>2) 1000.-</t>
  </si>
  <si>
    <t>3) 1500.-</t>
  </si>
  <si>
    <t>4) 2000.-</t>
  </si>
  <si>
    <t>5) 2500.-</t>
  </si>
  <si>
    <r>
      <t>10%</t>
    </r>
    <r>
      <rPr>
        <sz val="10"/>
        <rFont val="Arial"/>
        <family val="2"/>
      </rPr>
      <t xml:space="preserve"> </t>
    </r>
    <r>
      <rPr>
        <vertAlign val="superscript"/>
        <sz val="10"/>
        <rFont val="Arial"/>
        <family val="2"/>
      </rPr>
      <t>2</t>
    </r>
    <r>
      <rPr>
        <sz val="10"/>
        <rFont val="Arial"/>
        <family val="2"/>
      </rPr>
      <t xml:space="preserve"> </t>
    </r>
    <r>
      <rPr>
        <i/>
        <sz val="10"/>
        <rFont val="Arial"/>
        <family val="2"/>
      </rPr>
      <t>max. 700.-</t>
    </r>
  </si>
  <si>
    <t>1) Erwachsene (ab 19 Jahren) = junge Erwachsene (19-25 Jahre) + Erwachsene (ab 26 Jahren)</t>
  </si>
  <si>
    <t xml:space="preserve">2) Ausnahme: Erhöhung des Selbstbehaltes auf 20 % für Originalpräparate, von welchen </t>
  </si>
  <si>
    <t>vollständig (132 / 132 T.)</t>
  </si>
  <si>
    <t>14.4.15: 9.01-&gt;9.03,9.06,9.10-&gt;15,11.04,11.10,11.12</t>
  </si>
  <si>
    <t>9) Andere Rubriken als die im folgenden erwähnten: UV, IV, AHV, andere Regimes, soziale Leistungen, out of pocket (als Differenz berechnet).</t>
  </si>
  <si>
    <t>1) Krankenpflegeversicherung ohne Taggeldversicherung. Summe aller Prämien und aller Nettoleistungen.</t>
  </si>
  <si>
    <t>5) Summe aller Prämien und aller Nettoleistungen.</t>
  </si>
  <si>
    <r>
      <t xml:space="preserve">T 9.10 Taggeldversicherung KVG / VVG  </t>
    </r>
    <r>
      <rPr>
        <b/>
        <vertAlign val="superscript"/>
        <sz val="12"/>
        <rFont val="Arial"/>
        <family val="2"/>
      </rPr>
      <t>5</t>
    </r>
    <r>
      <rPr>
        <b/>
        <sz val="12"/>
        <rFont val="Arial"/>
        <family val="2"/>
      </rPr>
      <t xml:space="preserve"> ab 2003 in Mio. Fr.</t>
    </r>
  </si>
  <si>
    <t xml:space="preserve">Michaela Kozelka, Tel. +41 (0)58 4628623 , michaela.kozelka@bag.admin.ch </t>
  </si>
  <si>
    <t xml:space="preserve">Daniel Dauwalder, Tel. +41 (0)58 4621130 , daniel.dauwalder@bag.admin.ch  </t>
  </si>
  <si>
    <t>Beat Gruber, Tel. +41 (0)58 4654183 , beat.gruber@bag.admin.ch  (Teil 4, Thema Prämienverbilligung)</t>
  </si>
  <si>
    <t xml:space="preserve">Nicolas Siffert, Tel. +41 (0)58 4632768 , nicolas.siffert@bag.admin.ch </t>
  </si>
  <si>
    <t>OKP: Marktanteil nach Versicherer : CH, pro Kanton</t>
  </si>
  <si>
    <r>
      <t>OKP: Durchschnittlicher Versichertenbestand nach Versicherer :</t>
    </r>
    <r>
      <rPr>
        <sz val="10"/>
        <color indexed="10"/>
        <rFont val="Arial"/>
        <family val="2"/>
      </rPr>
      <t xml:space="preserve"> CH, pro Kanton, und EU</t>
    </r>
  </si>
  <si>
    <r>
      <t xml:space="preserve">OKP: Versichertenbestand per 31.12 nach Versicherer : </t>
    </r>
    <r>
      <rPr>
        <sz val="10"/>
        <color indexed="10"/>
        <rFont val="Arial"/>
        <family val="2"/>
      </rPr>
      <t>CH, pro Kanton</t>
    </r>
  </si>
  <si>
    <r>
      <t xml:space="preserve">T 5.10 OKP: Marktanteil nach Versicherer : </t>
    </r>
    <r>
      <rPr>
        <b/>
        <sz val="12"/>
        <color indexed="10"/>
        <rFont val="Arial"/>
        <family val="2"/>
      </rPr>
      <t>CH, pro Kanton</t>
    </r>
    <r>
      <rPr>
        <b/>
        <sz val="12"/>
        <rFont val="Arial"/>
        <family val="2"/>
      </rPr>
      <t xml:space="preserve"> </t>
    </r>
    <r>
      <rPr>
        <b/>
        <vertAlign val="superscript"/>
        <sz val="12"/>
        <rFont val="Arial"/>
        <family val="2"/>
      </rPr>
      <t>1</t>
    </r>
  </si>
  <si>
    <r>
      <t xml:space="preserve">T 5.07 OKP: Versichertenbestand per 31.12 nach Versicherer </t>
    </r>
    <r>
      <rPr>
        <b/>
        <sz val="12"/>
        <color indexed="10"/>
        <rFont val="Arial"/>
        <family val="2"/>
      </rPr>
      <t>: CH, pro Kanton</t>
    </r>
  </si>
  <si>
    <r>
      <t xml:space="preserve">CH </t>
    </r>
    <r>
      <rPr>
        <vertAlign val="superscript"/>
        <sz val="10"/>
        <rFont val="Arial"/>
        <family val="2"/>
      </rPr>
      <t>3</t>
    </r>
  </si>
  <si>
    <r>
      <t xml:space="preserve">Ausland </t>
    </r>
    <r>
      <rPr>
        <vertAlign val="superscript"/>
        <sz val="10"/>
        <rFont val="Arial"/>
        <family val="2"/>
      </rPr>
      <t>4</t>
    </r>
  </si>
  <si>
    <r>
      <t xml:space="preserve">EU </t>
    </r>
    <r>
      <rPr>
        <vertAlign val="superscript"/>
        <sz val="10"/>
        <rFont val="Arial"/>
        <family val="2"/>
      </rPr>
      <t>5</t>
    </r>
  </si>
  <si>
    <t>4) Personen mit Wohnort im Ausland gemäss Artikel 4 KVV (Entsandte Arbeitnehmer und Arbeitnehmerinnen) und 5 KVV (Personen im öffentlichen Dienst mit Aufenthalt im Ausland) mit Ausnahme derjenigen Personen, die in einem EU oder EFTA Staat wohnen und gestützt auf das Freizügigkeitsakbommen oder das EFTA-Abkommen der schweizerischen Versicherung unterstellt sind (Art. 1 Abs. 2 Bst. d und e KVV).</t>
  </si>
  <si>
    <t>Quelle: EF 3.12 und 1.12D</t>
  </si>
  <si>
    <r>
      <t xml:space="preserve">3) Obligatorische Krankenpflegeversicherung KVG, Personen mit schweizerischer Prämie (inklusiv Personen mit Aufenthalt im Ausland)  </t>
    </r>
    <r>
      <rPr>
        <b/>
        <sz val="10"/>
        <color indexed="10"/>
        <rFont val="Arial"/>
        <family val="2"/>
      </rPr>
      <t>CH: 1 -&gt; 27</t>
    </r>
  </si>
  <si>
    <r>
      <t xml:space="preserve">1) Bei den durchschnittlichen Versichertenbeständen der OKP (pro Kanton und Versicherer), die in der OKP-Prämienübersicht des BAG publiziert werden, wird den Fusionen von Versicherern bis zum Moment der Gültigkeit der publizierten Prämien Rechnung getragen. </t>
    </r>
    <r>
      <rPr>
        <sz val="10"/>
        <color indexed="10"/>
        <rFont val="Arial"/>
        <family val="2"/>
      </rPr>
      <t>Aus diesem Grund kann es Unterschiede zwischen der oben stehenden Tabelle und der in der OKP-Prämienübersicht des BAG publizierten Tabelle geben.</t>
    </r>
  </si>
  <si>
    <r>
      <t xml:space="preserve">5) Obligatorische Krankenpflegeversicherung KVG mit EU Prämie (Personen mit Wohnsitz in EU, in Island oder in Norwegen, inklusive GrenzgängerInnen)  </t>
    </r>
    <r>
      <rPr>
        <b/>
        <sz val="10"/>
        <color indexed="10"/>
        <rFont val="Arial"/>
        <family val="2"/>
      </rPr>
      <t>EU: 28</t>
    </r>
  </si>
  <si>
    <t>Quelle: EF 3.12 und EF1.12D</t>
  </si>
  <si>
    <r>
      <t xml:space="preserve">T 5.06 OKP: Durchschnittlicher Versichertenbestand nach Versicherer : </t>
    </r>
    <r>
      <rPr>
        <b/>
        <sz val="12"/>
        <color indexed="10"/>
        <rFont val="Arial"/>
        <family val="2"/>
      </rPr>
      <t xml:space="preserve">CH </t>
    </r>
    <r>
      <rPr>
        <b/>
        <vertAlign val="superscript"/>
        <sz val="12"/>
        <color indexed="10"/>
        <rFont val="Arial"/>
        <family val="2"/>
      </rPr>
      <t>1</t>
    </r>
    <r>
      <rPr>
        <b/>
        <sz val="12"/>
        <color indexed="10"/>
        <rFont val="Arial"/>
        <family val="2"/>
      </rPr>
      <t>, pro Kanton, und EU</t>
    </r>
  </si>
  <si>
    <r>
      <t xml:space="preserve">T 5.01 Aufsichtsdaten OKP </t>
    </r>
    <r>
      <rPr>
        <b/>
        <sz val="12"/>
        <color indexed="10"/>
        <rFont val="Arial"/>
        <family val="2"/>
      </rPr>
      <t>CH</t>
    </r>
  </si>
  <si>
    <r>
      <t xml:space="preserve">1) Durchschnittlicher Versichertenbestand </t>
    </r>
    <r>
      <rPr>
        <b/>
        <sz val="10"/>
        <color indexed="8"/>
        <rFont val="Arial"/>
        <family val="2"/>
      </rPr>
      <t>(nur OKP Versicherer)</t>
    </r>
  </si>
  <si>
    <r>
      <t xml:space="preserve">T 5.02 Erklärungen und Quellen für die Aufsichtsdaten OKP </t>
    </r>
    <r>
      <rPr>
        <b/>
        <sz val="12"/>
        <color indexed="10"/>
        <rFont val="Arial"/>
        <family val="2"/>
      </rPr>
      <t>CH</t>
    </r>
    <r>
      <rPr>
        <b/>
        <sz val="12"/>
        <color indexed="8"/>
        <rFont val="Arial"/>
        <family val="2"/>
      </rPr>
      <t xml:space="preserve"> (T 5.01)</t>
    </r>
  </si>
  <si>
    <t>Versicherte mit schweizerischer Prämie. Ohne Versicherte mit EU Prämie (vgl. T 5.06).</t>
  </si>
  <si>
    <t>16.4.15:T5,5.01,5.02,5.06,5.07,5.10</t>
  </si>
  <si>
    <r>
      <t xml:space="preserve">Erklärungen und Quellen für die Aufsichtsdaten </t>
    </r>
    <r>
      <rPr>
        <sz val="10"/>
        <color indexed="10"/>
        <rFont val="Arial"/>
        <family val="2"/>
      </rPr>
      <t>OKP CH</t>
    </r>
  </si>
  <si>
    <r>
      <t xml:space="preserve">Aufsichtsdaten der Krankenversicherer OKP </t>
    </r>
    <r>
      <rPr>
        <sz val="10"/>
        <color indexed="10"/>
        <rFont val="Arial"/>
        <family val="2"/>
      </rPr>
      <t>CH</t>
    </r>
  </si>
  <si>
    <t>Beilage H</t>
  </si>
  <si>
    <r>
      <t xml:space="preserve">Beilage </t>
    </r>
    <r>
      <rPr>
        <b/>
        <sz val="8"/>
        <color indexed="10"/>
        <rFont val="Arial"/>
        <family val="2"/>
      </rPr>
      <t>H</t>
    </r>
  </si>
  <si>
    <t>Schätzungen aus dem Prämiengenehmigungsverfahren: Eckwerte 2003-2013</t>
  </si>
  <si>
    <t>Datenstand: 27.4.15</t>
  </si>
  <si>
    <t>Übergangsschlüssel Tabellen *  2013 -&gt; 1996</t>
  </si>
  <si>
    <t>Publikation 2013</t>
  </si>
  <si>
    <t>Beilage B: Übergangsschlüssel Tabellen T  2012 -&gt; 2013 / 2013 -&gt; 2012</t>
  </si>
  <si>
    <t>(132 Tabellen)</t>
  </si>
  <si>
    <t>Neuheiten/Anderungen im Jahr 2013 (3)</t>
  </si>
  <si>
    <t>nicht vorhanden</t>
  </si>
  <si>
    <t>Daten pro Kanton (36)</t>
  </si>
  <si>
    <t>neu im Jahr 2013 (4)</t>
  </si>
  <si>
    <t>Übergangsschlüssel Tabellen 2013 -&gt; 1996 : siehe Beilage B1 Version STAT KV 2013 Tabellen XLS auf dem www.</t>
  </si>
  <si>
    <t>Zeitreihen 2003 -&gt;</t>
  </si>
  <si>
    <t>1.08, 1.09</t>
  </si>
  <si>
    <t>4.01, 4.02, 4.03</t>
  </si>
  <si>
    <t>5.01, 5.05, 5.06, 5.07</t>
  </si>
  <si>
    <t>8.09, 8.10</t>
  </si>
  <si>
    <t>Beilage F3</t>
  </si>
  <si>
    <r>
      <t xml:space="preserve">Zunahme der Gesamtausgaben </t>
    </r>
    <r>
      <rPr>
        <b/>
        <vertAlign val="superscript"/>
        <sz val="11"/>
        <rFont val="Arial"/>
        <family val="2"/>
      </rPr>
      <t>1</t>
    </r>
    <r>
      <rPr>
        <b/>
        <sz val="11"/>
        <rFont val="Arial"/>
        <family val="2"/>
      </rPr>
      <t xml:space="preserve"> der Versicherten (Prämien + Kostenbeteiligung) als Folge der Änderungen der Franchisen, der Prämienrabatte und des Selbstbehalts </t>
    </r>
  </si>
  <si>
    <t>Erwachsene (ab 26 Jahren) : effektive Zunahme 2015</t>
  </si>
  <si>
    <r>
      <t xml:space="preserve">Durchschnittsprämie CH </t>
    </r>
    <r>
      <rPr>
        <b/>
        <i/>
        <vertAlign val="superscript"/>
        <sz val="10"/>
        <rFont val="Arial"/>
        <family val="2"/>
      </rPr>
      <t>2</t>
    </r>
    <r>
      <rPr>
        <b/>
        <i/>
        <sz val="10"/>
        <rFont val="Arial"/>
        <family val="2"/>
      </rPr>
      <t xml:space="preserve"> : 411.8</t>
    </r>
  </si>
  <si>
    <t>Gesamtausgaben in Fr. :</t>
  </si>
  <si>
    <t>Max. Gewinn (+) / Verlust (-) in Fr. / % gegenüber der ordentlichen Franchise :</t>
  </si>
  <si>
    <t>mit Leistungen von 0.-</t>
  </si>
  <si>
    <t>mit Leistungen von 9500.-</t>
  </si>
  <si>
    <t xml:space="preserve">ordentlich 300.- </t>
  </si>
  <si>
    <t xml:space="preserve">1) 500.- </t>
  </si>
  <si>
    <t xml:space="preserve">2) 1000.- </t>
  </si>
  <si>
    <t>Junge Erwachsene (19-25 Jahre) : effektive Zunahme 2015</t>
  </si>
  <si>
    <r>
      <t xml:space="preserve">Durchschnittsprämie CH </t>
    </r>
    <r>
      <rPr>
        <b/>
        <i/>
        <vertAlign val="superscript"/>
        <sz val="10"/>
        <rFont val="Arial"/>
        <family val="2"/>
      </rPr>
      <t>2</t>
    </r>
    <r>
      <rPr>
        <b/>
        <i/>
        <sz val="10"/>
        <rFont val="Arial"/>
        <family val="2"/>
      </rPr>
      <t xml:space="preserve"> : 379.7</t>
    </r>
  </si>
  <si>
    <t>Kinder (0-18 Jahre) : effektive Zunahme 2015</t>
  </si>
  <si>
    <r>
      <t xml:space="preserve">Durchschnittsprämie CH </t>
    </r>
    <r>
      <rPr>
        <b/>
        <i/>
        <vertAlign val="superscript"/>
        <sz val="10"/>
        <rFont val="Arial"/>
        <family val="2"/>
      </rPr>
      <t>2</t>
    </r>
    <r>
      <rPr>
        <b/>
        <i/>
        <sz val="10"/>
        <rFont val="Arial"/>
        <family val="2"/>
      </rPr>
      <t xml:space="preserve"> : 95.0</t>
    </r>
  </si>
  <si>
    <t>Gesamtausgaben in Fr.  :</t>
  </si>
  <si>
    <t>Max. Gewinn (+) / Verlust (-) in Fr. / %  gegenüber der ordentlichen Franchise :</t>
  </si>
  <si>
    <t>mit Leistungen von 4100.-</t>
  </si>
  <si>
    <t xml:space="preserve">4) 400.- </t>
  </si>
  <si>
    <t xml:space="preserve">6) 600.- </t>
  </si>
  <si>
    <t>Quelle: T 12.01; Anhang F1 und F2.</t>
  </si>
  <si>
    <t xml:space="preserve">1) Der tatsächliche Anstieg ist abhängig von der Prämienhöhe und den Leistungen. Hier wird er angegeben für die schweizerische Durchschnittsprämie für </t>
  </si>
  <si>
    <t>null Leistungen (0.-) und maximale Leistungen (ab diesem Betrag nehmen die Ausgaben der Versicherten mit der höchsten Franchise nicht mehr zu).</t>
  </si>
  <si>
    <t>Es wird von der Hypothese ausgegangen, dass der gesetzlich maximale Prämienrabatt für die wählbaren Franchisen gewährt wird.</t>
  </si>
  <si>
    <t xml:space="preserve">Ist dem nicht so, sieht der tatsächliche Anstieg anders aus. </t>
  </si>
  <si>
    <t>Berechnungsmethode:</t>
  </si>
  <si>
    <t>- Man berechnet den Gesamtanstieg (Prämie + Kostenbeteiligung, d.h. Franchise + Selbstbehalt [10 % vereinfacht gesagt]) für jede Franchisenhöhe gemäss Leistungen;</t>
  </si>
  <si>
    <t>- danach wird der effektive Anstieg in % im Vergleich zum Vorjahr bestimmt;</t>
  </si>
  <si>
    <t>- der maximale Gewinn oder Verlust für das laufende Jahr berechnet sich aus dem Gesamtanstieg für die ordentliche Franchise.</t>
  </si>
  <si>
    <t>Anstieg 1996-&gt;2013: siehe STAT KV 03-&gt;12 (Beilagen).</t>
  </si>
  <si>
    <t xml:space="preserve">2) Es handelt sich um eine Schätzung der monatlichen Durchschnittsprämie in Franken ausgehend von den Versicherungstarifen mit ordentlicher Franchise </t>
  </si>
  <si>
    <t>einschliesslich Unfalldeckung und den Versichertenbeständen nach Kantonen und Prämienregion.</t>
  </si>
  <si>
    <t>input (coller valeurs depuis onglet f et modifier manuellement les années 2007 -&gt; 2008 )</t>
  </si>
  <si>
    <t>27.4.15: A, B, B1, F3</t>
  </si>
  <si>
    <t>27.4.15: 5.01, 10.02, J-&gt;H</t>
  </si>
  <si>
    <t>Datenstand: 19.8.15</t>
  </si>
  <si>
    <t>19.8.15: T 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</si>
</sst>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0" formatCode="0.0%"/>
    <numFmt numFmtId="171" formatCode="#,##0.0"/>
    <numFmt numFmtId="172" formatCode="0.0"/>
    <numFmt numFmtId="173" formatCode="#,##0.000"/>
    <numFmt numFmtId="174" formatCode="#,##0.000000"/>
  </numFmts>
  <fonts count="133">
    <font>
      <sz val="10"/>
      <name val="55 Helvetica Roman"/>
    </font>
    <font>
      <sz val="10"/>
      <name val="55 Helvetica Roman"/>
    </font>
    <font>
      <sz val="12"/>
      <name val="Arial"/>
      <family val="2"/>
    </font>
    <font>
      <b/>
      <i/>
      <sz val="22"/>
      <name val="Arial"/>
      <family val="2"/>
    </font>
    <font>
      <sz val="10"/>
      <name val="Arial"/>
      <family val="2"/>
    </font>
    <font>
      <b/>
      <i/>
      <sz val="18"/>
      <name val="Arial"/>
      <family val="2"/>
    </font>
    <font>
      <i/>
      <sz val="12"/>
      <name val="55 Helvetica Roman"/>
    </font>
    <font>
      <sz val="11"/>
      <name val="Arial"/>
      <family val="2"/>
    </font>
    <font>
      <b/>
      <sz val="11"/>
      <name val="Arial"/>
      <family val="2"/>
    </font>
    <font>
      <b/>
      <sz val="10"/>
      <color indexed="9"/>
      <name val="55 Helvetica Roman"/>
    </font>
    <font>
      <b/>
      <sz val="20"/>
      <name val="55 Helvetica Roman"/>
    </font>
    <font>
      <b/>
      <sz val="14"/>
      <name val="55 Helvetica Roman"/>
    </font>
    <font>
      <b/>
      <sz val="10"/>
      <name val="55 Helvetica Roman"/>
    </font>
    <font>
      <b/>
      <sz val="9"/>
      <name val="55 Helvetica Roman"/>
    </font>
    <font>
      <sz val="8"/>
      <name val="55 Helvetica Roman"/>
    </font>
    <font>
      <sz val="9"/>
      <name val="55 Helvetica Roman"/>
    </font>
    <font>
      <b/>
      <sz val="9"/>
      <name val="Arial"/>
      <family val="2"/>
    </font>
    <font>
      <sz val="10"/>
      <color indexed="10"/>
      <name val="55 Helvetica Roman"/>
    </font>
    <font>
      <sz val="9"/>
      <name val="Arial"/>
      <family val="2"/>
    </font>
    <font>
      <b/>
      <sz val="10"/>
      <name val="Arial"/>
      <family val="2"/>
    </font>
    <font>
      <b/>
      <sz val="12"/>
      <name val="Arial"/>
      <family val="2"/>
    </font>
    <font>
      <b/>
      <sz val="12"/>
      <color indexed="10"/>
      <name val="55 Helvetica Roman"/>
    </font>
    <font>
      <sz val="12"/>
      <name val="55 Helvetica Roman"/>
    </font>
    <font>
      <b/>
      <sz val="11"/>
      <color indexed="10"/>
      <name val="Arial"/>
      <family val="2"/>
    </font>
    <font>
      <sz val="10"/>
      <color indexed="10"/>
      <name val="Arial"/>
      <family val="2"/>
    </font>
    <font>
      <b/>
      <sz val="11"/>
      <color indexed="42"/>
      <name val="Arial"/>
      <family val="2"/>
    </font>
    <font>
      <b/>
      <sz val="11"/>
      <name val="55 Helvetica Roman"/>
    </font>
    <font>
      <sz val="11"/>
      <color indexed="10"/>
      <name val="55 Helvetica Roman"/>
    </font>
    <font>
      <sz val="11"/>
      <name val="55 Helvetica Roman"/>
    </font>
    <font>
      <b/>
      <sz val="11"/>
      <color indexed="9"/>
      <name val="55 Helvetica Roman"/>
    </font>
    <font>
      <sz val="8"/>
      <name val="Arial"/>
      <family val="2"/>
    </font>
    <font>
      <b/>
      <sz val="12"/>
      <name val="55 Helvetica Roman"/>
    </font>
    <font>
      <i/>
      <sz val="10"/>
      <name val="55 Helvetica Roman"/>
    </font>
    <font>
      <i/>
      <sz val="10"/>
      <name val="Arial"/>
      <family val="2"/>
    </font>
    <font>
      <sz val="11"/>
      <color indexed="8"/>
      <name val="Arial"/>
      <family val="2"/>
    </font>
    <font>
      <i/>
      <sz val="11"/>
      <name val="Arial"/>
      <family val="2"/>
    </font>
    <font>
      <b/>
      <sz val="11"/>
      <color indexed="12"/>
      <name val="Arial"/>
      <family val="2"/>
    </font>
    <font>
      <b/>
      <sz val="12"/>
      <color indexed="12"/>
      <name val="Arial"/>
      <family val="2"/>
    </font>
    <font>
      <u/>
      <sz val="7.5"/>
      <color indexed="12"/>
      <name val="55 Helvetica Roman"/>
    </font>
    <font>
      <b/>
      <sz val="10"/>
      <color indexed="8"/>
      <name val="Arial"/>
      <family val="2"/>
    </font>
    <font>
      <b/>
      <sz val="14"/>
      <name val="Arial"/>
      <family val="2"/>
    </font>
    <font>
      <b/>
      <i/>
      <sz val="10"/>
      <name val="Arial"/>
      <family val="2"/>
    </font>
    <font>
      <sz val="7"/>
      <name val="Arial"/>
      <family val="2"/>
    </font>
    <font>
      <b/>
      <sz val="7"/>
      <name val="Arial"/>
      <family val="2"/>
    </font>
    <font>
      <i/>
      <sz val="7"/>
      <name val="Arial"/>
      <family val="2"/>
    </font>
    <font>
      <b/>
      <sz val="8"/>
      <name val="Arial"/>
      <family val="2"/>
    </font>
    <font>
      <sz val="6"/>
      <name val="Arial"/>
      <family val="2"/>
    </font>
    <font>
      <u/>
      <sz val="12"/>
      <color indexed="12"/>
      <name val="55 Helvetica Roman"/>
    </font>
    <font>
      <sz val="10"/>
      <name val="Tms Rmn"/>
    </font>
    <font>
      <sz val="9"/>
      <name val="Geneva"/>
      <family val="2"/>
    </font>
    <font>
      <vertAlign val="superscript"/>
      <sz val="11"/>
      <name val="Arial"/>
      <family val="2"/>
    </font>
    <font>
      <b/>
      <i/>
      <sz val="11"/>
      <name val="Arial"/>
      <family val="2"/>
    </font>
    <font>
      <i/>
      <sz val="9"/>
      <name val="Arial"/>
      <family val="2"/>
    </font>
    <font>
      <b/>
      <vertAlign val="superscript"/>
      <sz val="12"/>
      <name val="Arial"/>
      <family val="2"/>
    </font>
    <font>
      <strike/>
      <sz val="10"/>
      <name val="Arial"/>
      <family val="2"/>
    </font>
    <font>
      <sz val="10"/>
      <name val="Arial"/>
      <family val="2"/>
    </font>
    <font>
      <u/>
      <sz val="10"/>
      <color indexed="12"/>
      <name val="55 Helvetica Roman"/>
    </font>
    <font>
      <i/>
      <sz val="8"/>
      <name val="Arial"/>
      <family val="2"/>
    </font>
    <font>
      <i/>
      <vertAlign val="superscript"/>
      <sz val="11"/>
      <name val="Arial"/>
      <family val="2"/>
    </font>
    <font>
      <i/>
      <vertAlign val="superscript"/>
      <sz val="10"/>
      <name val="Arial"/>
      <family val="2"/>
    </font>
    <font>
      <i/>
      <sz val="12"/>
      <name val="Arial"/>
      <family val="2"/>
    </font>
    <font>
      <b/>
      <vertAlign val="superscript"/>
      <sz val="11"/>
      <name val="Arial"/>
      <family val="2"/>
    </font>
    <font>
      <u/>
      <sz val="10"/>
      <name val="Arial"/>
      <family val="2"/>
    </font>
    <font>
      <b/>
      <sz val="8"/>
      <color indexed="81"/>
      <name val="Tahoma"/>
      <family val="2"/>
    </font>
    <font>
      <sz val="8"/>
      <color indexed="81"/>
      <name val="Tahoma"/>
      <family val="2"/>
    </font>
    <font>
      <vertAlign val="superscript"/>
      <sz val="10"/>
      <name val="Arial"/>
      <family val="2"/>
    </font>
    <font>
      <b/>
      <vertAlign val="superscript"/>
      <sz val="10"/>
      <name val="Arial"/>
      <family val="2"/>
    </font>
    <font>
      <i/>
      <u/>
      <sz val="10"/>
      <name val="Arial"/>
      <family val="2"/>
    </font>
    <font>
      <b/>
      <sz val="12"/>
      <color indexed="8"/>
      <name val="Arial"/>
      <family val="2"/>
    </font>
    <font>
      <sz val="10"/>
      <color indexed="8"/>
      <name val="Arial"/>
      <family val="2"/>
    </font>
    <font>
      <i/>
      <sz val="10"/>
      <color indexed="8"/>
      <name val="Arial"/>
      <family val="2"/>
    </font>
    <font>
      <b/>
      <i/>
      <u/>
      <sz val="11"/>
      <name val="Arial"/>
      <family val="2"/>
    </font>
    <font>
      <sz val="10"/>
      <name val="Arial"/>
      <family val="2"/>
    </font>
    <font>
      <i/>
      <sz val="8"/>
      <color indexed="10"/>
      <name val="Arial"/>
      <family val="2"/>
    </font>
    <font>
      <i/>
      <sz val="9"/>
      <color indexed="10"/>
      <name val="Arial"/>
      <family val="2"/>
    </font>
    <font>
      <sz val="9"/>
      <color indexed="48"/>
      <name val="Arial"/>
      <family val="2"/>
    </font>
    <font>
      <sz val="11"/>
      <name val="Calibri"/>
      <family val="2"/>
    </font>
    <font>
      <sz val="10"/>
      <name val="Geneva"/>
      <family val="2"/>
    </font>
    <font>
      <sz val="10"/>
      <color indexed="10"/>
      <name val="Arial"/>
      <family val="2"/>
    </font>
    <font>
      <i/>
      <vertAlign val="superscript"/>
      <sz val="11"/>
      <color indexed="10"/>
      <name val="Arial"/>
      <family val="2"/>
    </font>
    <font>
      <b/>
      <sz val="12"/>
      <color indexed="10"/>
      <name val="Arial"/>
      <family val="2"/>
    </font>
    <font>
      <vertAlign val="superscript"/>
      <sz val="9"/>
      <name val="Arial"/>
      <family val="2"/>
    </font>
    <font>
      <vertAlign val="superscript"/>
      <sz val="10"/>
      <name val="55 Helvetica Roman"/>
    </font>
    <font>
      <i/>
      <vertAlign val="superscript"/>
      <sz val="9"/>
      <name val="Arial"/>
      <family val="2"/>
    </font>
    <font>
      <sz val="11"/>
      <color indexed="10"/>
      <name val="Arial"/>
      <family val="2"/>
    </font>
    <font>
      <sz val="10"/>
      <color indexed="10"/>
      <name val="Arial"/>
      <family val="2"/>
    </font>
    <font>
      <u/>
      <sz val="10"/>
      <name val="55 Helvetica Roman"/>
    </font>
    <font>
      <sz val="8"/>
      <color indexed="10"/>
      <name val="Arial"/>
      <family val="2"/>
    </font>
    <font>
      <sz val="11"/>
      <color indexed="10"/>
      <name val="Arial"/>
      <family val="2"/>
    </font>
    <font>
      <sz val="10"/>
      <color indexed="10"/>
      <name val="Arial"/>
      <family val="2"/>
    </font>
    <font>
      <vertAlign val="superscript"/>
      <sz val="11"/>
      <color indexed="10"/>
      <name val="Arial"/>
      <family val="2"/>
    </font>
    <font>
      <sz val="10"/>
      <color indexed="9"/>
      <name val="Arial"/>
      <family val="2"/>
    </font>
    <font>
      <sz val="10"/>
      <color indexed="15"/>
      <name val="Tms Rmn"/>
    </font>
    <font>
      <b/>
      <sz val="10"/>
      <name val="Tms Rmn"/>
    </font>
    <font>
      <b/>
      <i/>
      <sz val="10"/>
      <name val="Tms Rmn"/>
    </font>
    <font>
      <sz val="8"/>
      <name val="Tms Rmn"/>
    </font>
    <font>
      <b/>
      <i/>
      <vertAlign val="superscript"/>
      <sz val="10"/>
      <name val="Arial"/>
      <family val="2"/>
    </font>
    <font>
      <b/>
      <vertAlign val="superscript"/>
      <sz val="9"/>
      <name val="Arial"/>
      <family val="2"/>
    </font>
    <font>
      <b/>
      <sz val="8"/>
      <name val="Tms Rmn"/>
    </font>
    <font>
      <vertAlign val="superscript"/>
      <sz val="8"/>
      <name val="Arial"/>
      <family val="2"/>
    </font>
    <font>
      <sz val="10"/>
      <color indexed="56"/>
      <name val="Tms Rmn"/>
    </font>
    <font>
      <b/>
      <sz val="10"/>
      <color indexed="56"/>
      <name val="Tms Rmn"/>
    </font>
    <font>
      <b/>
      <sz val="10"/>
      <color indexed="17"/>
      <name val="Tms Rmn"/>
    </font>
    <font>
      <b/>
      <sz val="10"/>
      <color indexed="52"/>
      <name val="Tms Rmn"/>
    </font>
    <font>
      <b/>
      <sz val="12"/>
      <name val="Times New Roman"/>
      <family val="1"/>
    </font>
    <font>
      <b/>
      <i/>
      <sz val="9"/>
      <name val="Arial"/>
      <family val="2"/>
    </font>
    <font>
      <b/>
      <i/>
      <vertAlign val="superscript"/>
      <sz val="9"/>
      <name val="Arial"/>
      <family val="2"/>
    </font>
    <font>
      <sz val="10"/>
      <color indexed="10"/>
      <name val="Arial"/>
      <family val="2"/>
    </font>
    <font>
      <b/>
      <sz val="12"/>
      <color indexed="10"/>
      <name val="Arial"/>
      <family val="2"/>
    </font>
    <font>
      <b/>
      <sz val="10"/>
      <color indexed="10"/>
      <name val="Arial"/>
      <family val="2"/>
    </font>
    <font>
      <b/>
      <vertAlign val="superscript"/>
      <sz val="12"/>
      <color indexed="10"/>
      <name val="Arial"/>
      <family val="2"/>
    </font>
    <font>
      <sz val="10"/>
      <color indexed="10"/>
      <name val="Arial"/>
      <family val="2"/>
    </font>
    <font>
      <b/>
      <sz val="12"/>
      <color indexed="10"/>
      <name val="Arial"/>
      <family val="2"/>
    </font>
    <font>
      <b/>
      <sz val="8"/>
      <color indexed="10"/>
      <name val="Arial"/>
      <family val="2"/>
    </font>
    <font>
      <b/>
      <i/>
      <sz val="8"/>
      <name val="Arial"/>
      <family val="2"/>
    </font>
    <font>
      <b/>
      <sz val="14"/>
      <name val="Times New Roman"/>
      <family val="1"/>
    </font>
    <font>
      <sz val="14"/>
      <name val="Times New Roman"/>
      <family val="1"/>
    </font>
    <font>
      <sz val="10"/>
      <name val="Times New Roman"/>
      <family val="1"/>
    </font>
    <font>
      <sz val="8"/>
      <name val="Times New Roman"/>
      <family val="1"/>
    </font>
    <font>
      <sz val="11"/>
      <color rgb="FFFF0000"/>
      <name val="Arial"/>
      <family val="2"/>
    </font>
    <font>
      <sz val="10"/>
      <color theme="0"/>
      <name val="Arial"/>
      <family val="2"/>
    </font>
    <font>
      <b/>
      <sz val="10"/>
      <color theme="0"/>
      <name val="Arial"/>
      <family val="2"/>
    </font>
    <font>
      <sz val="10"/>
      <color rgb="FFFF0000"/>
      <name val="Arial"/>
      <family val="2"/>
    </font>
    <font>
      <i/>
      <sz val="10"/>
      <color rgb="FF000000"/>
      <name val="Arial"/>
      <family val="2"/>
    </font>
    <font>
      <sz val="10"/>
      <color rgb="FF000000"/>
      <name val="Arial"/>
      <family val="2"/>
    </font>
    <font>
      <sz val="11"/>
      <color rgb="FF000000"/>
      <name val="Calibri"/>
      <family val="2"/>
    </font>
    <font>
      <b/>
      <sz val="11"/>
      <color theme="1"/>
      <name val="Calibri"/>
      <family val="2"/>
      <scheme val="minor"/>
    </font>
    <font>
      <i/>
      <sz val="11"/>
      <color rgb="FFFF0000"/>
      <name val="Arial"/>
      <family val="2"/>
    </font>
    <font>
      <i/>
      <sz val="11"/>
      <color theme="1"/>
      <name val="Arial"/>
      <family val="2"/>
    </font>
    <font>
      <b/>
      <i/>
      <sz val="11"/>
      <color theme="1"/>
      <name val="Arial"/>
      <family val="2"/>
    </font>
    <font>
      <sz val="10"/>
      <color theme="0"/>
      <name val="55 Helvetica Roman"/>
    </font>
    <font>
      <sz val="10"/>
      <color rgb="FFFF0000"/>
      <name val="55 Helvetica Roman"/>
    </font>
    <font>
      <b/>
      <sz val="11"/>
      <color rgb="FFFF0000"/>
      <name val="Arial"/>
      <family val="2"/>
    </font>
  </fonts>
  <fills count="23">
    <fill>
      <patternFill patternType="none"/>
    </fill>
    <fill>
      <patternFill patternType="gray125"/>
    </fill>
    <fill>
      <patternFill patternType="solid">
        <fgColor indexed="44"/>
        <bgColor indexed="64"/>
      </patternFill>
    </fill>
    <fill>
      <patternFill patternType="solid">
        <fgColor indexed="42"/>
        <bgColor indexed="64"/>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indexed="47"/>
        <bgColor indexed="64"/>
      </patternFill>
    </fill>
    <fill>
      <patternFill patternType="lightGray">
        <fgColor indexed="22"/>
        <bgColor indexed="22"/>
      </patternFill>
    </fill>
    <fill>
      <patternFill patternType="solid">
        <fgColor indexed="47"/>
        <bgColor indexed="47"/>
      </patternFill>
    </fill>
    <fill>
      <patternFill patternType="solid">
        <fgColor indexed="41"/>
        <bgColor indexed="64"/>
      </patternFill>
    </fill>
    <fill>
      <patternFill patternType="solid">
        <fgColor theme="0"/>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rgb="FFEAEAEA"/>
        <bgColor indexed="64"/>
      </patternFill>
    </fill>
    <fill>
      <patternFill patternType="solid">
        <fgColor rgb="FFC0C0C0"/>
        <bgColor indexed="64"/>
      </patternFill>
    </fill>
    <fill>
      <patternFill patternType="solid">
        <fgColor theme="0" tint="-0.34998626667073579"/>
        <bgColor indexed="64"/>
      </patternFill>
    </fill>
    <fill>
      <patternFill patternType="solid">
        <fgColor theme="3" tint="0.39997558519241921"/>
        <bgColor indexed="64"/>
      </patternFill>
    </fill>
    <fill>
      <gradientFill>
        <stop position="0">
          <color theme="6" tint="0.80001220740379042"/>
        </stop>
        <stop position="1">
          <color rgb="FF00B050"/>
        </stop>
      </gradientFill>
    </fill>
    <fill>
      <patternFill patternType="solid">
        <fgColor theme="0" tint="-0.14999847407452621"/>
        <bgColor indexed="47"/>
      </patternFill>
    </fill>
  </fills>
  <borders count="55">
    <border>
      <left/>
      <right/>
      <top/>
      <bottom/>
      <diagonal/>
    </border>
    <border>
      <left style="hair">
        <color indexed="64"/>
      </left>
      <right style="hair">
        <color indexed="64"/>
      </right>
      <top style="hair">
        <color indexed="64"/>
      </top>
      <bottom/>
      <diagonal/>
    </border>
    <border>
      <left style="thin">
        <color indexed="64"/>
      </left>
      <right/>
      <top/>
      <bottom/>
      <diagonal/>
    </border>
    <border>
      <left/>
      <right/>
      <top/>
      <bottom style="medium">
        <color indexed="64"/>
      </bottom>
      <diagonal/>
    </border>
    <border>
      <left/>
      <right/>
      <top/>
      <bottom style="thin">
        <color indexed="64"/>
      </bottom>
      <diagonal/>
    </border>
    <border>
      <left/>
      <right/>
      <top/>
      <bottom style="medium">
        <color indexed="9"/>
      </bottom>
      <diagonal/>
    </border>
    <border>
      <left/>
      <right/>
      <top style="medium">
        <color indexed="9"/>
      </top>
      <bottom style="medium">
        <color indexed="9"/>
      </bottom>
      <diagonal/>
    </border>
    <border>
      <left/>
      <right/>
      <top style="medium">
        <color indexed="9"/>
      </top>
      <bottom style="medium">
        <color indexed="64"/>
      </bottom>
      <diagonal/>
    </border>
    <border>
      <left/>
      <right/>
      <top style="medium">
        <color indexed="64"/>
      </top>
      <bottom/>
      <diagonal/>
    </border>
    <border>
      <left/>
      <right/>
      <top style="hair">
        <color indexed="64"/>
      </top>
      <bottom style="hair">
        <color indexed="64"/>
      </bottom>
      <diagonal/>
    </border>
    <border>
      <left/>
      <right/>
      <top style="hair">
        <color indexed="8"/>
      </top>
      <bottom style="hair">
        <color indexed="8"/>
      </bottom>
      <diagonal/>
    </border>
    <border>
      <left/>
      <right/>
      <top style="thin">
        <color indexed="64"/>
      </top>
      <bottom/>
      <diagonal/>
    </border>
    <border>
      <left/>
      <right/>
      <top style="thin">
        <color indexed="64"/>
      </top>
      <bottom style="medium">
        <color indexed="9"/>
      </bottom>
      <diagonal/>
    </border>
    <border>
      <left/>
      <right/>
      <top style="medium">
        <color indexed="9"/>
      </top>
      <bottom/>
      <diagonal/>
    </border>
    <border>
      <left style="thin">
        <color indexed="64"/>
      </left>
      <right/>
      <top style="medium">
        <color indexed="9"/>
      </top>
      <bottom style="medium">
        <color indexed="9"/>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9"/>
      </top>
      <bottom style="thin">
        <color indexed="64"/>
      </bottom>
      <diagonal/>
    </border>
    <border>
      <left/>
      <right/>
      <top style="medium">
        <color indexed="64"/>
      </top>
      <bottom style="medium">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style="thin">
        <color indexed="64"/>
      </top>
      <bottom style="medium">
        <color indexed="9"/>
      </bottom>
      <diagonal/>
    </border>
    <border>
      <left style="medium">
        <color indexed="64"/>
      </left>
      <right/>
      <top style="medium">
        <color indexed="9"/>
      </top>
      <bottom style="medium">
        <color indexed="9"/>
      </bottom>
      <diagonal/>
    </border>
    <border>
      <left style="medium">
        <color indexed="64"/>
      </left>
      <right/>
      <top/>
      <bottom style="medium">
        <color indexed="9"/>
      </bottom>
      <diagonal/>
    </border>
    <border>
      <left style="medium">
        <color indexed="64"/>
      </left>
      <right/>
      <top style="medium">
        <color indexed="9"/>
      </top>
      <bottom/>
      <diagonal/>
    </border>
    <border>
      <left style="medium">
        <color indexed="64"/>
      </left>
      <right/>
      <top style="medium">
        <color indexed="9"/>
      </top>
      <bottom style="medium">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thin">
        <color indexed="8"/>
      </top>
      <bottom style="medium">
        <color indexed="9"/>
      </bottom>
      <diagonal/>
    </border>
    <border>
      <left style="medium">
        <color indexed="64"/>
      </left>
      <right/>
      <top style="thin">
        <color indexed="8"/>
      </top>
      <bottom style="medium">
        <color indexed="9"/>
      </bottom>
      <diagonal/>
    </border>
    <border>
      <left style="medium">
        <color indexed="64"/>
      </left>
      <right/>
      <top style="thin">
        <color indexed="8"/>
      </top>
      <bottom/>
      <diagonal/>
    </border>
    <border>
      <left/>
      <right/>
      <top style="thin">
        <color indexed="8"/>
      </top>
      <bottom/>
      <diagonal/>
    </border>
    <border>
      <left style="medium">
        <color indexed="64"/>
      </left>
      <right/>
      <top/>
      <bottom style="medium">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bottom style="hair">
        <color indexed="64"/>
      </bottom>
      <diagonal/>
    </border>
    <border>
      <left/>
      <right/>
      <top style="medium">
        <color theme="0"/>
      </top>
      <bottom style="medium">
        <color theme="0"/>
      </bottom>
      <diagonal/>
    </border>
    <border>
      <left/>
      <right/>
      <top style="medium">
        <color indexed="9"/>
      </top>
      <bottom style="medium">
        <color theme="0"/>
      </bottom>
      <diagonal/>
    </border>
    <border>
      <left/>
      <right/>
      <top style="medium">
        <color theme="0"/>
      </top>
      <bottom style="medium">
        <color indexed="9"/>
      </bottom>
      <diagonal/>
    </border>
    <border>
      <left style="medium">
        <color indexed="9"/>
      </left>
      <right/>
      <top style="medium">
        <color indexed="9"/>
      </top>
      <bottom style="medium">
        <color theme="0"/>
      </bottom>
      <diagonal/>
    </border>
    <border>
      <left style="medium">
        <color indexed="9"/>
      </left>
      <right/>
      <top style="medium">
        <color theme="0"/>
      </top>
      <bottom style="medium">
        <color indexed="9"/>
      </bottom>
      <diagonal/>
    </border>
    <border>
      <left/>
      <right/>
      <top style="thin">
        <color indexed="64"/>
      </top>
      <bottom style="medium">
        <color theme="0"/>
      </bottom>
      <diagonal/>
    </border>
    <border>
      <left/>
      <right/>
      <top/>
      <bottom style="medium">
        <color theme="0"/>
      </bottom>
      <diagonal/>
    </border>
    <border>
      <left/>
      <right/>
      <top style="medium">
        <color theme="0"/>
      </top>
      <bottom style="medium">
        <color indexed="64"/>
      </bottom>
      <diagonal/>
    </border>
    <border>
      <left style="medium">
        <color indexed="64"/>
      </left>
      <right/>
      <top style="medium">
        <color theme="0"/>
      </top>
      <bottom style="medium">
        <color theme="0"/>
      </bottom>
      <diagonal/>
    </border>
  </borders>
  <cellStyleXfs count="31">
    <xf numFmtId="0" fontId="0" fillId="0" borderId="0"/>
    <xf numFmtId="0" fontId="47"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55" fillId="0" borderId="0"/>
    <xf numFmtId="0" fontId="72"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8"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4" fillId="0" borderId="0"/>
    <xf numFmtId="0" fontId="77" fillId="0" borderId="0"/>
    <xf numFmtId="0" fontId="31" fillId="1" borderId="1" applyNumberFormat="0" applyFont="0" applyFill="0" applyBorder="0" applyAlignment="0">
      <alignment horizontal="right" vertical="top" wrapText="1"/>
    </xf>
  </cellStyleXfs>
  <cellXfs count="2042">
    <xf numFmtId="0" fontId="0" fillId="0" borderId="0" xfId="0"/>
    <xf numFmtId="0" fontId="2" fillId="0" borderId="0" xfId="0" applyFont="1"/>
    <xf numFmtId="0" fontId="3" fillId="0" borderId="0" xfId="0" applyFont="1" applyAlignment="1">
      <alignment horizontal="left"/>
    </xf>
    <xf numFmtId="0" fontId="4" fillId="0" borderId="0" xfId="0" applyFont="1"/>
    <xf numFmtId="0" fontId="5" fillId="0" borderId="0" xfId="0" applyFont="1" applyAlignment="1">
      <alignment horizontal="left"/>
    </xf>
    <xf numFmtId="0" fontId="6" fillId="0" borderId="0" xfId="0" applyFont="1" applyAlignment="1">
      <alignment horizontal="left"/>
    </xf>
    <xf numFmtId="3" fontId="4" fillId="0" borderId="0" xfId="0" applyNumberFormat="1" applyFont="1"/>
    <xf numFmtId="0" fontId="6" fillId="0" borderId="0" xfId="0" applyFont="1"/>
    <xf numFmtId="3" fontId="7" fillId="0" borderId="0" xfId="0" applyNumberFormat="1" applyFont="1" applyBorder="1" applyAlignment="1">
      <alignment horizontal="right"/>
    </xf>
    <xf numFmtId="0" fontId="8" fillId="2" borderId="0" xfId="0" applyFont="1" applyFill="1"/>
    <xf numFmtId="0" fontId="9" fillId="2" borderId="0" xfId="0" applyFont="1" applyFill="1"/>
    <xf numFmtId="0" fontId="10" fillId="3" borderId="0" xfId="0" applyFont="1" applyFill="1"/>
    <xf numFmtId="0" fontId="0" fillId="3" borderId="0" xfId="0" applyFill="1"/>
    <xf numFmtId="0" fontId="4" fillId="3" borderId="0" xfId="0" applyFont="1" applyFill="1"/>
    <xf numFmtId="0" fontId="12" fillId="3" borderId="0" xfId="0" applyFont="1" applyFill="1"/>
    <xf numFmtId="0" fontId="10" fillId="0" borderId="0" xfId="0" applyFont="1" applyFill="1"/>
    <xf numFmtId="0" fontId="0" fillId="0" borderId="0" xfId="0" applyFill="1"/>
    <xf numFmtId="0" fontId="4" fillId="0" borderId="0" xfId="0" applyFont="1" applyFill="1"/>
    <xf numFmtId="0" fontId="12" fillId="0" borderId="0" xfId="0" applyFont="1" applyFill="1"/>
    <xf numFmtId="0" fontId="13" fillId="3" borderId="0" xfId="0" applyFont="1" applyFill="1"/>
    <xf numFmtId="14" fontId="14" fillId="3" borderId="0" xfId="0" applyNumberFormat="1" applyFont="1" applyFill="1"/>
    <xf numFmtId="0" fontId="15" fillId="3" borderId="0" xfId="0" applyFont="1" applyFill="1"/>
    <xf numFmtId="0" fontId="16" fillId="3" borderId="0" xfId="0" applyFont="1" applyFill="1"/>
    <xf numFmtId="0" fontId="16" fillId="0" borderId="0" xfId="0" applyFont="1" applyFill="1"/>
    <xf numFmtId="0" fontId="1" fillId="0" borderId="0" xfId="0" applyFont="1" applyFill="1"/>
    <xf numFmtId="0" fontId="15" fillId="0" borderId="0" xfId="0" applyFont="1" applyFill="1"/>
    <xf numFmtId="0" fontId="17" fillId="0" borderId="0" xfId="0" applyFont="1" applyFill="1"/>
    <xf numFmtId="0" fontId="18" fillId="3" borderId="0" xfId="0" applyFont="1" applyFill="1"/>
    <xf numFmtId="0" fontId="18" fillId="0" borderId="0" xfId="0" applyFont="1" applyFill="1"/>
    <xf numFmtId="0" fontId="12" fillId="2" borderId="0" xfId="0" applyFont="1" applyFill="1"/>
    <xf numFmtId="0" fontId="19" fillId="2" borderId="0" xfId="0" applyFont="1" applyFill="1"/>
    <xf numFmtId="0" fontId="16" fillId="2" borderId="0" xfId="0" applyFont="1" applyFill="1"/>
    <xf numFmtId="0" fontId="4" fillId="2" borderId="0" xfId="0" applyFont="1" applyFill="1"/>
    <xf numFmtId="14" fontId="15" fillId="3" borderId="0" xfId="0" applyNumberFormat="1" applyFont="1" applyFill="1"/>
    <xf numFmtId="2" fontId="20" fillId="0" borderId="0" xfId="0" applyNumberFormat="1" applyFont="1"/>
    <xf numFmtId="0" fontId="21" fillId="0" borderId="0" xfId="0" applyFont="1" applyFill="1"/>
    <xf numFmtId="0" fontId="22" fillId="0" borderId="0" xfId="0" applyFont="1"/>
    <xf numFmtId="0" fontId="23" fillId="3" borderId="0" xfId="0" applyFont="1" applyFill="1"/>
    <xf numFmtId="0" fontId="24" fillId="3" borderId="0" xfId="0" applyFont="1" applyFill="1"/>
    <xf numFmtId="0" fontId="25" fillId="0" borderId="0" xfId="0" applyFont="1" applyFill="1"/>
    <xf numFmtId="0" fontId="25" fillId="0" borderId="0" xfId="0" applyFont="1" applyFill="1" applyAlignment="1">
      <alignment horizontal="right"/>
    </xf>
    <xf numFmtId="0" fontId="24" fillId="0" borderId="0" xfId="0" applyFont="1" applyFill="1"/>
    <xf numFmtId="0" fontId="25" fillId="11" borderId="0" xfId="0" applyFont="1" applyFill="1"/>
    <xf numFmtId="0" fontId="4" fillId="11" borderId="0" xfId="0" applyFont="1" applyFill="1"/>
    <xf numFmtId="0" fontId="26" fillId="5" borderId="0" xfId="0" applyFont="1" applyFill="1"/>
    <xf numFmtId="0" fontId="4" fillId="5" borderId="0" xfId="0" applyFont="1" applyFill="1"/>
    <xf numFmtId="0" fontId="19" fillId="0" borderId="0" xfId="0" applyFont="1" applyFill="1"/>
    <xf numFmtId="14" fontId="14" fillId="5" borderId="0" xfId="0" applyNumberFormat="1" applyFont="1" applyFill="1"/>
    <xf numFmtId="14" fontId="30" fillId="5" borderId="0" xfId="0" applyNumberFormat="1" applyFont="1" applyFill="1"/>
    <xf numFmtId="0" fontId="30" fillId="0" borderId="0" xfId="0" applyFont="1"/>
    <xf numFmtId="2" fontId="30" fillId="5" borderId="0" xfId="0" applyNumberFormat="1" applyFont="1" applyFill="1" applyAlignment="1">
      <alignment horizontal="left"/>
    </xf>
    <xf numFmtId="2" fontId="4" fillId="5" borderId="0" xfId="0" applyNumberFormat="1" applyFont="1" applyFill="1" applyAlignment="1">
      <alignment horizontal="left"/>
    </xf>
    <xf numFmtId="14" fontId="4" fillId="5" borderId="0" xfId="0" applyNumberFormat="1" applyFont="1" applyFill="1"/>
    <xf numFmtId="2" fontId="4" fillId="0" borderId="0" xfId="0" applyNumberFormat="1" applyFont="1" applyFill="1" applyAlignment="1">
      <alignment horizontal="left"/>
    </xf>
    <xf numFmtId="14" fontId="4" fillId="0" borderId="0" xfId="0" applyNumberFormat="1" applyFont="1" applyFill="1"/>
    <xf numFmtId="14" fontId="14" fillId="0" borderId="0" xfId="0" applyNumberFormat="1" applyFont="1" applyFill="1"/>
    <xf numFmtId="0" fontId="31" fillId="0" borderId="0" xfId="0" applyFont="1" applyFill="1"/>
    <xf numFmtId="9" fontId="33" fillId="0" borderId="0" xfId="0" applyNumberFormat="1" applyFont="1" applyFill="1" applyAlignment="1">
      <alignment horizontal="right"/>
    </xf>
    <xf numFmtId="2" fontId="22" fillId="0" borderId="0" xfId="0" applyNumberFormat="1" applyFont="1"/>
    <xf numFmtId="0" fontId="28" fillId="12" borderId="0" xfId="0" applyFont="1" applyFill="1" applyAlignment="1">
      <alignment horizontal="left"/>
    </xf>
    <xf numFmtId="2" fontId="28" fillId="12" borderId="0" xfId="0" applyNumberFormat="1" applyFont="1" applyFill="1" applyAlignment="1">
      <alignment horizontal="center"/>
    </xf>
    <xf numFmtId="0" fontId="34" fillId="12" borderId="0" xfId="0" applyFont="1" applyFill="1" applyAlignment="1"/>
    <xf numFmtId="0" fontId="4" fillId="12" borderId="0" xfId="0" applyFont="1" applyFill="1"/>
    <xf numFmtId="0" fontId="4" fillId="13" borderId="0" xfId="0" applyFont="1" applyFill="1"/>
    <xf numFmtId="0" fontId="4" fillId="0" borderId="2" xfId="0" applyFont="1" applyBorder="1"/>
    <xf numFmtId="0" fontId="7" fillId="12" borderId="0" xfId="0" applyFont="1" applyFill="1" applyAlignment="1">
      <alignment horizontal="left"/>
    </xf>
    <xf numFmtId="0" fontId="7" fillId="12" borderId="0" xfId="0" applyFont="1" applyFill="1"/>
    <xf numFmtId="0" fontId="33" fillId="0" borderId="2" xfId="0" applyFont="1" applyBorder="1"/>
    <xf numFmtId="0" fontId="33" fillId="0" borderId="0" xfId="0" applyFont="1"/>
    <xf numFmtId="0" fontId="35" fillId="12" borderId="0" xfId="0" applyFont="1" applyFill="1" applyAlignment="1">
      <alignment horizontal="left"/>
    </xf>
    <xf numFmtId="0" fontId="35" fillId="12" borderId="0" xfId="0" applyFont="1" applyFill="1"/>
    <xf numFmtId="0" fontId="33" fillId="12" borderId="0" xfId="0" applyFont="1" applyFill="1"/>
    <xf numFmtId="0" fontId="4" fillId="6" borderId="0" xfId="0" applyFont="1" applyFill="1"/>
    <xf numFmtId="0" fontId="28" fillId="0" borderId="0" xfId="25" applyFont="1"/>
    <xf numFmtId="0" fontId="36" fillId="0" borderId="0" xfId="0" applyFont="1"/>
    <xf numFmtId="0" fontId="37" fillId="0" borderId="0" xfId="0" applyFont="1"/>
    <xf numFmtId="0" fontId="8" fillId="0" borderId="0" xfId="0" applyFont="1"/>
    <xf numFmtId="0" fontId="19" fillId="0" borderId="0" xfId="0" applyFont="1" applyAlignment="1">
      <alignment horizontal="left"/>
    </xf>
    <xf numFmtId="0" fontId="18" fillId="0" borderId="0" xfId="0" applyFont="1"/>
    <xf numFmtId="0" fontId="8" fillId="0" borderId="0" xfId="0" applyFont="1" applyAlignment="1">
      <alignment horizontal="left"/>
    </xf>
    <xf numFmtId="0" fontId="4" fillId="0" borderId="0" xfId="0" applyFont="1" applyAlignment="1">
      <alignment horizontal="left"/>
    </xf>
    <xf numFmtId="0" fontId="4" fillId="0" borderId="0" xfId="25" applyFont="1" applyAlignment="1">
      <alignment horizontal="right"/>
    </xf>
    <xf numFmtId="0" fontId="38" fillId="0" borderId="0" xfId="2" applyAlignment="1" applyProtection="1">
      <alignment horizontal="left"/>
    </xf>
    <xf numFmtId="0" fontId="38" fillId="0" borderId="0" xfId="2" applyAlignment="1" applyProtection="1">
      <alignment horizontal="justify"/>
    </xf>
    <xf numFmtId="0" fontId="38" fillId="0" borderId="0" xfId="2" applyAlignment="1" applyProtection="1"/>
    <xf numFmtId="0" fontId="4" fillId="0" borderId="0" xfId="12"/>
    <xf numFmtId="0" fontId="40" fillId="0" borderId="0" xfId="26" applyFont="1"/>
    <xf numFmtId="0" fontId="4" fillId="0" borderId="0" xfId="26"/>
    <xf numFmtId="0" fontId="4" fillId="0" borderId="0" xfId="26" applyBorder="1"/>
    <xf numFmtId="0" fontId="19" fillId="0" borderId="0" xfId="26" applyFont="1" applyBorder="1"/>
    <xf numFmtId="0" fontId="19" fillId="0" borderId="3" xfId="26" applyFont="1" applyBorder="1"/>
    <xf numFmtId="0" fontId="4" fillId="0" borderId="3" xfId="26" applyBorder="1"/>
    <xf numFmtId="0" fontId="4" fillId="0" borderId="0" xfId="26" applyAlignment="1">
      <alignment vertical="center"/>
    </xf>
    <xf numFmtId="0" fontId="4" fillId="0" borderId="0" xfId="26" applyAlignment="1">
      <alignment horizontal="center"/>
    </xf>
    <xf numFmtId="0" fontId="4" fillId="0" borderId="4" xfId="26" applyBorder="1"/>
    <xf numFmtId="0" fontId="4" fillId="0" borderId="4" xfId="26" applyBorder="1" applyAlignment="1">
      <alignment horizontal="center"/>
    </xf>
    <xf numFmtId="49" fontId="4" fillId="0" borderId="0" xfId="26" applyNumberFormat="1" applyBorder="1" applyAlignment="1">
      <alignment horizontal="center"/>
    </xf>
    <xf numFmtId="0" fontId="4" fillId="0" borderId="0" xfId="26" applyBorder="1" applyAlignment="1">
      <alignment horizontal="center"/>
    </xf>
    <xf numFmtId="0" fontId="4" fillId="11" borderId="0" xfId="26" applyFill="1" applyBorder="1" applyAlignment="1">
      <alignment horizontal="center"/>
    </xf>
    <xf numFmtId="49" fontId="4" fillId="0" borderId="0" xfId="26" applyNumberFormat="1" applyAlignment="1">
      <alignment horizontal="center"/>
    </xf>
    <xf numFmtId="49" fontId="4" fillId="0" borderId="4" xfId="26" applyNumberFormat="1" applyBorder="1" applyAlignment="1">
      <alignment horizontal="center"/>
    </xf>
    <xf numFmtId="49" fontId="33" fillId="0" borderId="3" xfId="26" applyNumberFormat="1" applyFont="1" applyBorder="1" applyAlignment="1">
      <alignment horizontal="center"/>
    </xf>
    <xf numFmtId="49" fontId="4" fillId="0" borderId="3" xfId="26" applyNumberFormat="1" applyBorder="1" applyAlignment="1">
      <alignment horizontal="center"/>
    </xf>
    <xf numFmtId="0" fontId="4" fillId="0" borderId="3" xfId="26" applyBorder="1" applyAlignment="1">
      <alignment horizontal="center"/>
    </xf>
    <xf numFmtId="0" fontId="41" fillId="0" borderId="0" xfId="26" applyFont="1"/>
    <xf numFmtId="0" fontId="4" fillId="0" borderId="0" xfId="26" applyAlignment="1">
      <alignment horizontal="left"/>
    </xf>
    <xf numFmtId="0" fontId="4" fillId="0" borderId="0" xfId="26" applyFont="1"/>
    <xf numFmtId="0" fontId="4" fillId="0" borderId="0" xfId="26" quotePrefix="1" applyAlignment="1">
      <alignment horizontal="left"/>
    </xf>
    <xf numFmtId="14" fontId="4" fillId="0" borderId="0" xfId="26" quotePrefix="1" applyNumberFormat="1" applyAlignment="1">
      <alignment horizontal="left"/>
    </xf>
    <xf numFmtId="0" fontId="30" fillId="0" borderId="0" xfId="12" applyFont="1"/>
    <xf numFmtId="0" fontId="20" fillId="0" borderId="0" xfId="12" applyFont="1"/>
    <xf numFmtId="2" fontId="18" fillId="0" borderId="0" xfId="12" applyNumberFormat="1" applyFont="1"/>
    <xf numFmtId="0" fontId="18" fillId="0" borderId="0" xfId="12" applyFont="1"/>
    <xf numFmtId="0" fontId="18" fillId="0" borderId="0" xfId="12" applyFont="1" applyAlignment="1"/>
    <xf numFmtId="0" fontId="4" fillId="0" borderId="0" xfId="12" quotePrefix="1" applyFont="1" applyAlignment="1">
      <alignment horizontal="right"/>
    </xf>
    <xf numFmtId="0" fontId="4" fillId="0" borderId="0" xfId="12" applyFont="1" applyAlignment="1"/>
    <xf numFmtId="0" fontId="40" fillId="4" borderId="0" xfId="0" applyFont="1" applyFill="1" applyAlignment="1">
      <alignment vertical="top"/>
    </xf>
    <xf numFmtId="0" fontId="18" fillId="4" borderId="0" xfId="0" applyFont="1" applyFill="1"/>
    <xf numFmtId="0" fontId="19" fillId="4" borderId="0" xfId="0" applyFont="1" applyFill="1"/>
    <xf numFmtId="0" fontId="40" fillId="4" borderId="4" xfId="0" applyFont="1" applyFill="1" applyBorder="1" applyAlignment="1">
      <alignment vertical="top"/>
    </xf>
    <xf numFmtId="0" fontId="18" fillId="4" borderId="4" xfId="0" applyFont="1" applyFill="1" applyBorder="1" applyAlignment="1">
      <alignment vertical="center"/>
    </xf>
    <xf numFmtId="0" fontId="4" fillId="4" borderId="4" xfId="0" applyFont="1" applyFill="1" applyBorder="1" applyAlignment="1">
      <alignment vertical="center"/>
    </xf>
    <xf numFmtId="0" fontId="19" fillId="4" borderId="4" xfId="0" applyFont="1" applyFill="1" applyBorder="1" applyAlignment="1">
      <alignment vertical="center"/>
    </xf>
    <xf numFmtId="0" fontId="19" fillId="0" borderId="4" xfId="0" applyFont="1" applyFill="1" applyBorder="1" applyAlignment="1">
      <alignment vertical="center"/>
    </xf>
    <xf numFmtId="0" fontId="4" fillId="0" borderId="4" xfId="0" applyFont="1" applyBorder="1"/>
    <xf numFmtId="0" fontId="20" fillId="0" borderId="4" xfId="0" applyFont="1" applyBorder="1" applyAlignment="1">
      <alignment vertical="top"/>
    </xf>
    <xf numFmtId="0" fontId="45" fillId="7" borderId="0" xfId="0" applyFont="1" applyFill="1" applyBorder="1" applyAlignment="1">
      <alignment horizontal="center"/>
    </xf>
    <xf numFmtId="0" fontId="8" fillId="7" borderId="0" xfId="0" applyFont="1" applyFill="1" applyBorder="1"/>
    <xf numFmtId="0" fontId="8" fillId="6" borderId="0" xfId="0" applyFont="1" applyFill="1" applyBorder="1"/>
    <xf numFmtId="0" fontId="8" fillId="7" borderId="0" xfId="0" applyFont="1" applyFill="1" applyBorder="1" applyAlignment="1">
      <alignment horizontal="right"/>
    </xf>
    <xf numFmtId="0" fontId="8" fillId="6" borderId="0" xfId="0" applyFont="1" applyFill="1" applyBorder="1" applyAlignment="1">
      <alignment horizontal="right"/>
    </xf>
    <xf numFmtId="0" fontId="8" fillId="0" borderId="0" xfId="0" applyFont="1" applyFill="1" applyBorder="1" applyAlignment="1">
      <alignment horizontal="right"/>
    </xf>
    <xf numFmtId="0" fontId="18" fillId="7" borderId="0" xfId="0" applyFont="1" applyFill="1" applyBorder="1" applyAlignment="1">
      <alignment horizontal="center" wrapText="1"/>
    </xf>
    <xf numFmtId="0" fontId="18" fillId="6" borderId="0" xfId="0" applyFont="1" applyFill="1" applyBorder="1" applyAlignment="1">
      <alignment horizontal="center" wrapText="1"/>
    </xf>
    <xf numFmtId="0" fontId="18" fillId="0" borderId="0" xfId="0" applyFont="1" applyFill="1" applyBorder="1" applyAlignment="1">
      <alignment horizontal="right" wrapText="1"/>
    </xf>
    <xf numFmtId="0" fontId="16" fillId="6" borderId="0" xfId="0" applyFont="1" applyFill="1" applyBorder="1"/>
    <xf numFmtId="0" fontId="8" fillId="0" borderId="0" xfId="0" applyFont="1" applyFill="1" applyBorder="1"/>
    <xf numFmtId="0" fontId="45" fillId="7" borderId="4" xfId="0" applyFont="1" applyFill="1" applyBorder="1" applyAlignment="1">
      <alignment horizontal="center"/>
    </xf>
    <xf numFmtId="0" fontId="8" fillId="7" borderId="4" xfId="0" applyFont="1" applyFill="1" applyBorder="1" applyAlignment="1">
      <alignment vertical="top"/>
    </xf>
    <xf numFmtId="0" fontId="8" fillId="6" borderId="4" xfId="0" applyFont="1" applyFill="1" applyBorder="1" applyAlignment="1">
      <alignment vertical="top"/>
    </xf>
    <xf numFmtId="0" fontId="8" fillId="7" borderId="4" xfId="0" applyFont="1" applyFill="1" applyBorder="1" applyAlignment="1">
      <alignment horizontal="right" vertical="top"/>
    </xf>
    <xf numFmtId="0" fontId="8" fillId="6" borderId="4" xfId="0" applyFont="1" applyFill="1" applyBorder="1"/>
    <xf numFmtId="0" fontId="8" fillId="6" borderId="4" xfId="0" applyFont="1" applyFill="1" applyBorder="1" applyAlignment="1">
      <alignment horizontal="right" vertical="top"/>
    </xf>
    <xf numFmtId="0" fontId="8" fillId="0" borderId="4" xfId="0" applyFont="1" applyFill="1" applyBorder="1" applyAlignment="1">
      <alignment horizontal="right" vertical="top"/>
    </xf>
    <xf numFmtId="0" fontId="8" fillId="7" borderId="4" xfId="0" applyFont="1" applyFill="1" applyBorder="1"/>
    <xf numFmtId="0" fontId="30" fillId="7" borderId="5" xfId="0" applyFont="1" applyFill="1" applyBorder="1" applyAlignment="1">
      <alignment horizontal="center"/>
    </xf>
    <xf numFmtId="0" fontId="7" fillId="7" borderId="5" xfId="0" applyFont="1" applyFill="1" applyBorder="1" applyAlignment="1"/>
    <xf numFmtId="3" fontId="7" fillId="6" borderId="5" xfId="0" applyNumberFormat="1" applyFont="1" applyFill="1" applyBorder="1" applyAlignment="1"/>
    <xf numFmtId="3" fontId="7" fillId="7" borderId="5" xfId="0" applyNumberFormat="1" applyFont="1" applyFill="1" applyBorder="1" applyAlignment="1"/>
    <xf numFmtId="3" fontId="8" fillId="7" borderId="5" xfId="0" applyNumberFormat="1" applyFont="1" applyFill="1" applyBorder="1" applyAlignment="1"/>
    <xf numFmtId="3" fontId="7" fillId="0" borderId="5" xfId="0" applyNumberFormat="1" applyFont="1" applyFill="1" applyBorder="1" applyAlignment="1"/>
    <xf numFmtId="170" fontId="4" fillId="7" borderId="5" xfId="0" applyNumberFormat="1" applyFont="1" applyFill="1" applyBorder="1" applyAlignment="1">
      <alignment horizontal="center"/>
    </xf>
    <xf numFmtId="170" fontId="4" fillId="6" borderId="5" xfId="0" applyNumberFormat="1" applyFont="1" applyFill="1" applyBorder="1" applyAlignment="1">
      <alignment horizontal="center"/>
    </xf>
    <xf numFmtId="170" fontId="4" fillId="0" borderId="0" xfId="0" applyNumberFormat="1" applyFont="1" applyFill="1" applyBorder="1" applyAlignment="1">
      <alignment horizontal="center"/>
    </xf>
    <xf numFmtId="0" fontId="30" fillId="7" borderId="6" xfId="0" applyFont="1" applyFill="1" applyBorder="1" applyAlignment="1">
      <alignment horizontal="center"/>
    </xf>
    <xf numFmtId="0" fontId="7" fillId="7" borderId="6" xfId="0" applyFont="1" applyFill="1" applyBorder="1" applyAlignment="1"/>
    <xf numFmtId="3" fontId="7" fillId="6" borderId="6" xfId="0" applyNumberFormat="1" applyFont="1" applyFill="1" applyBorder="1" applyAlignment="1"/>
    <xf numFmtId="3" fontId="7" fillId="7" borderId="6" xfId="0" applyNumberFormat="1" applyFont="1" applyFill="1" applyBorder="1" applyAlignment="1"/>
    <xf numFmtId="3" fontId="8" fillId="7" borderId="6" xfId="0" applyNumberFormat="1" applyFont="1" applyFill="1" applyBorder="1" applyAlignment="1"/>
    <xf numFmtId="3" fontId="7" fillId="6" borderId="6" xfId="0" applyNumberFormat="1" applyFont="1" applyFill="1" applyBorder="1" applyAlignment="1">
      <alignment horizontal="right"/>
    </xf>
    <xf numFmtId="171" fontId="7" fillId="6" borderId="6" xfId="0" applyNumberFormat="1" applyFont="1" applyFill="1" applyBorder="1" applyAlignment="1"/>
    <xf numFmtId="171" fontId="7" fillId="7" borderId="6" xfId="0" applyNumberFormat="1" applyFont="1" applyFill="1" applyBorder="1" applyAlignment="1"/>
    <xf numFmtId="172" fontId="7" fillId="6" borderId="6" xfId="0" applyNumberFormat="1" applyFont="1" applyFill="1" applyBorder="1" applyAlignment="1">
      <alignment horizontal="right"/>
    </xf>
    <xf numFmtId="171" fontId="8" fillId="7" borderId="6" xfId="0" applyNumberFormat="1" applyFont="1" applyFill="1" applyBorder="1" applyAlignment="1"/>
    <xf numFmtId="171" fontId="7" fillId="0" borderId="5" xfId="0" applyNumberFormat="1" applyFont="1" applyFill="1" applyBorder="1" applyAlignment="1"/>
    <xf numFmtId="0" fontId="4" fillId="7" borderId="6" xfId="0" applyFont="1" applyFill="1" applyBorder="1" applyAlignment="1"/>
    <xf numFmtId="3" fontId="35" fillId="6" borderId="6" xfId="0" applyNumberFormat="1" applyFont="1" applyFill="1" applyBorder="1" applyAlignment="1"/>
    <xf numFmtId="3" fontId="51" fillId="7" borderId="6" xfId="0" applyNumberFormat="1" applyFont="1" applyFill="1" applyBorder="1" applyAlignment="1"/>
    <xf numFmtId="170" fontId="33" fillId="7" borderId="5" xfId="0" applyNumberFormat="1" applyFont="1" applyFill="1" applyBorder="1" applyAlignment="1">
      <alignment horizontal="center"/>
    </xf>
    <xf numFmtId="170" fontId="33" fillId="6" borderId="5" xfId="0" applyNumberFormat="1" applyFont="1" applyFill="1" applyBorder="1" applyAlignment="1">
      <alignment horizontal="center"/>
    </xf>
    <xf numFmtId="170" fontId="7" fillId="6" borderId="6" xfId="0" applyNumberFormat="1" applyFont="1" applyFill="1" applyBorder="1" applyAlignment="1"/>
    <xf numFmtId="170" fontId="7" fillId="7" borderId="6" xfId="0" applyNumberFormat="1" applyFont="1" applyFill="1" applyBorder="1" applyAlignment="1"/>
    <xf numFmtId="170" fontId="35" fillId="6" borderId="6" xfId="0" applyNumberFormat="1" applyFont="1" applyFill="1" applyBorder="1" applyAlignment="1"/>
    <xf numFmtId="170" fontId="51" fillId="7" borderId="6" xfId="0" applyNumberFormat="1" applyFont="1" applyFill="1" applyBorder="1" applyAlignment="1"/>
    <xf numFmtId="0" fontId="30" fillId="7" borderId="7" xfId="0" applyFont="1" applyFill="1" applyBorder="1" applyAlignment="1">
      <alignment horizontal="center"/>
    </xf>
    <xf numFmtId="0" fontId="7" fillId="7" borderId="7" xfId="0" applyFont="1" applyFill="1" applyBorder="1" applyAlignment="1"/>
    <xf numFmtId="0" fontId="30" fillId="7" borderId="3" xfId="0" applyFont="1" applyFill="1" applyBorder="1" applyAlignment="1">
      <alignment horizontal="center" vertical="center"/>
    </xf>
    <xf numFmtId="0" fontId="7" fillId="7" borderId="3" xfId="0" applyFont="1" applyFill="1" applyBorder="1" applyAlignment="1">
      <alignment vertical="center"/>
    </xf>
    <xf numFmtId="170" fontId="7" fillId="6" borderId="7" xfId="0" applyNumberFormat="1" applyFont="1" applyFill="1" applyBorder="1" applyAlignment="1">
      <alignment vertical="center"/>
    </xf>
    <xf numFmtId="170" fontId="7" fillId="7" borderId="7" xfId="0" applyNumberFormat="1" applyFont="1" applyFill="1" applyBorder="1" applyAlignment="1">
      <alignment vertical="center"/>
    </xf>
    <xf numFmtId="170" fontId="8" fillId="7" borderId="7" xfId="0" applyNumberFormat="1" applyFont="1" applyFill="1" applyBorder="1" applyAlignment="1">
      <alignment vertical="center"/>
    </xf>
    <xf numFmtId="170" fontId="7" fillId="0" borderId="7" xfId="0" applyNumberFormat="1" applyFont="1" applyFill="1" applyBorder="1" applyAlignment="1">
      <alignment vertical="center"/>
    </xf>
    <xf numFmtId="170" fontId="4" fillId="7" borderId="7" xfId="0" applyNumberFormat="1" applyFont="1" applyFill="1" applyBorder="1" applyAlignment="1">
      <alignment horizontal="center" vertical="center"/>
    </xf>
    <xf numFmtId="170" fontId="4" fillId="6" borderId="7" xfId="0" applyNumberFormat="1" applyFont="1" applyFill="1" applyBorder="1" applyAlignment="1">
      <alignment horizontal="center" vertical="center"/>
    </xf>
    <xf numFmtId="170" fontId="4" fillId="0" borderId="0" xfId="0" applyNumberFormat="1" applyFont="1" applyFill="1" applyBorder="1" applyAlignment="1">
      <alignment horizontal="center" vertical="center"/>
    </xf>
    <xf numFmtId="0" fontId="4" fillId="0" borderId="0" xfId="0" applyFont="1" applyAlignment="1">
      <alignment vertical="center"/>
    </xf>
    <xf numFmtId="0" fontId="4" fillId="11" borderId="8" xfId="0" applyFont="1" applyFill="1" applyBorder="1" applyAlignment="1"/>
    <xf numFmtId="170" fontId="7" fillId="0" borderId="8" xfId="0" applyNumberFormat="1" applyFont="1" applyFill="1" applyBorder="1" applyAlignment="1"/>
    <xf numFmtId="170" fontId="8" fillId="0" borderId="8" xfId="0" applyNumberFormat="1" applyFont="1" applyFill="1" applyBorder="1" applyAlignment="1"/>
    <xf numFmtId="0" fontId="4" fillId="0" borderId="8" xfId="0" applyFont="1" applyBorder="1"/>
    <xf numFmtId="0" fontId="19" fillId="0" borderId="0" xfId="0" applyFont="1" applyBorder="1"/>
    <xf numFmtId="0" fontId="2" fillId="4" borderId="0" xfId="0" applyFont="1" applyFill="1"/>
    <xf numFmtId="0" fontId="20" fillId="4" borderId="0" xfId="0" applyFont="1" applyFill="1"/>
    <xf numFmtId="3" fontId="2" fillId="0" borderId="0" xfId="0" applyNumberFormat="1" applyFont="1" applyFill="1"/>
    <xf numFmtId="0" fontId="20" fillId="0" borderId="0" xfId="0" applyFont="1"/>
    <xf numFmtId="0" fontId="33" fillId="0" borderId="0" xfId="0" applyFont="1" applyFill="1"/>
    <xf numFmtId="0" fontId="7" fillId="0" borderId="0" xfId="0" applyFont="1" applyFill="1" applyBorder="1"/>
    <xf numFmtId="3" fontId="2" fillId="0" borderId="0" xfId="0" applyNumberFormat="1" applyFont="1" applyFill="1" applyBorder="1"/>
    <xf numFmtId="0" fontId="2" fillId="0" borderId="0" xfId="0" applyFont="1" applyBorder="1"/>
    <xf numFmtId="0" fontId="20" fillId="0" borderId="0" xfId="0" applyFont="1" applyBorder="1"/>
    <xf numFmtId="0" fontId="19" fillId="0" borderId="0" xfId="0" applyFont="1"/>
    <xf numFmtId="0" fontId="4" fillId="0" borderId="0" xfId="0" applyFont="1" applyAlignment="1">
      <alignment horizontal="right"/>
    </xf>
    <xf numFmtId="0" fontId="52" fillId="0" borderId="0" xfId="0" applyFont="1" applyFill="1" applyAlignment="1">
      <alignment horizontal="center"/>
    </xf>
    <xf numFmtId="0" fontId="33" fillId="0" borderId="0" xfId="0" applyFont="1" applyFill="1" applyAlignment="1">
      <alignment horizontal="center"/>
    </xf>
    <xf numFmtId="0" fontId="41" fillId="0" borderId="0" xfId="0" applyFont="1"/>
    <xf numFmtId="0" fontId="4" fillId="0" borderId="9" xfId="0" applyFont="1" applyBorder="1" applyAlignment="1">
      <alignment horizontal="center"/>
    </xf>
    <xf numFmtId="0" fontId="4" fillId="0" borderId="9" xfId="0" applyFont="1" applyFill="1" applyBorder="1"/>
    <xf numFmtId="0" fontId="4" fillId="0" borderId="9" xfId="0" applyFont="1" applyFill="1" applyBorder="1" applyAlignment="1">
      <alignment horizontal="right"/>
    </xf>
    <xf numFmtId="0" fontId="4" fillId="0" borderId="9" xfId="0" quotePrefix="1" applyFont="1" applyBorder="1"/>
    <xf numFmtId="0" fontId="4" fillId="0" borderId="9" xfId="0" applyFont="1" applyBorder="1"/>
    <xf numFmtId="0" fontId="19" fillId="0" borderId="9" xfId="0" applyFont="1" applyBorder="1"/>
    <xf numFmtId="0" fontId="4" fillId="0" borderId="10" xfId="27" applyFont="1" applyFill="1" applyBorder="1"/>
    <xf numFmtId="0" fontId="4" fillId="0" borderId="9" xfId="0" applyFont="1" applyBorder="1" applyAlignment="1">
      <alignment horizontal="right"/>
    </xf>
    <xf numFmtId="0" fontId="4" fillId="0" borderId="9" xfId="0" quotePrefix="1" applyFont="1" applyBorder="1" applyAlignment="1">
      <alignment horizontal="center"/>
    </xf>
    <xf numFmtId="0" fontId="120" fillId="0" borderId="9" xfId="0" applyFont="1" applyBorder="1" applyAlignment="1">
      <alignment horizontal="right"/>
    </xf>
    <xf numFmtId="0" fontId="120" fillId="0" borderId="9" xfId="0" applyFont="1" applyBorder="1"/>
    <xf numFmtId="0" fontId="121" fillId="0" borderId="9" xfId="0" applyFont="1" applyBorder="1"/>
    <xf numFmtId="0" fontId="120" fillId="0" borderId="9" xfId="0" applyFont="1" applyBorder="1" applyAlignment="1">
      <alignment horizontal="center"/>
    </xf>
    <xf numFmtId="0" fontId="4" fillId="0" borderId="0" xfId="0" applyFont="1" applyBorder="1" applyAlignment="1">
      <alignment horizontal="center"/>
    </xf>
    <xf numFmtId="0" fontId="4" fillId="0" borderId="0" xfId="0" applyFont="1" applyBorder="1"/>
    <xf numFmtId="0" fontId="4" fillId="0" borderId="0" xfId="0" applyFont="1" applyBorder="1" applyAlignment="1">
      <alignment horizontal="right"/>
    </xf>
    <xf numFmtId="0" fontId="2" fillId="0" borderId="0" xfId="0" applyFont="1" applyAlignment="1">
      <alignment horizontal="center"/>
    </xf>
    <xf numFmtId="3" fontId="20" fillId="0" borderId="0" xfId="0" applyNumberFormat="1" applyFont="1"/>
    <xf numFmtId="0" fontId="20" fillId="0" borderId="0" xfId="0" applyFont="1" applyBorder="1" applyAlignment="1">
      <alignment vertical="top"/>
    </xf>
    <xf numFmtId="0" fontId="7" fillId="14" borderId="11" xfId="0" applyFont="1" applyFill="1" applyBorder="1" applyAlignment="1">
      <alignment horizontal="left"/>
    </xf>
    <xf numFmtId="0" fontId="7" fillId="7" borderId="11" xfId="0" applyFont="1" applyFill="1" applyBorder="1" applyAlignment="1">
      <alignment horizontal="center"/>
    </xf>
    <xf numFmtId="3" fontId="8" fillId="14" borderId="11" xfId="0" applyNumberFormat="1" applyFont="1" applyFill="1" applyBorder="1" applyAlignment="1">
      <alignment horizontal="right"/>
    </xf>
    <xf numFmtId="0" fontId="7" fillId="14" borderId="4" xfId="0" applyFont="1" applyFill="1" applyBorder="1" applyAlignment="1">
      <alignment horizontal="left"/>
    </xf>
    <xf numFmtId="0" fontId="7" fillId="6" borderId="4" xfId="0" applyFont="1" applyFill="1" applyBorder="1" applyAlignment="1">
      <alignment horizontal="center"/>
    </xf>
    <xf numFmtId="0" fontId="7" fillId="7" borderId="4" xfId="0" applyFont="1" applyFill="1" applyBorder="1" applyAlignment="1">
      <alignment horizontal="center" vertical="top"/>
    </xf>
    <xf numFmtId="3" fontId="8" fillId="14" borderId="4" xfId="0" applyNumberFormat="1" applyFont="1" applyFill="1" applyBorder="1" applyAlignment="1">
      <alignment horizontal="right" vertical="top"/>
    </xf>
    <xf numFmtId="0" fontId="7" fillId="14" borderId="12" xfId="0" applyFont="1" applyFill="1" applyBorder="1" applyAlignment="1">
      <alignment horizontal="left" vertical="center"/>
    </xf>
    <xf numFmtId="3" fontId="7" fillId="7" borderId="12" xfId="0" applyNumberFormat="1" applyFont="1" applyFill="1" applyBorder="1" applyAlignment="1">
      <alignment horizontal="center" vertical="center"/>
    </xf>
    <xf numFmtId="3" fontId="8" fillId="14" borderId="12" xfId="0" applyNumberFormat="1" applyFont="1" applyFill="1" applyBorder="1" applyAlignment="1">
      <alignment horizontal="right" vertical="center"/>
    </xf>
    <xf numFmtId="0" fontId="7" fillId="14" borderId="6" xfId="0" applyFont="1" applyFill="1" applyBorder="1" applyAlignment="1">
      <alignment horizontal="left" vertical="center"/>
    </xf>
    <xf numFmtId="3" fontId="7" fillId="7" borderId="6" xfId="0" applyNumberFormat="1" applyFont="1" applyFill="1" applyBorder="1" applyAlignment="1">
      <alignment horizontal="center" vertical="center"/>
    </xf>
    <xf numFmtId="0" fontId="7" fillId="14" borderId="6" xfId="0" quotePrefix="1" applyFont="1" applyFill="1" applyBorder="1" applyAlignment="1">
      <alignment horizontal="left" vertical="center"/>
    </xf>
    <xf numFmtId="0" fontId="4" fillId="11" borderId="0" xfId="0" applyFont="1" applyFill="1" applyAlignment="1">
      <alignment horizontal="right"/>
    </xf>
    <xf numFmtId="0" fontId="54" fillId="11" borderId="0" xfId="0" applyFont="1" applyFill="1" applyAlignment="1">
      <alignment horizontal="right"/>
    </xf>
    <xf numFmtId="3" fontId="8" fillId="14" borderId="11" xfId="0" applyNumberFormat="1" applyFont="1" applyFill="1" applyBorder="1" applyAlignment="1">
      <alignment horizontal="right" vertical="center"/>
    </xf>
    <xf numFmtId="3" fontId="8" fillId="14" borderId="46" xfId="0" applyNumberFormat="1" applyFont="1" applyFill="1" applyBorder="1" applyAlignment="1">
      <alignment horizontal="right" vertical="center"/>
    </xf>
    <xf numFmtId="3" fontId="8" fillId="14" borderId="5" xfId="0" applyNumberFormat="1" applyFont="1" applyFill="1" applyBorder="1" applyAlignment="1">
      <alignment horizontal="right" vertical="center"/>
    </xf>
    <xf numFmtId="0" fontId="7" fillId="14" borderId="3" xfId="0" applyFont="1" applyFill="1" applyBorder="1" applyAlignment="1">
      <alignment horizontal="left" vertical="center"/>
    </xf>
    <xf numFmtId="3" fontId="7" fillId="7" borderId="3" xfId="0" applyNumberFormat="1" applyFont="1" applyFill="1" applyBorder="1" applyAlignment="1">
      <alignment horizontal="center" vertical="center"/>
    </xf>
    <xf numFmtId="3" fontId="8" fillId="14" borderId="7" xfId="0" applyNumberFormat="1" applyFont="1" applyFill="1" applyBorder="1" applyAlignment="1">
      <alignment horizontal="right" vertical="center"/>
    </xf>
    <xf numFmtId="0" fontId="4" fillId="0" borderId="0" xfId="0" applyFont="1" applyAlignment="1">
      <alignment horizontal="center"/>
    </xf>
    <xf numFmtId="3" fontId="19" fillId="0" borderId="0" xfId="0" applyNumberFormat="1" applyFont="1"/>
    <xf numFmtId="0" fontId="4" fillId="4" borderId="0" xfId="0" applyFont="1" applyFill="1" applyBorder="1" applyProtection="1"/>
    <xf numFmtId="0" fontId="4" fillId="6" borderId="6" xfId="0" applyFont="1" applyFill="1" applyBorder="1" applyAlignment="1">
      <alignment horizontal="left" vertical="center"/>
    </xf>
    <xf numFmtId="3" fontId="8" fillId="14" borderId="6" xfId="0" applyNumberFormat="1" applyFont="1" applyFill="1" applyBorder="1" applyAlignment="1">
      <alignment horizontal="right" vertical="center"/>
    </xf>
    <xf numFmtId="0" fontId="4" fillId="0" borderId="0" xfId="0" applyFont="1" applyFill="1" applyBorder="1" applyAlignment="1">
      <alignment horizontal="left" vertical="center"/>
    </xf>
    <xf numFmtId="3" fontId="7" fillId="0" borderId="0" xfId="0" applyNumberFormat="1" applyFont="1" applyFill="1" applyBorder="1" applyAlignment="1">
      <alignment horizontal="center" vertical="center"/>
    </xf>
    <xf numFmtId="3" fontId="8" fillId="0" borderId="0" xfId="0" applyNumberFormat="1" applyFont="1" applyFill="1" applyBorder="1" applyAlignment="1">
      <alignment horizontal="right" vertical="center"/>
    </xf>
    <xf numFmtId="0" fontId="52" fillId="15" borderId="0" xfId="0" applyFont="1" applyFill="1" applyBorder="1"/>
    <xf numFmtId="0" fontId="4" fillId="15" borderId="0" xfId="0" applyFont="1" applyFill="1" applyAlignment="1">
      <alignment horizontal="center"/>
    </xf>
    <xf numFmtId="3" fontId="19" fillId="15" borderId="0" xfId="0" applyNumberFormat="1" applyFont="1" applyFill="1"/>
    <xf numFmtId="0" fontId="33" fillId="15" borderId="0" xfId="0" applyFont="1" applyFill="1" applyAlignment="1">
      <alignment horizontal="center"/>
    </xf>
    <xf numFmtId="3" fontId="41" fillId="15" borderId="0" xfId="0" applyNumberFormat="1" applyFont="1" applyFill="1"/>
    <xf numFmtId="0" fontId="30" fillId="4" borderId="0" xfId="0" applyFont="1" applyFill="1" applyBorder="1"/>
    <xf numFmtId="0" fontId="4" fillId="11" borderId="0" xfId="0" applyFont="1" applyFill="1" applyAlignment="1">
      <alignment horizontal="center"/>
    </xf>
    <xf numFmtId="0" fontId="7" fillId="11" borderId="0" xfId="0" applyFont="1" applyFill="1" applyBorder="1" applyAlignment="1">
      <alignment horizontal="left" vertical="center"/>
    </xf>
    <xf numFmtId="3" fontId="7" fillId="11" borderId="0" xfId="0" applyNumberFormat="1" applyFont="1" applyFill="1" applyBorder="1" applyAlignment="1">
      <alignment horizontal="center" vertical="center"/>
    </xf>
    <xf numFmtId="3" fontId="8" fillId="11" borderId="0" xfId="0" applyNumberFormat="1" applyFont="1" applyFill="1" applyBorder="1" applyAlignment="1">
      <alignment horizontal="right" vertical="center"/>
    </xf>
    <xf numFmtId="0" fontId="0" fillId="0" borderId="4" xfId="0" applyBorder="1" applyAlignment="1">
      <alignment wrapText="1"/>
    </xf>
    <xf numFmtId="0" fontId="2" fillId="0" borderId="4" xfId="0" applyFont="1" applyBorder="1" applyAlignment="1">
      <alignment wrapText="1"/>
    </xf>
    <xf numFmtId="3" fontId="8" fillId="14" borderId="3" xfId="0" applyNumberFormat="1" applyFont="1" applyFill="1" applyBorder="1" applyAlignment="1">
      <alignment horizontal="right" vertical="center"/>
    </xf>
    <xf numFmtId="0" fontId="0" fillId="0" borderId="0" xfId="0" applyAlignment="1">
      <alignment wrapText="1"/>
    </xf>
    <xf numFmtId="0" fontId="7" fillId="7" borderId="11" xfId="0" applyFont="1" applyFill="1" applyBorder="1" applyAlignment="1">
      <alignment horizontal="right"/>
    </xf>
    <xf numFmtId="0" fontId="7" fillId="6" borderId="11" xfId="0" applyFont="1" applyFill="1" applyBorder="1" applyAlignment="1">
      <alignment horizontal="right"/>
    </xf>
    <xf numFmtId="0" fontId="7" fillId="6" borderId="0" xfId="0" applyFont="1" applyFill="1" applyBorder="1" applyAlignment="1">
      <alignment horizontal="left"/>
    </xf>
    <xf numFmtId="0" fontId="7" fillId="7" borderId="0" xfId="0" applyFont="1" applyFill="1" applyBorder="1" applyAlignment="1">
      <alignment horizontal="right"/>
    </xf>
    <xf numFmtId="0" fontId="7" fillId="6" borderId="0" xfId="0" applyFont="1" applyFill="1" applyBorder="1" applyAlignment="1">
      <alignment horizontal="right"/>
    </xf>
    <xf numFmtId="3" fontId="7" fillId="6" borderId="0" xfId="0" applyNumberFormat="1" applyFont="1" applyFill="1" applyBorder="1" applyAlignment="1">
      <alignment horizontal="right"/>
    </xf>
    <xf numFmtId="0" fontId="7" fillId="6" borderId="4" xfId="0" applyFont="1" applyFill="1" applyBorder="1" applyAlignment="1">
      <alignment horizontal="left" vertical="top"/>
    </xf>
    <xf numFmtId="0" fontId="7" fillId="7" borderId="4" xfId="0" applyFont="1" applyFill="1" applyBorder="1" applyAlignment="1">
      <alignment horizontal="right" vertical="top"/>
    </xf>
    <xf numFmtId="0" fontId="7" fillId="6" borderId="4" xfId="0" applyFont="1" applyFill="1" applyBorder="1" applyAlignment="1">
      <alignment horizontal="right" vertical="top"/>
    </xf>
    <xf numFmtId="3" fontId="7" fillId="6" borderId="4" xfId="0" applyNumberFormat="1" applyFont="1" applyFill="1" applyBorder="1" applyAlignment="1">
      <alignment horizontal="right" vertical="top"/>
    </xf>
    <xf numFmtId="0" fontId="7" fillId="6" borderId="5" xfId="0" quotePrefix="1" applyFont="1" applyFill="1" applyBorder="1" applyAlignment="1">
      <alignment horizontal="left"/>
    </xf>
    <xf numFmtId="171" fontId="7" fillId="7" borderId="5" xfId="0" applyNumberFormat="1" applyFont="1" applyFill="1" applyBorder="1" applyAlignment="1">
      <alignment horizontal="right"/>
    </xf>
    <xf numFmtId="171" fontId="7" fillId="6" borderId="5" xfId="0" applyNumberFormat="1" applyFont="1" applyFill="1" applyBorder="1" applyAlignment="1">
      <alignment horizontal="right"/>
    </xf>
    <xf numFmtId="0" fontId="7" fillId="6" borderId="6" xfId="0" quotePrefix="1" applyFont="1" applyFill="1" applyBorder="1" applyAlignment="1">
      <alignment horizontal="left"/>
    </xf>
    <xf numFmtId="171" fontId="7" fillId="7" borderId="6" xfId="0" applyNumberFormat="1" applyFont="1" applyFill="1" applyBorder="1" applyAlignment="1">
      <alignment horizontal="right"/>
    </xf>
    <xf numFmtId="171" fontId="7" fillId="6" borderId="6" xfId="0" applyNumberFormat="1" applyFont="1" applyFill="1" applyBorder="1" applyAlignment="1">
      <alignment horizontal="right"/>
    </xf>
    <xf numFmtId="0" fontId="8" fillId="6" borderId="0" xfId="0" quotePrefix="1" applyFont="1" applyFill="1" applyBorder="1" applyAlignment="1">
      <alignment horizontal="left" vertical="center"/>
    </xf>
    <xf numFmtId="171" fontId="8" fillId="7" borderId="0" xfId="0" applyNumberFormat="1" applyFont="1" applyFill="1" applyBorder="1" applyAlignment="1">
      <alignment horizontal="right" vertical="center"/>
    </xf>
    <xf numFmtId="171" fontId="8" fillId="6" borderId="0" xfId="0" applyNumberFormat="1" applyFont="1" applyFill="1" applyBorder="1" applyAlignment="1">
      <alignment horizontal="right" vertical="center"/>
    </xf>
    <xf numFmtId="0" fontId="4" fillId="0" borderId="0" xfId="0" applyFont="1" applyAlignment="1">
      <alignment vertical="top"/>
    </xf>
    <xf numFmtId="3" fontId="7" fillId="7" borderId="5" xfId="0" applyNumberFormat="1" applyFont="1" applyFill="1" applyBorder="1" applyAlignment="1">
      <alignment horizontal="right"/>
    </xf>
    <xf numFmtId="3" fontId="7" fillId="6" borderId="5" xfId="0" applyNumberFormat="1" applyFont="1" applyFill="1" applyBorder="1" applyAlignment="1">
      <alignment horizontal="right"/>
    </xf>
    <xf numFmtId="3" fontId="7" fillId="7" borderId="6" xfId="0" applyNumberFormat="1" applyFont="1" applyFill="1" applyBorder="1" applyAlignment="1">
      <alignment horizontal="right"/>
    </xf>
    <xf numFmtId="3" fontId="8" fillId="7" borderId="0" xfId="0" applyNumberFormat="1" applyFont="1" applyFill="1" applyBorder="1" applyAlignment="1">
      <alignment horizontal="right" vertical="center"/>
    </xf>
    <xf numFmtId="3" fontId="8" fillId="6" borderId="0" xfId="0" applyNumberFormat="1" applyFont="1" applyFill="1" applyBorder="1" applyAlignment="1">
      <alignment horizontal="right" vertical="center"/>
    </xf>
    <xf numFmtId="3" fontId="8" fillId="14" borderId="47" xfId="0" applyNumberFormat="1" applyFont="1" applyFill="1" applyBorder="1" applyAlignment="1">
      <alignment horizontal="right" vertical="center"/>
    </xf>
    <xf numFmtId="0" fontId="20" fillId="0" borderId="4" xfId="0" applyFont="1" applyBorder="1" applyAlignment="1">
      <alignment vertical="center"/>
    </xf>
    <xf numFmtId="0" fontId="0" fillId="0" borderId="4" xfId="0" applyBorder="1" applyAlignment="1">
      <alignment vertical="center"/>
    </xf>
    <xf numFmtId="0" fontId="0" fillId="0" borderId="0" xfId="0" applyBorder="1" applyAlignment="1">
      <alignment vertical="center"/>
    </xf>
    <xf numFmtId="0" fontId="35" fillId="6" borderId="5" xfId="0" applyFont="1" applyFill="1" applyBorder="1" applyAlignment="1">
      <alignment horizontal="left" vertical="center"/>
    </xf>
    <xf numFmtId="0" fontId="7" fillId="6" borderId="5" xfId="0" applyFont="1" applyFill="1" applyBorder="1" applyAlignment="1">
      <alignment horizontal="left" vertical="center"/>
    </xf>
    <xf numFmtId="3" fontId="7" fillId="7" borderId="5" xfId="0" quotePrefix="1" applyNumberFormat="1" applyFont="1" applyFill="1" applyBorder="1" applyAlignment="1">
      <alignment horizontal="center" vertical="center"/>
    </xf>
    <xf numFmtId="0" fontId="35" fillId="6" borderId="6" xfId="0" applyFont="1" applyFill="1" applyBorder="1" applyAlignment="1">
      <alignment horizontal="left" vertical="center"/>
    </xf>
    <xf numFmtId="3" fontId="7" fillId="7" borderId="6" xfId="0" quotePrefix="1" applyNumberFormat="1" applyFont="1" applyFill="1" applyBorder="1" applyAlignment="1">
      <alignment horizontal="center" vertical="center"/>
    </xf>
    <xf numFmtId="0" fontId="4" fillId="0" borderId="8" xfId="0" applyFont="1" applyBorder="1" applyAlignment="1">
      <alignment horizontal="center"/>
    </xf>
    <xf numFmtId="3" fontId="4" fillId="0" borderId="8" xfId="0" applyNumberFormat="1" applyFont="1" applyBorder="1"/>
    <xf numFmtId="3" fontId="19" fillId="0" borderId="0" xfId="0" applyNumberFormat="1" applyFont="1" applyBorder="1"/>
    <xf numFmtId="0" fontId="4" fillId="0" borderId="0" xfId="28" applyFont="1"/>
    <xf numFmtId="0" fontId="7" fillId="6" borderId="11" xfId="0" applyFont="1" applyFill="1" applyBorder="1" applyAlignment="1">
      <alignment horizontal="center"/>
    </xf>
    <xf numFmtId="0" fontId="7" fillId="6" borderId="0" xfId="0" applyFont="1" applyFill="1" applyBorder="1" applyAlignment="1">
      <alignment horizontal="center"/>
    </xf>
    <xf numFmtId="0" fontId="7" fillId="6" borderId="4" xfId="0" applyFont="1" applyFill="1" applyBorder="1" applyAlignment="1">
      <alignment horizontal="center" vertical="top"/>
    </xf>
    <xf numFmtId="170" fontId="7" fillId="6" borderId="5" xfId="0" applyNumberFormat="1" applyFont="1" applyFill="1" applyBorder="1" applyAlignment="1">
      <alignment horizontal="center"/>
    </xf>
    <xf numFmtId="170" fontId="7" fillId="6" borderId="6" xfId="0" applyNumberFormat="1" applyFont="1" applyFill="1" applyBorder="1" applyAlignment="1">
      <alignment horizontal="center"/>
    </xf>
    <xf numFmtId="170" fontId="8" fillId="6" borderId="6" xfId="0" applyNumberFormat="1" applyFont="1" applyFill="1" applyBorder="1" applyAlignment="1">
      <alignment horizontal="center" vertical="center"/>
    </xf>
    <xf numFmtId="0" fontId="20" fillId="0" borderId="0" xfId="0" applyFont="1" applyAlignment="1">
      <alignment vertical="top"/>
    </xf>
    <xf numFmtId="0" fontId="20" fillId="0" borderId="4" xfId="0" applyFont="1" applyFill="1" applyBorder="1" applyAlignment="1">
      <alignment horizontal="right" vertical="top"/>
    </xf>
    <xf numFmtId="0" fontId="7" fillId="7" borderId="0" xfId="0" applyFont="1" applyFill="1" applyBorder="1" applyAlignment="1">
      <alignment horizontal="right" wrapText="1"/>
    </xf>
    <xf numFmtId="0" fontId="7" fillId="6" borderId="0" xfId="0" applyFont="1" applyFill="1" applyBorder="1" applyAlignment="1">
      <alignment horizontal="right" wrapText="1"/>
    </xf>
    <xf numFmtId="0" fontId="7" fillId="7" borderId="0" xfId="0" applyFont="1" applyFill="1" applyBorder="1" applyAlignment="1">
      <alignment horizontal="right" vertical="top"/>
    </xf>
    <xf numFmtId="1" fontId="7" fillId="6" borderId="5" xfId="0" applyNumberFormat="1" applyFont="1" applyFill="1" applyBorder="1" applyAlignment="1">
      <alignment horizontal="left"/>
    </xf>
    <xf numFmtId="173" fontId="7" fillId="7" borderId="5" xfId="0" applyNumberFormat="1" applyFont="1" applyFill="1" applyBorder="1" applyAlignment="1">
      <alignment horizontal="right"/>
    </xf>
    <xf numFmtId="170" fontId="7" fillId="6" borderId="5" xfId="0" applyNumberFormat="1" applyFont="1" applyFill="1" applyBorder="1" applyAlignment="1">
      <alignment horizontal="right"/>
    </xf>
    <xf numFmtId="1" fontId="7" fillId="6" borderId="6" xfId="0" applyNumberFormat="1" applyFont="1" applyFill="1" applyBorder="1" applyAlignment="1">
      <alignment horizontal="left"/>
    </xf>
    <xf numFmtId="173" fontId="7" fillId="7" borderId="6" xfId="0" applyNumberFormat="1" applyFont="1" applyFill="1" applyBorder="1" applyAlignment="1">
      <alignment horizontal="right"/>
    </xf>
    <xf numFmtId="170" fontId="7" fillId="6" borderId="12" xfId="0" applyNumberFormat="1" applyFont="1" applyFill="1" applyBorder="1" applyAlignment="1">
      <alignment horizontal="right"/>
    </xf>
    <xf numFmtId="1" fontId="8" fillId="6" borderId="0" xfId="0" applyNumberFormat="1" applyFont="1" applyFill="1" applyBorder="1" applyAlignment="1">
      <alignment horizontal="left" vertical="center"/>
    </xf>
    <xf numFmtId="173" fontId="8" fillId="7" borderId="0" xfId="0" applyNumberFormat="1" applyFont="1" applyFill="1" applyBorder="1" applyAlignment="1">
      <alignment horizontal="right" vertical="center"/>
    </xf>
    <xf numFmtId="170" fontId="8" fillId="6" borderId="12" xfId="0" applyNumberFormat="1" applyFont="1" applyFill="1" applyBorder="1" applyAlignment="1">
      <alignment horizontal="right" vertical="center"/>
    </xf>
    <xf numFmtId="171" fontId="8" fillId="7" borderId="7" xfId="0" applyNumberFormat="1" applyFont="1" applyFill="1" applyBorder="1" applyAlignment="1">
      <alignment horizontal="right" vertical="center"/>
    </xf>
    <xf numFmtId="3" fontId="0" fillId="0" borderId="0" xfId="0" applyNumberFormat="1"/>
    <xf numFmtId="0" fontId="20" fillId="0" borderId="0" xfId="0" applyFont="1" applyFill="1" applyAlignment="1">
      <alignment horizontal="right" vertical="top"/>
    </xf>
    <xf numFmtId="0" fontId="4" fillId="0" borderId="0" xfId="0" applyFont="1" applyAlignment="1"/>
    <xf numFmtId="0" fontId="33" fillId="0" borderId="0" xfId="0" applyFont="1" applyAlignment="1"/>
    <xf numFmtId="0" fontId="8" fillId="0" borderId="0" xfId="0" applyFont="1" applyFill="1"/>
    <xf numFmtId="3" fontId="8" fillId="0" borderId="0" xfId="0" applyNumberFormat="1" applyFont="1" applyFill="1"/>
    <xf numFmtId="0" fontId="7" fillId="7" borderId="0" xfId="0" applyFont="1" applyFill="1" applyBorder="1" applyAlignment="1">
      <alignment horizontal="center"/>
    </xf>
    <xf numFmtId="0" fontId="7" fillId="0" borderId="0" xfId="0" applyFont="1"/>
    <xf numFmtId="0" fontId="7" fillId="6" borderId="12" xfId="0" applyFont="1" applyFill="1" applyBorder="1" applyAlignment="1">
      <alignment horizontal="left"/>
    </xf>
    <xf numFmtId="3" fontId="7" fillId="7" borderId="12" xfId="0" applyNumberFormat="1" applyFont="1" applyFill="1" applyBorder="1"/>
    <xf numFmtId="3" fontId="7" fillId="6" borderId="12" xfId="0" applyNumberFormat="1" applyFont="1" applyFill="1" applyBorder="1"/>
    <xf numFmtId="170" fontId="7" fillId="7" borderId="12" xfId="0" applyNumberFormat="1" applyFont="1" applyFill="1" applyBorder="1" applyAlignment="1">
      <alignment horizontal="center"/>
    </xf>
    <xf numFmtId="3" fontId="7" fillId="0" borderId="0" xfId="0" applyNumberFormat="1" applyFont="1"/>
    <xf numFmtId="0" fontId="7" fillId="6" borderId="6" xfId="0" applyFont="1" applyFill="1" applyBorder="1" applyAlignment="1">
      <alignment horizontal="left"/>
    </xf>
    <xf numFmtId="0" fontId="7" fillId="6" borderId="47" xfId="0" applyFont="1" applyFill="1" applyBorder="1" applyAlignment="1">
      <alignment horizontal="left"/>
    </xf>
    <xf numFmtId="3" fontId="7" fillId="7" borderId="47" xfId="0" applyNumberFormat="1" applyFont="1" applyFill="1" applyBorder="1"/>
    <xf numFmtId="3" fontId="7" fillId="6" borderId="47" xfId="0" applyNumberFormat="1" applyFont="1" applyFill="1" applyBorder="1"/>
    <xf numFmtId="170" fontId="7" fillId="7" borderId="47" xfId="0" applyNumberFormat="1" applyFont="1" applyFill="1" applyBorder="1" applyAlignment="1">
      <alignment horizontal="center"/>
    </xf>
    <xf numFmtId="0" fontId="7" fillId="6" borderId="46" xfId="0" applyFont="1" applyFill="1" applyBorder="1" applyAlignment="1">
      <alignment horizontal="left"/>
    </xf>
    <xf numFmtId="3" fontId="7" fillId="7" borderId="46" xfId="0" applyNumberFormat="1" applyFont="1" applyFill="1" applyBorder="1"/>
    <xf numFmtId="3" fontId="7" fillId="6" borderId="46" xfId="0" applyNumberFormat="1" applyFont="1" applyFill="1" applyBorder="1"/>
    <xf numFmtId="170" fontId="7" fillId="7" borderId="46" xfId="0" applyNumberFormat="1" applyFont="1" applyFill="1" applyBorder="1" applyAlignment="1">
      <alignment horizontal="center"/>
    </xf>
    <xf numFmtId="0" fontId="7" fillId="6" borderId="48" xfId="0" applyFont="1" applyFill="1" applyBorder="1" applyAlignment="1">
      <alignment horizontal="left"/>
    </xf>
    <xf numFmtId="3" fontId="7" fillId="7" borderId="48" xfId="0" applyNumberFormat="1" applyFont="1" applyFill="1" applyBorder="1"/>
    <xf numFmtId="3" fontId="7" fillId="6" borderId="48" xfId="0" applyNumberFormat="1" applyFont="1" applyFill="1" applyBorder="1"/>
    <xf numFmtId="170" fontId="7" fillId="7" borderId="48" xfId="0" applyNumberFormat="1" applyFont="1" applyFill="1" applyBorder="1" applyAlignment="1">
      <alignment horizontal="center"/>
    </xf>
    <xf numFmtId="3" fontId="7" fillId="7" borderId="12" xfId="0" applyNumberFormat="1" applyFont="1" applyFill="1" applyBorder="1" applyAlignment="1">
      <alignment horizontal="right"/>
    </xf>
    <xf numFmtId="3" fontId="7" fillId="6" borderId="12" xfId="0" applyNumberFormat="1" applyFont="1" applyFill="1" applyBorder="1" applyAlignment="1">
      <alignment horizontal="right"/>
    </xf>
    <xf numFmtId="0" fontId="8" fillId="6" borderId="0" xfId="0" applyFont="1" applyFill="1" applyBorder="1" applyAlignment="1">
      <alignment horizontal="left" vertical="center"/>
    </xf>
    <xf numFmtId="3" fontId="8" fillId="7" borderId="12" xfId="0" applyNumberFormat="1" applyFont="1" applyFill="1" applyBorder="1" applyAlignment="1">
      <alignment vertical="center"/>
    </xf>
    <xf numFmtId="3" fontId="8" fillId="6" borderId="12" xfId="0" applyNumberFormat="1" applyFont="1" applyFill="1" applyBorder="1" applyAlignment="1">
      <alignment vertical="center"/>
    </xf>
    <xf numFmtId="170" fontId="8" fillId="7" borderId="12" xfId="0" applyNumberFormat="1" applyFont="1" applyFill="1" applyBorder="1" applyAlignment="1">
      <alignment horizontal="center" vertical="center"/>
    </xf>
    <xf numFmtId="3" fontId="2" fillId="0" borderId="0" xfId="0" applyNumberFormat="1" applyFont="1" applyAlignment="1">
      <alignment horizontal="right"/>
    </xf>
    <xf numFmtId="0" fontId="2" fillId="0" borderId="0" xfId="0" applyFont="1" applyAlignment="1">
      <alignment horizontal="right"/>
    </xf>
    <xf numFmtId="0" fontId="0" fillId="0" borderId="4" xfId="0" applyBorder="1" applyAlignment="1"/>
    <xf numFmtId="0" fontId="20" fillId="0" borderId="0" xfId="0" applyFont="1" applyAlignment="1">
      <alignment horizontal="right" vertical="top"/>
    </xf>
    <xf numFmtId="3" fontId="7" fillId="7" borderId="4" xfId="0" applyNumberFormat="1" applyFont="1" applyFill="1" applyBorder="1" applyAlignment="1">
      <alignment horizontal="right" vertical="top"/>
    </xf>
    <xf numFmtId="3" fontId="8" fillId="7" borderId="6" xfId="0" applyNumberFormat="1" applyFont="1" applyFill="1" applyBorder="1" applyAlignment="1">
      <alignment horizontal="right" vertical="center"/>
    </xf>
    <xf numFmtId="0" fontId="0" fillId="0" borderId="0" xfId="0" applyBorder="1"/>
    <xf numFmtId="3" fontId="4" fillId="0" borderId="8" xfId="0" applyNumberFormat="1" applyFont="1" applyBorder="1" applyAlignment="1">
      <alignment horizontal="right"/>
    </xf>
    <xf numFmtId="3" fontId="4" fillId="0" borderId="0" xfId="0" applyNumberFormat="1" applyFont="1" applyBorder="1" applyAlignment="1">
      <alignment horizontal="right"/>
    </xf>
    <xf numFmtId="0" fontId="4" fillId="0" borderId="0" xfId="0" applyFont="1" applyFill="1" applyBorder="1"/>
    <xf numFmtId="3" fontId="4" fillId="0" borderId="0" xfId="0" applyNumberFormat="1" applyFont="1" applyFill="1" applyBorder="1" applyAlignment="1">
      <alignment horizontal="right"/>
    </xf>
    <xf numFmtId="3" fontId="4" fillId="0" borderId="0" xfId="0" applyNumberFormat="1" applyFont="1" applyAlignment="1">
      <alignment horizontal="right"/>
    </xf>
    <xf numFmtId="3" fontId="7" fillId="7" borderId="5" xfId="0" applyNumberFormat="1" applyFont="1" applyFill="1" applyBorder="1"/>
    <xf numFmtId="3" fontId="7" fillId="6" borderId="5" xfId="0" applyNumberFormat="1" applyFont="1" applyFill="1" applyBorder="1"/>
    <xf numFmtId="3" fontId="8" fillId="7" borderId="6" xfId="0" applyNumberFormat="1" applyFont="1" applyFill="1" applyBorder="1" applyAlignment="1">
      <alignment vertical="center"/>
    </xf>
    <xf numFmtId="3" fontId="8" fillId="6" borderId="6" xfId="0" applyNumberFormat="1" applyFont="1" applyFill="1" applyBorder="1" applyAlignment="1">
      <alignment vertical="center"/>
    </xf>
    <xf numFmtId="0" fontId="4" fillId="4" borderId="8" xfId="0" applyFont="1" applyFill="1" applyBorder="1"/>
    <xf numFmtId="0" fontId="18" fillId="0" borderId="0" xfId="0" applyFont="1" applyAlignment="1"/>
    <xf numFmtId="0" fontId="52" fillId="0" borderId="0" xfId="0" applyFont="1"/>
    <xf numFmtId="0" fontId="20" fillId="0" borderId="0" xfId="9" applyFont="1"/>
    <xf numFmtId="0" fontId="55" fillId="0" borderId="0" xfId="9"/>
    <xf numFmtId="0" fontId="18" fillId="0" borderId="0" xfId="9" applyFont="1" applyAlignment="1"/>
    <xf numFmtId="0" fontId="18" fillId="0" borderId="0" xfId="11" applyFont="1"/>
    <xf numFmtId="0" fontId="55" fillId="0" borderId="0" xfId="9" applyAlignment="1"/>
    <xf numFmtId="0" fontId="18" fillId="0" borderId="0" xfId="11" applyFont="1" applyAlignment="1"/>
    <xf numFmtId="2" fontId="18" fillId="0" borderId="0" xfId="9" quotePrefix="1" applyNumberFormat="1" applyFont="1"/>
    <xf numFmtId="0" fontId="18" fillId="0" borderId="0" xfId="9" quotePrefix="1" applyFont="1" applyAlignment="1">
      <alignment horizontal="right"/>
    </xf>
    <xf numFmtId="0" fontId="30" fillId="0" borderId="0" xfId="9" applyFont="1"/>
    <xf numFmtId="0" fontId="20" fillId="0" borderId="0" xfId="13" applyFont="1" applyAlignment="1" applyProtection="1"/>
    <xf numFmtId="0" fontId="7" fillId="0" borderId="0" xfId="0" applyFont="1" applyFill="1" applyBorder="1" applyAlignment="1">
      <alignment horizontal="left" vertical="center"/>
    </xf>
    <xf numFmtId="3" fontId="7" fillId="0" borderId="0" xfId="0" applyNumberFormat="1" applyFont="1" applyFill="1" applyBorder="1" applyAlignment="1">
      <alignment horizontal="right" vertical="center"/>
    </xf>
    <xf numFmtId="3" fontId="7" fillId="7" borderId="5" xfId="0" applyNumberFormat="1" applyFont="1" applyFill="1" applyBorder="1" applyAlignment="1">
      <alignment horizontal="right" vertical="center"/>
    </xf>
    <xf numFmtId="3" fontId="7" fillId="7" borderId="6" xfId="0" applyNumberFormat="1" applyFont="1" applyFill="1" applyBorder="1" applyAlignment="1">
      <alignment horizontal="right" vertical="center"/>
    </xf>
    <xf numFmtId="0" fontId="8" fillId="6" borderId="6" xfId="0" quotePrefix="1" applyFont="1" applyFill="1" applyBorder="1" applyAlignment="1">
      <alignment horizontal="left" vertical="center"/>
    </xf>
    <xf numFmtId="0" fontId="31" fillId="0" borderId="0" xfId="4" applyFont="1"/>
    <xf numFmtId="0" fontId="4" fillId="0" borderId="0" xfId="4"/>
    <xf numFmtId="0" fontId="20" fillId="0" borderId="0" xfId="4" applyFont="1"/>
    <xf numFmtId="0" fontId="4" fillId="0" borderId="0" xfId="4" applyFont="1" applyAlignment="1"/>
    <xf numFmtId="0" fontId="18" fillId="0" borderId="0" xfId="4" applyFont="1"/>
    <xf numFmtId="0" fontId="20" fillId="0" borderId="0" xfId="0" applyFont="1" applyBorder="1" applyAlignment="1">
      <alignment horizontal="center" vertical="top"/>
    </xf>
    <xf numFmtId="0" fontId="1" fillId="4" borderId="0" xfId="3" applyFont="1" applyFill="1" applyAlignment="1" applyProtection="1"/>
    <xf numFmtId="0" fontId="4" fillId="0" borderId="0" xfId="4" applyFont="1"/>
    <xf numFmtId="0" fontId="57" fillId="0" borderId="0" xfId="4" applyFont="1"/>
    <xf numFmtId="0" fontId="18" fillId="0" borderId="0" xfId="4" quotePrefix="1" applyFont="1" applyAlignment="1">
      <alignment horizontal="right"/>
    </xf>
    <xf numFmtId="0" fontId="30" fillId="0" borderId="0" xfId="4" applyFont="1"/>
    <xf numFmtId="3" fontId="2" fillId="0" borderId="0" xfId="0" applyNumberFormat="1" applyFont="1"/>
    <xf numFmtId="3" fontId="7" fillId="7" borderId="4" xfId="0" applyNumberFormat="1" applyFont="1" applyFill="1" applyBorder="1" applyAlignment="1">
      <alignment horizontal="center" vertical="top"/>
    </xf>
    <xf numFmtId="3" fontId="7" fillId="6" borderId="4" xfId="0" applyNumberFormat="1" applyFont="1" applyFill="1" applyBorder="1" applyAlignment="1">
      <alignment horizontal="center" vertical="top"/>
    </xf>
    <xf numFmtId="170" fontId="7" fillId="7" borderId="5" xfId="0" applyNumberFormat="1" applyFont="1" applyFill="1" applyBorder="1" applyAlignment="1">
      <alignment horizontal="center"/>
    </xf>
    <xf numFmtId="3" fontId="8" fillId="7" borderId="5" xfId="0" applyNumberFormat="1" applyFont="1" applyFill="1" applyBorder="1" applyAlignment="1">
      <alignment vertical="center"/>
    </xf>
    <xf numFmtId="3" fontId="8" fillId="6" borderId="5" xfId="0" applyNumberFormat="1" applyFont="1" applyFill="1" applyBorder="1" applyAlignment="1">
      <alignment vertical="center"/>
    </xf>
    <xf numFmtId="170" fontId="8" fillId="7" borderId="6" xfId="0" applyNumberFormat="1" applyFont="1" applyFill="1" applyBorder="1" applyAlignment="1">
      <alignment horizontal="center" vertical="center"/>
    </xf>
    <xf numFmtId="0" fontId="19" fillId="0" borderId="0" xfId="0" applyFont="1" applyAlignment="1">
      <alignment vertical="center"/>
    </xf>
    <xf numFmtId="3" fontId="8" fillId="0" borderId="0" xfId="0" applyNumberFormat="1" applyFont="1" applyAlignment="1">
      <alignment vertical="center"/>
    </xf>
    <xf numFmtId="0" fontId="4" fillId="0" borderId="8" xfId="0" applyFont="1" applyBorder="1" applyAlignment="1">
      <alignment horizontal="right"/>
    </xf>
    <xf numFmtId="3" fontId="4" fillId="0" borderId="0" xfId="0" applyNumberFormat="1" applyFont="1" applyBorder="1"/>
    <xf numFmtId="0" fontId="8" fillId="6" borderId="11" xfId="0" applyFont="1" applyFill="1" applyBorder="1" applyAlignment="1">
      <alignment horizontal="right"/>
    </xf>
    <xf numFmtId="3" fontId="8" fillId="6" borderId="0" xfId="0" applyNumberFormat="1" applyFont="1" applyFill="1" applyBorder="1" applyAlignment="1">
      <alignment horizontal="right"/>
    </xf>
    <xf numFmtId="0" fontId="7" fillId="6" borderId="4" xfId="0" applyFont="1" applyFill="1" applyBorder="1" applyAlignment="1">
      <alignment horizontal="left" vertical="center"/>
    </xf>
    <xf numFmtId="0" fontId="7" fillId="7" borderId="4" xfId="0" applyFont="1" applyFill="1" applyBorder="1" applyAlignment="1">
      <alignment horizontal="right" vertical="center"/>
    </xf>
    <xf numFmtId="0" fontId="7" fillId="6" borderId="4" xfId="0" applyFont="1" applyFill="1" applyBorder="1" applyAlignment="1">
      <alignment horizontal="right" vertical="center"/>
    </xf>
    <xf numFmtId="3" fontId="8" fillId="6" borderId="4" xfId="0" applyNumberFormat="1" applyFont="1" applyFill="1" applyBorder="1" applyAlignment="1">
      <alignment horizontal="right" vertical="center"/>
    </xf>
    <xf numFmtId="0" fontId="7" fillId="7" borderId="4" xfId="0" applyFont="1" applyFill="1" applyBorder="1" applyAlignment="1">
      <alignment horizontal="center" vertical="center"/>
    </xf>
    <xf numFmtId="0" fontId="7" fillId="6" borderId="12" xfId="0" quotePrefix="1" applyFont="1" applyFill="1" applyBorder="1" applyAlignment="1">
      <alignment horizontal="left"/>
    </xf>
    <xf numFmtId="3" fontId="8" fillId="6" borderId="12" xfId="0" applyNumberFormat="1" applyFont="1" applyFill="1" applyBorder="1" applyAlignment="1">
      <alignment horizontal="right"/>
    </xf>
    <xf numFmtId="170" fontId="7" fillId="7" borderId="12" xfId="0" applyNumberFormat="1" applyFont="1" applyFill="1" applyBorder="1" applyAlignment="1">
      <alignment horizontal="right"/>
    </xf>
    <xf numFmtId="3" fontId="8" fillId="6" borderId="6" xfId="0" applyNumberFormat="1" applyFont="1" applyFill="1" applyBorder="1" applyAlignment="1">
      <alignment horizontal="right"/>
    </xf>
    <xf numFmtId="3" fontId="8" fillId="6" borderId="47" xfId="0" applyNumberFormat="1" applyFont="1" applyFill="1" applyBorder="1" applyAlignment="1">
      <alignment horizontal="right"/>
    </xf>
    <xf numFmtId="170" fontId="7" fillId="7" borderId="47" xfId="0" applyNumberFormat="1" applyFont="1" applyFill="1" applyBorder="1" applyAlignment="1">
      <alignment horizontal="right"/>
    </xf>
    <xf numFmtId="3" fontId="7" fillId="6" borderId="47" xfId="0" applyNumberFormat="1" applyFont="1" applyFill="1" applyBorder="1" applyAlignment="1">
      <alignment horizontal="right"/>
    </xf>
    <xf numFmtId="3" fontId="8" fillId="6" borderId="46" xfId="0" applyNumberFormat="1" applyFont="1" applyFill="1" applyBorder="1" applyAlignment="1">
      <alignment horizontal="right"/>
    </xf>
    <xf numFmtId="170" fontId="7" fillId="7" borderId="46" xfId="0" applyNumberFormat="1" applyFont="1" applyFill="1" applyBorder="1" applyAlignment="1">
      <alignment horizontal="right"/>
    </xf>
    <xf numFmtId="3" fontId="7" fillId="6" borderId="46" xfId="0" applyNumberFormat="1" applyFont="1" applyFill="1" applyBorder="1" applyAlignment="1">
      <alignment horizontal="right"/>
    </xf>
    <xf numFmtId="171" fontId="7" fillId="6" borderId="46" xfId="0" applyNumberFormat="1" applyFont="1" applyFill="1" applyBorder="1" applyAlignment="1">
      <alignment horizontal="right"/>
    </xf>
    <xf numFmtId="3" fontId="8" fillId="6" borderId="48" xfId="0" applyNumberFormat="1" applyFont="1" applyFill="1" applyBorder="1" applyAlignment="1">
      <alignment horizontal="right"/>
    </xf>
    <xf numFmtId="170" fontId="7" fillId="7" borderId="48" xfId="0" applyNumberFormat="1" applyFont="1" applyFill="1" applyBorder="1" applyAlignment="1">
      <alignment horizontal="right"/>
    </xf>
    <xf numFmtId="171" fontId="7" fillId="6" borderId="48" xfId="0" applyNumberFormat="1" applyFont="1" applyFill="1" applyBorder="1" applyAlignment="1">
      <alignment horizontal="right"/>
    </xf>
    <xf numFmtId="0" fontId="7" fillId="6" borderId="7" xfId="0" quotePrefix="1" applyFont="1" applyFill="1" applyBorder="1" applyAlignment="1">
      <alignment horizontal="left" vertical="center"/>
    </xf>
    <xf numFmtId="3" fontId="7" fillId="7" borderId="7" xfId="0" applyNumberFormat="1" applyFont="1" applyFill="1" applyBorder="1" applyAlignment="1">
      <alignment horizontal="right" vertical="center"/>
    </xf>
    <xf numFmtId="3" fontId="7" fillId="6" borderId="7" xfId="0" applyNumberFormat="1" applyFont="1" applyFill="1" applyBorder="1" applyAlignment="1">
      <alignment horizontal="right" vertical="center"/>
    </xf>
    <xf numFmtId="170" fontId="7" fillId="7" borderId="7" xfId="0" applyNumberFormat="1" applyFont="1" applyFill="1" applyBorder="1" applyAlignment="1">
      <alignment horizontal="right" vertical="center"/>
    </xf>
    <xf numFmtId="170" fontId="7" fillId="7" borderId="7" xfId="0" applyNumberFormat="1" applyFont="1" applyFill="1" applyBorder="1" applyAlignment="1">
      <alignment horizontal="center" vertical="center"/>
    </xf>
    <xf numFmtId="0" fontId="7" fillId="0" borderId="0" xfId="0" quotePrefix="1" applyFont="1" applyFill="1" applyBorder="1" applyAlignment="1">
      <alignment horizontal="left" vertical="center"/>
    </xf>
    <xf numFmtId="170" fontId="7" fillId="0" borderId="0" xfId="0" applyNumberFormat="1" applyFont="1" applyFill="1" applyBorder="1" applyAlignment="1">
      <alignment horizontal="right" vertical="center"/>
    </xf>
    <xf numFmtId="170" fontId="7" fillId="0" borderId="0" xfId="0" applyNumberFormat="1" applyFont="1" applyFill="1" applyBorder="1" applyAlignment="1">
      <alignment horizontal="center" vertical="center"/>
    </xf>
    <xf numFmtId="0" fontId="35" fillId="6" borderId="12" xfId="0" quotePrefix="1" applyFont="1" applyFill="1" applyBorder="1" applyAlignment="1">
      <alignment horizontal="left" vertical="center"/>
    </xf>
    <xf numFmtId="3" fontId="35" fillId="7" borderId="12" xfId="0" applyNumberFormat="1" applyFont="1" applyFill="1" applyBorder="1" applyAlignment="1">
      <alignment horizontal="right" vertical="center"/>
    </xf>
    <xf numFmtId="3" fontId="35" fillId="6" borderId="12" xfId="0" applyNumberFormat="1" applyFont="1" applyFill="1" applyBorder="1" applyAlignment="1">
      <alignment horizontal="right" vertical="center"/>
    </xf>
    <xf numFmtId="3" fontId="51" fillId="6" borderId="12" xfId="0" applyNumberFormat="1" applyFont="1" applyFill="1" applyBorder="1" applyAlignment="1">
      <alignment horizontal="right" vertical="center"/>
    </xf>
    <xf numFmtId="170" fontId="35" fillId="7" borderId="12" xfId="0" applyNumberFormat="1" applyFont="1" applyFill="1" applyBorder="1" applyAlignment="1">
      <alignment horizontal="right" vertical="center"/>
    </xf>
    <xf numFmtId="170" fontId="35" fillId="7" borderId="12" xfId="0" applyNumberFormat="1" applyFont="1" applyFill="1" applyBorder="1" applyAlignment="1">
      <alignment horizontal="center" vertical="center"/>
    </xf>
    <xf numFmtId="0" fontId="35" fillId="6" borderId="3" xfId="0" quotePrefix="1" applyFont="1" applyFill="1" applyBorder="1" applyAlignment="1">
      <alignment horizontal="left" vertical="center" wrapText="1"/>
    </xf>
    <xf numFmtId="3" fontId="35" fillId="7" borderId="3" xfId="0" applyNumberFormat="1" applyFont="1" applyFill="1" applyBorder="1" applyAlignment="1">
      <alignment horizontal="right" vertical="center"/>
    </xf>
    <xf numFmtId="3" fontId="35" fillId="6" borderId="3" xfId="0" applyNumberFormat="1" applyFont="1" applyFill="1" applyBorder="1" applyAlignment="1">
      <alignment horizontal="right" vertical="center"/>
    </xf>
    <xf numFmtId="3" fontId="51" fillId="6" borderId="3" xfId="0" applyNumberFormat="1" applyFont="1" applyFill="1" applyBorder="1" applyAlignment="1">
      <alignment horizontal="right" vertical="center"/>
    </xf>
    <xf numFmtId="170" fontId="35" fillId="7" borderId="3" xfId="0" applyNumberFormat="1" applyFont="1" applyFill="1" applyBorder="1" applyAlignment="1">
      <alignment horizontal="right" vertical="center"/>
    </xf>
    <xf numFmtId="170" fontId="35" fillId="7" borderId="3" xfId="0" applyNumberFormat="1" applyFont="1" applyFill="1" applyBorder="1" applyAlignment="1">
      <alignment horizontal="center" vertical="center"/>
    </xf>
    <xf numFmtId="171" fontId="35" fillId="6" borderId="12" xfId="0" applyNumberFormat="1" applyFont="1" applyFill="1" applyBorder="1" applyAlignment="1">
      <alignment horizontal="right" vertical="center"/>
    </xf>
    <xf numFmtId="171" fontId="35" fillId="6" borderId="3" xfId="0" applyNumberFormat="1" applyFont="1" applyFill="1" applyBorder="1" applyAlignment="1">
      <alignment horizontal="right" vertical="center"/>
    </xf>
    <xf numFmtId="3" fontId="7" fillId="0" borderId="8" xfId="0" applyNumberFormat="1" applyFont="1" applyBorder="1" applyAlignment="1">
      <alignment horizontal="right" vertical="top"/>
    </xf>
    <xf numFmtId="3" fontId="8" fillId="0" borderId="8" xfId="0" applyNumberFormat="1" applyFont="1" applyBorder="1" applyAlignment="1">
      <alignment horizontal="right" vertical="top"/>
    </xf>
    <xf numFmtId="3" fontId="7" fillId="0" borderId="0" xfId="0" applyNumberFormat="1" applyFont="1" applyBorder="1" applyAlignment="1">
      <alignment horizontal="right" vertical="top"/>
    </xf>
    <xf numFmtId="3" fontId="8" fillId="0" borderId="0" xfId="0" applyNumberFormat="1" applyFont="1" applyBorder="1" applyAlignment="1">
      <alignment horizontal="right" vertical="top"/>
    </xf>
    <xf numFmtId="0" fontId="4" fillId="4" borderId="0" xfId="0" applyFont="1" applyFill="1" applyBorder="1"/>
    <xf numFmtId="170" fontId="2" fillId="4" borderId="0" xfId="0" applyNumberFormat="1" applyFont="1" applyFill="1"/>
    <xf numFmtId="0" fontId="30" fillId="0" borderId="0" xfId="0" applyFont="1" applyAlignment="1">
      <alignment horizontal="left" wrapText="1"/>
    </xf>
    <xf numFmtId="0" fontId="20" fillId="4" borderId="0" xfId="0" applyFont="1" applyFill="1" applyAlignment="1">
      <alignment vertical="top"/>
    </xf>
    <xf numFmtId="0" fontId="8" fillId="7" borderId="11" xfId="0" applyFont="1" applyFill="1" applyBorder="1" applyAlignment="1">
      <alignment horizontal="right"/>
    </xf>
    <xf numFmtId="170" fontId="7" fillId="6" borderId="11" xfId="0" applyNumberFormat="1" applyFont="1" applyFill="1" applyBorder="1" applyAlignment="1">
      <alignment horizontal="right"/>
    </xf>
    <xf numFmtId="0" fontId="33" fillId="7" borderId="0" xfId="0" applyFont="1" applyFill="1" applyBorder="1" applyAlignment="1">
      <alignment horizontal="right" vertical="center"/>
    </xf>
    <xf numFmtId="170" fontId="33" fillId="6" borderId="0" xfId="0" applyNumberFormat="1" applyFont="1" applyFill="1" applyBorder="1" applyAlignment="1">
      <alignment horizontal="right" vertical="center"/>
    </xf>
    <xf numFmtId="0" fontId="7" fillId="6" borderId="0" xfId="0" applyFont="1" applyFill="1" applyBorder="1" applyAlignment="1">
      <alignment horizontal="left" vertical="top"/>
    </xf>
    <xf numFmtId="170" fontId="7" fillId="6" borderId="0" xfId="0" applyNumberFormat="1" applyFont="1" applyFill="1" applyBorder="1" applyAlignment="1">
      <alignment horizontal="center" vertical="top"/>
    </xf>
    <xf numFmtId="170" fontId="7" fillId="6" borderId="4" xfId="0" applyNumberFormat="1" applyFont="1" applyFill="1" applyBorder="1" applyAlignment="1">
      <alignment horizontal="center" vertical="top"/>
    </xf>
    <xf numFmtId="170" fontId="7" fillId="6" borderId="0" xfId="0" applyNumberFormat="1" applyFont="1" applyFill="1" applyBorder="1" applyAlignment="1">
      <alignment horizontal="right" vertical="top"/>
    </xf>
    <xf numFmtId="170" fontId="7" fillId="6" borderId="4" xfId="0" applyNumberFormat="1" applyFont="1" applyFill="1" applyBorder="1" applyAlignment="1">
      <alignment horizontal="right" vertical="top"/>
    </xf>
    <xf numFmtId="170" fontId="8" fillId="6" borderId="13" xfId="0" applyNumberFormat="1" applyFont="1" applyFill="1" applyBorder="1" applyAlignment="1">
      <alignment horizontal="center" vertical="center"/>
    </xf>
    <xf numFmtId="3" fontId="8" fillId="6" borderId="13" xfId="0" applyNumberFormat="1" applyFont="1" applyFill="1" applyBorder="1" applyAlignment="1">
      <alignment horizontal="right" vertical="center"/>
    </xf>
    <xf numFmtId="3" fontId="8" fillId="7" borderId="13" xfId="0" applyNumberFormat="1" applyFont="1" applyFill="1" applyBorder="1" applyAlignment="1">
      <alignment horizontal="right" vertical="center"/>
    </xf>
    <xf numFmtId="171" fontId="8" fillId="6" borderId="13" xfId="0" applyNumberFormat="1" applyFont="1" applyFill="1" applyBorder="1" applyAlignment="1">
      <alignment horizontal="right" vertical="center"/>
    </xf>
    <xf numFmtId="0" fontId="4" fillId="0" borderId="0" xfId="0" applyFont="1" applyFill="1" applyAlignment="1">
      <alignment vertical="center"/>
    </xf>
    <xf numFmtId="0" fontId="19" fillId="0" borderId="0" xfId="0" applyFont="1" applyFill="1" applyAlignment="1">
      <alignment vertical="center"/>
    </xf>
    <xf numFmtId="3" fontId="7" fillId="0" borderId="0" xfId="0" applyNumberFormat="1" applyFont="1" applyFill="1" applyBorder="1" applyAlignment="1">
      <alignment horizontal="right" vertical="top"/>
    </xf>
    <xf numFmtId="170" fontId="7" fillId="0" borderId="0" xfId="0" applyNumberFormat="1" applyFont="1" applyFill="1" applyBorder="1" applyAlignment="1">
      <alignment horizontal="center" vertical="top"/>
    </xf>
    <xf numFmtId="170" fontId="7" fillId="0" borderId="0" xfId="0" applyNumberFormat="1" applyFont="1" applyFill="1" applyBorder="1" applyAlignment="1">
      <alignment horizontal="right" vertical="top"/>
    </xf>
    <xf numFmtId="0" fontId="18" fillId="6" borderId="7" xfId="0" applyFont="1" applyFill="1" applyBorder="1" applyAlignment="1">
      <alignment horizontal="left" vertical="center" wrapText="1"/>
    </xf>
    <xf numFmtId="170" fontId="7" fillId="7" borderId="3" xfId="0" applyNumberFormat="1" applyFont="1" applyFill="1" applyBorder="1" applyAlignment="1">
      <alignment horizontal="right" vertical="center"/>
    </xf>
    <xf numFmtId="170" fontId="7" fillId="6" borderId="7" xfId="0" applyNumberFormat="1" applyFont="1" applyFill="1" applyBorder="1" applyAlignment="1">
      <alignment horizontal="center" vertical="center"/>
    </xf>
    <xf numFmtId="170" fontId="7" fillId="6" borderId="7" xfId="0" applyNumberFormat="1" applyFont="1" applyFill="1" applyBorder="1" applyAlignment="1">
      <alignment horizontal="right" vertical="center"/>
    </xf>
    <xf numFmtId="3" fontId="7" fillId="0" borderId="4" xfId="0" applyNumberFormat="1" applyFont="1" applyFill="1" applyBorder="1" applyAlignment="1">
      <alignment horizontal="right" vertical="top"/>
    </xf>
    <xf numFmtId="0" fontId="52" fillId="7" borderId="0" xfId="0" applyFont="1" applyFill="1" applyBorder="1" applyAlignment="1">
      <alignment horizontal="right" vertical="top"/>
    </xf>
    <xf numFmtId="170" fontId="52" fillId="6" borderId="0" xfId="0" applyNumberFormat="1" applyFont="1" applyFill="1" applyBorder="1" applyAlignment="1">
      <alignment horizontal="right" vertical="top"/>
    </xf>
    <xf numFmtId="0" fontId="1" fillId="0" borderId="0" xfId="0" applyFont="1"/>
    <xf numFmtId="170" fontId="4" fillId="0" borderId="0" xfId="0" applyNumberFormat="1" applyFont="1" applyFill="1"/>
    <xf numFmtId="170" fontId="4" fillId="0" borderId="0" xfId="0" applyNumberFormat="1" applyFont="1"/>
    <xf numFmtId="0" fontId="60" fillId="0" borderId="0" xfId="0" applyFont="1"/>
    <xf numFmtId="0" fontId="7" fillId="7" borderId="0" xfId="0" applyFont="1" applyFill="1" applyBorder="1" applyAlignment="1">
      <alignment horizontal="right" vertical="center"/>
    </xf>
    <xf numFmtId="0" fontId="7" fillId="6" borderId="0" xfId="0" applyFont="1" applyFill="1" applyBorder="1" applyAlignment="1">
      <alignment horizontal="right" vertical="center"/>
    </xf>
    <xf numFmtId="0" fontId="7" fillId="7" borderId="0" xfId="0" applyFont="1" applyFill="1" applyBorder="1" applyAlignment="1">
      <alignment horizontal="center" vertical="center"/>
    </xf>
    <xf numFmtId="3" fontId="8" fillId="6" borderId="49" xfId="0" applyNumberFormat="1" applyFont="1" applyFill="1" applyBorder="1" applyAlignment="1">
      <alignment horizontal="right"/>
    </xf>
    <xf numFmtId="3" fontId="8" fillId="6" borderId="50" xfId="0" applyNumberFormat="1" applyFont="1" applyFill="1" applyBorder="1" applyAlignment="1">
      <alignment horizontal="right"/>
    </xf>
    <xf numFmtId="3" fontId="7" fillId="6" borderId="48" xfId="0" applyNumberFormat="1" applyFont="1" applyFill="1" applyBorder="1" applyAlignment="1">
      <alignment horizontal="right"/>
    </xf>
    <xf numFmtId="0" fontId="7" fillId="0" borderId="0" xfId="0" applyFont="1" applyFill="1" applyBorder="1" applyAlignment="1">
      <alignment horizontal="left"/>
    </xf>
    <xf numFmtId="0" fontId="122" fillId="0" borderId="0" xfId="0" applyFont="1" applyBorder="1"/>
    <xf numFmtId="0" fontId="51" fillId="6" borderId="12" xfId="0" applyFont="1" applyFill="1" applyBorder="1" applyAlignment="1">
      <alignment horizontal="left" vertical="center"/>
    </xf>
    <xf numFmtId="170" fontId="7" fillId="7" borderId="6" xfId="0" applyNumberFormat="1" applyFont="1" applyFill="1" applyBorder="1" applyAlignment="1">
      <alignment horizontal="center" vertical="center"/>
    </xf>
    <xf numFmtId="0" fontId="51" fillId="6" borderId="6" xfId="0" applyFont="1" applyFill="1" applyBorder="1" applyAlignment="1">
      <alignment horizontal="left" vertical="center"/>
    </xf>
    <xf numFmtId="3" fontId="8" fillId="7" borderId="6" xfId="0" applyNumberFormat="1" applyFont="1" applyFill="1" applyBorder="1" applyAlignment="1">
      <alignment horizontal="center" vertical="center"/>
    </xf>
    <xf numFmtId="0" fontId="19" fillId="11" borderId="0" xfId="0" applyFont="1" applyFill="1"/>
    <xf numFmtId="0" fontId="51" fillId="6" borderId="6" xfId="0" applyFont="1" applyFill="1" applyBorder="1" applyAlignment="1">
      <alignment horizontal="left" vertical="center" wrapText="1"/>
    </xf>
    <xf numFmtId="3" fontId="7" fillId="14" borderId="12" xfId="0" applyNumberFormat="1" applyFont="1" applyFill="1" applyBorder="1" applyAlignment="1">
      <alignment horizontal="right" vertical="center"/>
    </xf>
    <xf numFmtId="0" fontId="8" fillId="14" borderId="6" xfId="0" applyFont="1" applyFill="1" applyBorder="1" applyAlignment="1">
      <alignment horizontal="left" vertical="center"/>
    </xf>
    <xf numFmtId="0" fontId="4" fillId="0" borderId="0" xfId="0" quotePrefix="1" applyFont="1" applyAlignment="1">
      <alignment horizontal="left"/>
    </xf>
    <xf numFmtId="0" fontId="7" fillId="0" borderId="0" xfId="0" applyFont="1" applyAlignment="1">
      <alignment horizontal="left"/>
    </xf>
    <xf numFmtId="0" fontId="41" fillId="0" borderId="0" xfId="0" applyFont="1" applyAlignment="1">
      <alignment horizontal="left"/>
    </xf>
    <xf numFmtId="0" fontId="7" fillId="14" borderId="4" xfId="0" applyFont="1" applyFill="1" applyBorder="1" applyAlignment="1">
      <alignment horizontal="left" vertical="top"/>
    </xf>
    <xf numFmtId="3" fontId="7" fillId="14" borderId="12" xfId="0" applyNumberFormat="1" applyFont="1" applyFill="1" applyBorder="1" applyAlignment="1">
      <alignment horizontal="left" vertical="center"/>
    </xf>
    <xf numFmtId="3" fontId="7" fillId="14" borderId="6" xfId="0" applyNumberFormat="1" applyFont="1" applyFill="1" applyBorder="1" applyAlignment="1">
      <alignment horizontal="left" vertical="center"/>
    </xf>
    <xf numFmtId="3" fontId="8" fillId="14" borderId="6" xfId="0" applyNumberFormat="1" applyFont="1" applyFill="1" applyBorder="1" applyAlignment="1">
      <alignment horizontal="left" vertical="center"/>
    </xf>
    <xf numFmtId="3" fontId="7" fillId="14" borderId="3" xfId="0" applyNumberFormat="1" applyFont="1" applyFill="1" applyBorder="1" applyAlignment="1">
      <alignment horizontal="left" vertical="center"/>
    </xf>
    <xf numFmtId="170" fontId="2" fillId="0" borderId="0" xfId="0" applyNumberFormat="1" applyFont="1" applyAlignment="1">
      <alignment horizontal="center"/>
    </xf>
    <xf numFmtId="170" fontId="7" fillId="6" borderId="11" xfId="0" applyNumberFormat="1" applyFont="1" applyFill="1" applyBorder="1" applyAlignment="1">
      <alignment horizontal="center"/>
    </xf>
    <xf numFmtId="170" fontId="7" fillId="7" borderId="11" xfId="0" applyNumberFormat="1" applyFont="1" applyFill="1" applyBorder="1" applyAlignment="1">
      <alignment horizontal="center"/>
    </xf>
    <xf numFmtId="170" fontId="7" fillId="6" borderId="0" xfId="0" applyNumberFormat="1" applyFont="1" applyFill="1" applyBorder="1" applyAlignment="1">
      <alignment horizontal="center"/>
    </xf>
    <xf numFmtId="170" fontId="7" fillId="7" borderId="0" xfId="0" applyNumberFormat="1" applyFont="1" applyFill="1" applyBorder="1" applyAlignment="1">
      <alignment horizontal="center"/>
    </xf>
    <xf numFmtId="170" fontId="7" fillId="7" borderId="4" xfId="0" applyNumberFormat="1" applyFont="1" applyFill="1" applyBorder="1" applyAlignment="1">
      <alignment horizontal="center" vertical="top"/>
    </xf>
    <xf numFmtId="171" fontId="8" fillId="7" borderId="6" xfId="0" applyNumberFormat="1" applyFont="1" applyFill="1" applyBorder="1" applyAlignment="1">
      <alignment horizontal="right" vertical="center"/>
    </xf>
    <xf numFmtId="171" fontId="8" fillId="6" borderId="6" xfId="0" applyNumberFormat="1" applyFont="1" applyFill="1" applyBorder="1" applyAlignment="1">
      <alignment horizontal="right" vertical="center"/>
    </xf>
    <xf numFmtId="170" fontId="8" fillId="7" borderId="7" xfId="0" applyNumberFormat="1" applyFont="1" applyFill="1" applyBorder="1" applyAlignment="1">
      <alignment horizontal="center" vertical="center"/>
    </xf>
    <xf numFmtId="171" fontId="8" fillId="6" borderId="7" xfId="0" applyNumberFormat="1" applyFont="1" applyFill="1" applyBorder="1" applyAlignment="1">
      <alignment horizontal="right" vertical="center"/>
    </xf>
    <xf numFmtId="170" fontId="4" fillId="0" borderId="8" xfId="0" applyNumberFormat="1" applyFont="1" applyBorder="1" applyAlignment="1">
      <alignment horizontal="center"/>
    </xf>
    <xf numFmtId="170" fontId="4" fillId="0" borderId="0" xfId="0" applyNumberFormat="1" applyFont="1" applyBorder="1" applyAlignment="1">
      <alignment horizontal="center"/>
    </xf>
    <xf numFmtId="170" fontId="4" fillId="0" borderId="0" xfId="0" applyNumberFormat="1" applyFont="1" applyAlignment="1">
      <alignment horizontal="center"/>
    </xf>
    <xf numFmtId="1" fontId="7" fillId="14" borderId="6" xfId="0" applyNumberFormat="1" applyFont="1" applyFill="1" applyBorder="1" applyAlignment="1">
      <alignment horizontal="left" vertical="center"/>
    </xf>
    <xf numFmtId="0" fontId="7" fillId="6" borderId="6" xfId="14" applyFont="1" applyFill="1" applyBorder="1" applyAlignment="1">
      <alignment horizontal="left" vertical="center"/>
    </xf>
    <xf numFmtId="3" fontId="7" fillId="14" borderId="3" xfId="0" applyNumberFormat="1" applyFont="1" applyFill="1" applyBorder="1" applyAlignment="1">
      <alignment horizontal="center" vertical="center"/>
    </xf>
    <xf numFmtId="0" fontId="4" fillId="0" borderId="6" xfId="0" applyFont="1" applyFill="1" applyBorder="1" applyAlignment="1">
      <alignment horizontal="left" vertical="center"/>
    </xf>
    <xf numFmtId="3" fontId="4" fillId="0" borderId="0" xfId="0" applyNumberFormat="1" applyFont="1" applyAlignment="1">
      <alignment vertical="center"/>
    </xf>
    <xf numFmtId="2" fontId="18" fillId="0" borderId="0" xfId="4" applyNumberFormat="1" applyFont="1"/>
    <xf numFmtId="0" fontId="18" fillId="0" borderId="0" xfId="4" applyFont="1" applyAlignment="1"/>
    <xf numFmtId="0" fontId="18" fillId="0" borderId="0" xfId="24" applyFont="1"/>
    <xf numFmtId="0" fontId="18" fillId="0" borderId="0" xfId="4" applyFont="1" applyFill="1" applyBorder="1"/>
    <xf numFmtId="0" fontId="4" fillId="0" borderId="0" xfId="23" applyFont="1"/>
    <xf numFmtId="0" fontId="18" fillId="0" borderId="0" xfId="4" applyFont="1" applyFill="1"/>
    <xf numFmtId="0" fontId="57" fillId="0" borderId="0" xfId="21" applyFont="1"/>
    <xf numFmtId="0" fontId="4" fillId="0" borderId="0" xfId="0" applyNumberFormat="1" applyFont="1"/>
    <xf numFmtId="0" fontId="7" fillId="7" borderId="4" xfId="0" applyFont="1" applyFill="1" applyBorder="1" applyAlignment="1">
      <alignment horizontal="right"/>
    </xf>
    <xf numFmtId="0" fontId="7" fillId="6" borderId="4" xfId="0" applyFont="1" applyFill="1" applyBorder="1" applyAlignment="1">
      <alignment horizontal="right"/>
    </xf>
    <xf numFmtId="0" fontId="7" fillId="6" borderId="5" xfId="0" applyFont="1" applyFill="1" applyBorder="1" applyAlignment="1">
      <alignment wrapText="1"/>
    </xf>
    <xf numFmtId="170" fontId="7" fillId="7" borderId="5" xfId="0" applyNumberFormat="1" applyFont="1" applyFill="1" applyBorder="1"/>
    <xf numFmtId="0" fontId="35" fillId="6" borderId="5" xfId="0" applyFont="1" applyFill="1" applyBorder="1" applyAlignment="1">
      <alignment wrapText="1"/>
    </xf>
    <xf numFmtId="3" fontId="35" fillId="7" borderId="5" xfId="0" applyNumberFormat="1" applyFont="1" applyFill="1" applyBorder="1" applyAlignment="1">
      <alignment horizontal="right"/>
    </xf>
    <xf numFmtId="3" fontId="35" fillId="6" borderId="5" xfId="0" applyNumberFormat="1" applyFont="1" applyFill="1" applyBorder="1" applyAlignment="1">
      <alignment horizontal="right"/>
    </xf>
    <xf numFmtId="3" fontId="35" fillId="6" borderId="5" xfId="0" applyNumberFormat="1" applyFont="1" applyFill="1" applyBorder="1"/>
    <xf numFmtId="170" fontId="35" fillId="7" borderId="5" xfId="0" applyNumberFormat="1" applyFont="1" applyFill="1" applyBorder="1"/>
    <xf numFmtId="170" fontId="35" fillId="6" borderId="5" xfId="0" applyNumberFormat="1" applyFont="1" applyFill="1" applyBorder="1" applyAlignment="1">
      <alignment horizontal="center"/>
    </xf>
    <xf numFmtId="0" fontId="8" fillId="6" borderId="0" xfId="0" applyFont="1" applyFill="1" applyBorder="1" applyAlignment="1">
      <alignment vertical="center"/>
    </xf>
    <xf numFmtId="3" fontId="8" fillId="7" borderId="0" xfId="0" applyNumberFormat="1" applyFont="1" applyFill="1" applyBorder="1" applyAlignment="1">
      <alignment vertical="center"/>
    </xf>
    <xf numFmtId="3" fontId="8" fillId="6" borderId="0" xfId="0" applyNumberFormat="1" applyFont="1" applyFill="1" applyBorder="1" applyAlignment="1">
      <alignment vertical="center"/>
    </xf>
    <xf numFmtId="170" fontId="8" fillId="7" borderId="5" xfId="0" applyNumberFormat="1" applyFont="1" applyFill="1" applyBorder="1" applyAlignment="1">
      <alignment vertical="center"/>
    </xf>
    <xf numFmtId="170" fontId="8" fillId="6" borderId="5" xfId="0" applyNumberFormat="1" applyFont="1" applyFill="1" applyBorder="1" applyAlignment="1">
      <alignment horizontal="center" vertical="center"/>
    </xf>
    <xf numFmtId="3" fontId="7" fillId="6" borderId="11" xfId="0" applyNumberFormat="1" applyFont="1" applyFill="1" applyBorder="1" applyAlignment="1">
      <alignment horizontal="right"/>
    </xf>
    <xf numFmtId="0" fontId="7" fillId="6" borderId="5" xfId="0" applyFont="1" applyFill="1" applyBorder="1" applyAlignment="1">
      <alignment vertical="center" wrapText="1"/>
    </xf>
    <xf numFmtId="3" fontId="7" fillId="7" borderId="5" xfId="0" applyNumberFormat="1" applyFont="1" applyFill="1" applyBorder="1" applyAlignment="1">
      <alignment vertical="center"/>
    </xf>
    <xf numFmtId="3" fontId="7" fillId="6" borderId="5" xfId="0" applyNumberFormat="1" applyFont="1" applyFill="1" applyBorder="1" applyAlignment="1">
      <alignment vertical="center"/>
    </xf>
    <xf numFmtId="170" fontId="7" fillId="7" borderId="5" xfId="0" applyNumberFormat="1" applyFont="1" applyFill="1" applyBorder="1" applyAlignment="1">
      <alignment horizontal="right" vertical="center"/>
    </xf>
    <xf numFmtId="170" fontId="7" fillId="6" borderId="5" xfId="0" applyNumberFormat="1" applyFont="1" applyFill="1" applyBorder="1" applyAlignment="1">
      <alignment horizontal="center" vertical="center"/>
    </xf>
    <xf numFmtId="3" fontId="7" fillId="6" borderId="0" xfId="0" applyNumberFormat="1" applyFont="1" applyFill="1" applyBorder="1"/>
    <xf numFmtId="170" fontId="8" fillId="7" borderId="0" xfId="0" applyNumberFormat="1" applyFont="1" applyFill="1" applyBorder="1" applyAlignment="1">
      <alignment horizontal="right" vertical="center"/>
    </xf>
    <xf numFmtId="170" fontId="8" fillId="6" borderId="0" xfId="0" applyNumberFormat="1" applyFont="1" applyFill="1" applyBorder="1" applyAlignment="1">
      <alignment horizontal="center" vertical="center"/>
    </xf>
    <xf numFmtId="3" fontId="7" fillId="6" borderId="0" xfId="0" applyNumberFormat="1" applyFont="1" applyFill="1" applyBorder="1" applyAlignment="1">
      <alignment vertical="center"/>
    </xf>
    <xf numFmtId="0" fontId="20" fillId="4" borderId="0" xfId="0" applyFont="1" applyFill="1" applyAlignment="1">
      <alignment horizontal="right" vertical="top"/>
    </xf>
    <xf numFmtId="0" fontId="20" fillId="4" borderId="4" xfId="0" applyFont="1" applyFill="1" applyBorder="1" applyAlignment="1">
      <alignment vertical="top"/>
    </xf>
    <xf numFmtId="0" fontId="2" fillId="4" borderId="4" xfId="0" applyFont="1" applyFill="1" applyBorder="1"/>
    <xf numFmtId="0" fontId="8" fillId="6" borderId="0" xfId="0" applyFont="1" applyFill="1" applyBorder="1" applyAlignment="1">
      <alignment vertical="center" wrapText="1"/>
    </xf>
    <xf numFmtId="0" fontId="8" fillId="7" borderId="0" xfId="0" applyFont="1" applyFill="1" applyBorder="1" applyAlignment="1">
      <alignment vertical="center" wrapText="1"/>
    </xf>
    <xf numFmtId="0" fontId="7" fillId="6" borderId="0" xfId="0" applyFont="1" applyFill="1" applyBorder="1" applyAlignment="1">
      <alignment horizontal="center" vertical="center" wrapText="1"/>
    </xf>
    <xf numFmtId="0" fontId="7" fillId="7" borderId="0" xfId="0" applyFont="1" applyFill="1" applyBorder="1" applyAlignment="1">
      <alignment horizontal="center" vertical="center" wrapText="1"/>
    </xf>
    <xf numFmtId="0" fontId="7" fillId="7" borderId="0" xfId="0" applyFont="1" applyFill="1" applyBorder="1" applyAlignment="1">
      <alignment horizontal="right" vertical="center" wrapText="1"/>
    </xf>
    <xf numFmtId="0" fontId="8" fillId="6" borderId="4" xfId="0" applyFont="1" applyFill="1" applyBorder="1" applyAlignment="1">
      <alignment horizontal="left"/>
    </xf>
    <xf numFmtId="0" fontId="8" fillId="7" borderId="4" xfId="0" applyFont="1" applyFill="1" applyBorder="1" applyAlignment="1">
      <alignment horizontal="left"/>
    </xf>
    <xf numFmtId="0" fontId="8" fillId="6" borderId="0" xfId="0" applyFont="1" applyFill="1" applyBorder="1" applyAlignment="1">
      <alignment horizontal="left" vertical="center" wrapText="1"/>
    </xf>
    <xf numFmtId="0" fontId="8" fillId="7" borderId="12" xfId="0" applyFont="1" applyFill="1" applyBorder="1" applyAlignment="1">
      <alignment horizontal="left" vertical="center"/>
    </xf>
    <xf numFmtId="3" fontId="7" fillId="6" borderId="5" xfId="0" applyNumberFormat="1" applyFont="1" applyFill="1" applyBorder="1" applyAlignment="1">
      <alignment horizontal="right" vertical="center"/>
    </xf>
    <xf numFmtId="0" fontId="7" fillId="7" borderId="6" xfId="0" applyFont="1" applyFill="1" applyBorder="1" applyAlignment="1">
      <alignment horizontal="left" vertical="center"/>
    </xf>
    <xf numFmtId="3" fontId="7" fillId="6" borderId="6" xfId="0" applyNumberFormat="1" applyFont="1" applyFill="1" applyBorder="1" applyAlignment="1">
      <alignment vertical="center"/>
    </xf>
    <xf numFmtId="3" fontId="7" fillId="7" borderId="6" xfId="0" applyNumberFormat="1" applyFont="1" applyFill="1" applyBorder="1" applyAlignment="1">
      <alignment vertical="center"/>
    </xf>
    <xf numFmtId="0" fontId="8" fillId="6" borderId="13" xfId="0" applyFont="1" applyFill="1" applyBorder="1" applyAlignment="1">
      <alignment horizontal="left" vertical="center" wrapText="1"/>
    </xf>
    <xf numFmtId="0" fontId="8" fillId="7" borderId="14" xfId="0" applyFont="1" applyFill="1" applyBorder="1" applyAlignment="1">
      <alignment horizontal="left" vertical="center"/>
    </xf>
    <xf numFmtId="0" fontId="8" fillId="6" borderId="15" xfId="0" applyFont="1" applyFill="1" applyBorder="1" applyAlignment="1">
      <alignment horizontal="left" vertical="center"/>
    </xf>
    <xf numFmtId="3" fontId="7" fillId="6" borderId="6" xfId="0" applyNumberFormat="1" applyFont="1" applyFill="1" applyBorder="1" applyAlignment="1">
      <alignment horizontal="right" vertical="center"/>
    </xf>
    <xf numFmtId="0" fontId="8" fillId="6" borderId="5" xfId="0" applyFont="1" applyFill="1" applyBorder="1" applyAlignment="1">
      <alignment horizontal="left" vertical="center"/>
    </xf>
    <xf numFmtId="0" fontId="8" fillId="7" borderId="6" xfId="0" applyFont="1" applyFill="1" applyBorder="1" applyAlignment="1">
      <alignment horizontal="left" vertical="center"/>
    </xf>
    <xf numFmtId="0" fontId="35" fillId="6" borderId="0" xfId="0" applyFont="1" applyFill="1" applyBorder="1" applyAlignment="1">
      <alignment horizontal="left" vertical="center" wrapText="1"/>
    </xf>
    <xf numFmtId="0" fontId="35" fillId="7" borderId="14" xfId="0" applyFont="1" applyFill="1" applyBorder="1" applyAlignment="1">
      <alignment horizontal="left" vertical="center" wrapText="1"/>
    </xf>
    <xf numFmtId="3" fontId="35" fillId="6" borderId="6" xfId="0" applyNumberFormat="1" applyFont="1" applyFill="1" applyBorder="1" applyAlignment="1">
      <alignment vertical="center"/>
    </xf>
    <xf numFmtId="3" fontId="35" fillId="7" borderId="6" xfId="0" applyNumberFormat="1" applyFont="1" applyFill="1" applyBorder="1" applyAlignment="1">
      <alignment vertical="center"/>
    </xf>
    <xf numFmtId="0" fontId="35" fillId="7" borderId="14" xfId="0" applyFont="1" applyFill="1" applyBorder="1" applyAlignment="1">
      <alignment vertical="center" wrapText="1"/>
    </xf>
    <xf numFmtId="0" fontId="35" fillId="6" borderId="5" xfId="0" applyFont="1" applyFill="1" applyBorder="1" applyAlignment="1">
      <alignment vertical="center" wrapText="1"/>
    </xf>
    <xf numFmtId="0" fontId="8" fillId="6" borderId="6" xfId="0" applyFont="1" applyFill="1" applyBorder="1" applyAlignment="1">
      <alignment vertical="center"/>
    </xf>
    <xf numFmtId="0" fontId="8" fillId="7" borderId="6" xfId="0" applyFont="1" applyFill="1" applyBorder="1" applyAlignment="1">
      <alignment vertical="center"/>
    </xf>
    <xf numFmtId="0" fontId="8" fillId="6" borderId="7" xfId="0" applyFont="1" applyFill="1" applyBorder="1" applyAlignment="1">
      <alignment vertical="center"/>
    </xf>
    <xf numFmtId="0" fontId="8" fillId="7" borderId="7" xfId="0" applyFont="1" applyFill="1" applyBorder="1" applyAlignment="1">
      <alignment vertical="center"/>
    </xf>
    <xf numFmtId="3" fontId="8" fillId="6" borderId="7" xfId="0" applyNumberFormat="1" applyFont="1" applyFill="1" applyBorder="1" applyAlignment="1">
      <alignment vertical="center"/>
    </xf>
    <xf numFmtId="3" fontId="8" fillId="7" borderId="7" xfId="0" applyNumberFormat="1" applyFont="1" applyFill="1" applyBorder="1" applyAlignment="1">
      <alignment vertical="center"/>
    </xf>
    <xf numFmtId="3" fontId="19" fillId="0" borderId="0" xfId="0" quotePrefix="1" applyNumberFormat="1" applyFont="1" applyFill="1"/>
    <xf numFmtId="3" fontId="4" fillId="0" borderId="0" xfId="0" applyNumberFormat="1" applyFont="1" applyFill="1" applyAlignment="1">
      <alignment horizontal="center"/>
    </xf>
    <xf numFmtId="3" fontId="19" fillId="0" borderId="0" xfId="0" applyNumberFormat="1" applyFont="1" applyFill="1"/>
    <xf numFmtId="3" fontId="19" fillId="0" borderId="0" xfId="0" applyNumberFormat="1" applyFont="1" applyFill="1" applyAlignment="1">
      <alignment horizontal="center"/>
    </xf>
    <xf numFmtId="0" fontId="4" fillId="0" borderId="0" xfId="0" applyFont="1" applyFill="1" applyAlignment="1">
      <alignment horizontal="center"/>
    </xf>
    <xf numFmtId="0" fontId="8" fillId="6" borderId="13" xfId="0" quotePrefix="1" applyFont="1" applyFill="1" applyBorder="1" applyAlignment="1">
      <alignment horizontal="left" vertical="center"/>
    </xf>
    <xf numFmtId="171" fontId="8" fillId="7" borderId="13" xfId="0" applyNumberFormat="1" applyFont="1" applyFill="1" applyBorder="1" applyAlignment="1">
      <alignment horizontal="right" vertical="center"/>
    </xf>
    <xf numFmtId="172" fontId="7" fillId="0" borderId="8" xfId="0" applyNumberFormat="1" applyFont="1" applyBorder="1" applyAlignment="1">
      <alignment horizontal="right" vertical="top"/>
    </xf>
    <xf numFmtId="172" fontId="7" fillId="0" borderId="0" xfId="0" applyNumberFormat="1" applyFont="1" applyBorder="1" applyAlignment="1">
      <alignment horizontal="right" vertical="top"/>
    </xf>
    <xf numFmtId="0" fontId="7" fillId="7" borderId="11" xfId="0" applyFont="1" applyFill="1" applyBorder="1" applyAlignment="1">
      <alignment horizontal="left"/>
    </xf>
    <xf numFmtId="0" fontId="7" fillId="7" borderId="0" xfId="0" applyFont="1" applyFill="1" applyBorder="1" applyAlignment="1">
      <alignment horizontal="left"/>
    </xf>
    <xf numFmtId="3" fontId="7" fillId="7" borderId="0" xfId="0" applyNumberFormat="1" applyFont="1" applyFill="1" applyBorder="1" applyAlignment="1">
      <alignment horizontal="right"/>
    </xf>
    <xf numFmtId="0" fontId="7" fillId="7" borderId="4" xfId="0" applyFont="1" applyFill="1" applyBorder="1" applyAlignment="1">
      <alignment horizontal="left" vertical="top"/>
    </xf>
    <xf numFmtId="172" fontId="7" fillId="7" borderId="12" xfId="0" applyNumberFormat="1" applyFont="1" applyFill="1" applyBorder="1" applyAlignment="1">
      <alignment horizontal="left"/>
    </xf>
    <xf numFmtId="172" fontId="7" fillId="7" borderId="6" xfId="0" applyNumberFormat="1" applyFont="1" applyFill="1" applyBorder="1" applyAlignment="1">
      <alignment horizontal="left"/>
    </xf>
    <xf numFmtId="0" fontId="8" fillId="7" borderId="0" xfId="0" applyFont="1" applyFill="1" applyBorder="1" applyAlignment="1">
      <alignment horizontal="left" vertical="center"/>
    </xf>
    <xf numFmtId="3" fontId="8" fillId="7" borderId="7" xfId="0" applyNumberFormat="1" applyFont="1" applyFill="1" applyBorder="1" applyAlignment="1">
      <alignment horizontal="right" vertical="center"/>
    </xf>
    <xf numFmtId="3" fontId="18" fillId="0" borderId="8" xfId="0" applyNumberFormat="1" applyFont="1" applyBorder="1" applyAlignment="1">
      <alignment horizontal="left" vertical="center"/>
    </xf>
    <xf numFmtId="3" fontId="7" fillId="4" borderId="0" xfId="0" applyNumberFormat="1" applyFont="1" applyFill="1" applyBorder="1" applyAlignment="1">
      <alignment horizontal="right" vertical="top"/>
    </xf>
    <xf numFmtId="172" fontId="7" fillId="4" borderId="0" xfId="0" applyNumberFormat="1" applyFont="1" applyFill="1" applyBorder="1" applyAlignment="1">
      <alignment horizontal="right" vertical="top"/>
    </xf>
    <xf numFmtId="0" fontId="19" fillId="0" borderId="0" xfId="0" applyFont="1" applyFill="1" applyBorder="1" applyAlignment="1">
      <alignment horizontal="right"/>
    </xf>
    <xf numFmtId="0" fontId="4" fillId="0" borderId="0" xfId="0" applyFont="1" applyFill="1" applyBorder="1" applyAlignment="1">
      <alignment horizontal="right"/>
    </xf>
    <xf numFmtId="170" fontId="4" fillId="0" borderId="0" xfId="0" applyNumberFormat="1" applyFont="1" applyFill="1" applyBorder="1"/>
    <xf numFmtId="172" fontId="18" fillId="7" borderId="6" xfId="0" applyNumberFormat="1" applyFont="1" applyFill="1" applyBorder="1" applyAlignment="1">
      <alignment horizontal="left"/>
    </xf>
    <xf numFmtId="171" fontId="4" fillId="6" borderId="6" xfId="0" applyNumberFormat="1" applyFont="1" applyFill="1" applyBorder="1" applyAlignment="1">
      <alignment horizontal="right"/>
    </xf>
    <xf numFmtId="171" fontId="4" fillId="7" borderId="6" xfId="0" applyNumberFormat="1" applyFont="1" applyFill="1" applyBorder="1" applyAlignment="1">
      <alignment horizontal="right"/>
    </xf>
    <xf numFmtId="3" fontId="4" fillId="6" borderId="6" xfId="0" applyNumberFormat="1" applyFont="1" applyFill="1" applyBorder="1" applyAlignment="1">
      <alignment horizontal="right"/>
    </xf>
    <xf numFmtId="3" fontId="4" fillId="7" borderId="6" xfId="0" applyNumberFormat="1" applyFont="1" applyFill="1" applyBorder="1" applyAlignment="1">
      <alignment horizontal="right"/>
    </xf>
    <xf numFmtId="0" fontId="20" fillId="0" borderId="0" xfId="0" applyFont="1" applyAlignment="1">
      <alignment vertical="center"/>
    </xf>
    <xf numFmtId="3" fontId="20" fillId="0" borderId="0" xfId="0" applyNumberFormat="1" applyFont="1" applyAlignment="1">
      <alignment horizontal="left" vertical="center"/>
    </xf>
    <xf numFmtId="3" fontId="20" fillId="4" borderId="4" xfId="0" applyNumberFormat="1" applyFont="1" applyFill="1" applyBorder="1" applyAlignment="1">
      <alignment horizontal="left" vertical="top"/>
    </xf>
    <xf numFmtId="3" fontId="7" fillId="14" borderId="0" xfId="0" applyNumberFormat="1" applyFont="1" applyFill="1" applyBorder="1" applyAlignment="1">
      <alignment horizontal="right"/>
    </xf>
    <xf numFmtId="0" fontId="7" fillId="14" borderId="4" xfId="0" applyFont="1" applyFill="1" applyBorder="1" applyAlignment="1">
      <alignment horizontal="center" vertical="top"/>
    </xf>
    <xf numFmtId="3" fontId="7" fillId="14" borderId="4" xfId="0" applyNumberFormat="1" applyFont="1" applyFill="1" applyBorder="1" applyAlignment="1">
      <alignment horizontal="right" vertical="top"/>
    </xf>
    <xf numFmtId="3" fontId="7" fillId="14" borderId="5" xfId="0" applyNumberFormat="1" applyFont="1" applyFill="1" applyBorder="1" applyAlignment="1">
      <alignment horizontal="right"/>
    </xf>
    <xf numFmtId="170" fontId="7" fillId="14" borderId="5" xfId="0" applyNumberFormat="1" applyFont="1" applyFill="1" applyBorder="1" applyAlignment="1">
      <alignment horizontal="right"/>
    </xf>
    <xf numFmtId="1" fontId="4" fillId="0" borderId="0" xfId="0" applyNumberFormat="1" applyFont="1"/>
    <xf numFmtId="0" fontId="51" fillId="6" borderId="6" xfId="0" applyFont="1" applyFill="1" applyBorder="1" applyAlignment="1">
      <alignment horizontal="left"/>
    </xf>
    <xf numFmtId="171" fontId="51" fillId="7" borderId="5" xfId="0" applyNumberFormat="1" applyFont="1" applyFill="1" applyBorder="1" applyAlignment="1">
      <alignment horizontal="right"/>
    </xf>
    <xf numFmtId="3" fontId="51" fillId="14" borderId="5" xfId="0" applyNumberFormat="1" applyFont="1" applyFill="1" applyBorder="1" applyAlignment="1">
      <alignment horizontal="right"/>
    </xf>
    <xf numFmtId="170" fontId="51" fillId="14" borderId="5" xfId="0" applyNumberFormat="1" applyFont="1" applyFill="1" applyBorder="1" applyAlignment="1">
      <alignment horizontal="right"/>
    </xf>
    <xf numFmtId="3" fontId="51" fillId="7" borderId="5" xfId="0" applyNumberFormat="1" applyFont="1" applyFill="1" applyBorder="1" applyAlignment="1">
      <alignment horizontal="right"/>
    </xf>
    <xf numFmtId="170" fontId="8" fillId="14" borderId="7" xfId="0" applyNumberFormat="1" applyFont="1" applyFill="1" applyBorder="1" applyAlignment="1">
      <alignment horizontal="right" vertical="center"/>
    </xf>
    <xf numFmtId="1" fontId="19" fillId="0" borderId="0" xfId="0" applyNumberFormat="1" applyFont="1"/>
    <xf numFmtId="0" fontId="20" fillId="4" borderId="0" xfId="0" applyFont="1" applyFill="1" applyAlignment="1">
      <alignment vertical="center"/>
    </xf>
    <xf numFmtId="170" fontId="8" fillId="6" borderId="7" xfId="0" applyNumberFormat="1" applyFont="1" applyFill="1" applyBorder="1" applyAlignment="1">
      <alignment horizontal="center" vertical="center"/>
    </xf>
    <xf numFmtId="0" fontId="20" fillId="0" borderId="0" xfId="0" applyFont="1" applyFill="1" applyBorder="1" applyAlignment="1">
      <alignment vertical="center"/>
    </xf>
    <xf numFmtId="0" fontId="8" fillId="6" borderId="0" xfId="0" applyFont="1" applyFill="1" applyBorder="1" applyAlignment="1">
      <alignment horizontal="left"/>
    </xf>
    <xf numFmtId="3" fontId="7" fillId="6" borderId="5" xfId="0" applyNumberFormat="1" applyFont="1" applyFill="1" applyBorder="1" applyAlignment="1">
      <alignment horizontal="center"/>
    </xf>
    <xf numFmtId="0" fontId="8" fillId="6" borderId="7" xfId="0" quotePrefix="1" applyFont="1" applyFill="1" applyBorder="1" applyAlignment="1">
      <alignment horizontal="left" vertical="center"/>
    </xf>
    <xf numFmtId="0" fontId="4" fillId="11" borderId="0" xfId="0" applyFont="1" applyFill="1" applyBorder="1"/>
    <xf numFmtId="0" fontId="19" fillId="0" borderId="0" xfId="0" applyFont="1" applyAlignment="1">
      <alignment horizontal="center"/>
    </xf>
    <xf numFmtId="0" fontId="7" fillId="0" borderId="0" xfId="0" applyFont="1" applyAlignment="1">
      <alignment horizontal="right"/>
    </xf>
    <xf numFmtId="0" fontId="8" fillId="6" borderId="12" xfId="0" quotePrefix="1" applyFont="1" applyFill="1" applyBorder="1" applyAlignment="1"/>
    <xf numFmtId="3" fontId="8" fillId="7" borderId="5" xfId="0" applyNumberFormat="1" applyFont="1" applyFill="1" applyBorder="1" applyAlignment="1">
      <alignment horizontal="right"/>
    </xf>
    <xf numFmtId="170" fontId="8" fillId="6" borderId="5" xfId="0" applyNumberFormat="1" applyFont="1" applyFill="1" applyBorder="1" applyAlignment="1">
      <alignment horizontal="center"/>
    </xf>
    <xf numFmtId="0" fontId="8" fillId="6" borderId="6" xfId="0" quotePrefix="1" applyFont="1" applyFill="1" applyBorder="1" applyAlignment="1"/>
    <xf numFmtId="3" fontId="8" fillId="7" borderId="6" xfId="0" applyNumberFormat="1" applyFont="1" applyFill="1" applyBorder="1" applyAlignment="1">
      <alignment horizontal="right"/>
    </xf>
    <xf numFmtId="170" fontId="8" fillId="6" borderId="6" xfId="0" applyNumberFormat="1" applyFont="1" applyFill="1" applyBorder="1" applyAlignment="1">
      <alignment horizontal="center"/>
    </xf>
    <xf numFmtId="0" fontId="8" fillId="6" borderId="6" xfId="0" quotePrefix="1" applyFont="1" applyFill="1" applyBorder="1" applyAlignment="1">
      <alignment wrapText="1"/>
    </xf>
    <xf numFmtId="0" fontId="7" fillId="6" borderId="0" xfId="0" quotePrefix="1" applyFont="1" applyFill="1" applyBorder="1" applyAlignment="1">
      <alignment vertical="center"/>
    </xf>
    <xf numFmtId="170" fontId="7" fillId="6" borderId="6" xfId="0" applyNumberFormat="1" applyFont="1" applyFill="1" applyBorder="1" applyAlignment="1">
      <alignment horizontal="center" vertical="center"/>
    </xf>
    <xf numFmtId="3" fontId="7" fillId="7" borderId="0" xfId="0" applyNumberFormat="1" applyFont="1" applyFill="1" applyBorder="1" applyAlignment="1">
      <alignment horizontal="right" vertical="center"/>
    </xf>
    <xf numFmtId="0" fontId="19" fillId="0" borderId="8" xfId="0" applyFont="1" applyBorder="1"/>
    <xf numFmtId="171" fontId="7" fillId="7" borderId="5" xfId="0" applyNumberFormat="1" applyFont="1" applyFill="1" applyBorder="1" applyAlignment="1"/>
    <xf numFmtId="0" fontId="7" fillId="6" borderId="5" xfId="0" applyNumberFormat="1" applyFont="1" applyFill="1" applyBorder="1" applyAlignment="1">
      <alignment horizontal="right"/>
    </xf>
    <xf numFmtId="0" fontId="7" fillId="6" borderId="6" xfId="0" applyNumberFormat="1" applyFont="1" applyFill="1" applyBorder="1" applyAlignment="1">
      <alignment horizontal="right"/>
    </xf>
    <xf numFmtId="171" fontId="8" fillId="7" borderId="6" xfId="0" applyNumberFormat="1" applyFont="1" applyFill="1" applyBorder="1" applyAlignment="1">
      <alignment vertical="center"/>
    </xf>
    <xf numFmtId="0" fontId="8" fillId="6" borderId="6" xfId="0" applyNumberFormat="1" applyFont="1" applyFill="1" applyBorder="1" applyAlignment="1">
      <alignment horizontal="right" vertical="center"/>
    </xf>
    <xf numFmtId="0" fontId="35" fillId="6" borderId="6" xfId="0" applyNumberFormat="1" applyFont="1" applyFill="1" applyBorder="1" applyAlignment="1">
      <alignment horizontal="right"/>
    </xf>
    <xf numFmtId="170" fontId="2" fillId="0" borderId="0" xfId="0" applyNumberFormat="1" applyFont="1"/>
    <xf numFmtId="0" fontId="8" fillId="6" borderId="7" xfId="0" applyFont="1" applyFill="1" applyBorder="1" applyAlignment="1">
      <alignment horizontal="left" vertical="center"/>
    </xf>
    <xf numFmtId="0" fontId="4" fillId="0" borderId="0" xfId="0" applyNumberFormat="1" applyFont="1" applyBorder="1"/>
    <xf numFmtId="0" fontId="18" fillId="4" borderId="0" xfId="0" applyFont="1" applyFill="1" applyBorder="1"/>
    <xf numFmtId="0" fontId="4" fillId="0" borderId="0" xfId="0" applyFont="1" applyBorder="1" applyAlignment="1"/>
    <xf numFmtId="0" fontId="20" fillId="0" borderId="0" xfId="0" applyFont="1" applyBorder="1" applyAlignment="1">
      <alignment vertical="top" wrapText="1"/>
    </xf>
    <xf numFmtId="0" fontId="0" fillId="0" borderId="0" xfId="0" applyAlignment="1"/>
    <xf numFmtId="0" fontId="31" fillId="0" borderId="4" xfId="0" applyFont="1" applyBorder="1" applyAlignment="1"/>
    <xf numFmtId="0" fontId="0" fillId="0" borderId="0" xfId="0" applyBorder="1" applyAlignment="1">
      <alignment wrapText="1"/>
    </xf>
    <xf numFmtId="0" fontId="8" fillId="6" borderId="11" xfId="0" applyFont="1" applyFill="1" applyBorder="1" applyAlignment="1">
      <alignment horizontal="left"/>
    </xf>
    <xf numFmtId="170" fontId="7" fillId="6" borderId="0" xfId="0" applyNumberFormat="1" applyFont="1" applyFill="1" applyBorder="1" applyAlignment="1">
      <alignment horizontal="right"/>
    </xf>
    <xf numFmtId="170" fontId="7" fillId="6" borderId="5" xfId="0" applyNumberFormat="1" applyFont="1" applyFill="1" applyBorder="1" applyAlignment="1">
      <alignment vertical="center"/>
    </xf>
    <xf numFmtId="170" fontId="8" fillId="6" borderId="0" xfId="0" applyNumberFormat="1" applyFont="1" applyFill="1" applyBorder="1" applyAlignment="1">
      <alignment vertical="center"/>
    </xf>
    <xf numFmtId="170" fontId="4" fillId="0" borderId="8" xfId="0" applyNumberFormat="1" applyFont="1" applyBorder="1"/>
    <xf numFmtId="170" fontId="4" fillId="0" borderId="0" xfId="0" applyNumberFormat="1" applyFont="1" applyBorder="1"/>
    <xf numFmtId="0" fontId="7" fillId="6" borderId="16" xfId="0" applyFont="1" applyFill="1" applyBorder="1" applyAlignment="1">
      <alignment vertical="center"/>
    </xf>
    <xf numFmtId="4" fontId="7" fillId="7" borderId="16" xfId="0" applyNumberFormat="1" applyFont="1" applyFill="1" applyBorder="1" applyAlignment="1">
      <alignment vertical="center"/>
    </xf>
    <xf numFmtId="4" fontId="7" fillId="6" borderId="16" xfId="0" applyNumberFormat="1" applyFont="1" applyFill="1" applyBorder="1" applyAlignment="1">
      <alignment vertical="center"/>
    </xf>
    <xf numFmtId="170" fontId="35" fillId="6" borderId="16" xfId="0" applyNumberFormat="1" applyFont="1" applyFill="1" applyBorder="1" applyAlignment="1">
      <alignment horizontal="right" vertical="center"/>
    </xf>
    <xf numFmtId="0" fontId="20" fillId="0" borderId="0" xfId="0" applyFont="1" applyAlignment="1">
      <alignment wrapText="1"/>
    </xf>
    <xf numFmtId="0" fontId="8" fillId="6" borderId="11" xfId="0" applyFont="1" applyFill="1" applyBorder="1" applyAlignment="1">
      <alignment horizontal="left" vertical="center"/>
    </xf>
    <xf numFmtId="0" fontId="8" fillId="7" borderId="11" xfId="0" applyFont="1" applyFill="1" applyBorder="1" applyAlignment="1">
      <alignment horizontal="right" vertical="center"/>
    </xf>
    <xf numFmtId="0" fontId="8" fillId="6" borderId="11" xfId="0" applyFont="1" applyFill="1" applyBorder="1" applyAlignment="1">
      <alignment horizontal="right" vertical="center"/>
    </xf>
    <xf numFmtId="0" fontId="8" fillId="6" borderId="16" xfId="0" applyFont="1" applyFill="1" applyBorder="1" applyAlignment="1">
      <alignment vertical="center"/>
    </xf>
    <xf numFmtId="3" fontId="7" fillId="7" borderId="16" xfId="0" applyNumberFormat="1" applyFont="1" applyFill="1" applyBorder="1" applyAlignment="1">
      <alignment vertical="center"/>
    </xf>
    <xf numFmtId="3" fontId="7" fillId="6" borderId="16" xfId="0" applyNumberFormat="1" applyFont="1" applyFill="1" applyBorder="1" applyAlignment="1">
      <alignment vertical="center"/>
    </xf>
    <xf numFmtId="3" fontId="8" fillId="6" borderId="16" xfId="0" applyNumberFormat="1" applyFont="1" applyFill="1" applyBorder="1" applyAlignment="1">
      <alignment vertical="center"/>
    </xf>
    <xf numFmtId="0" fontId="20" fillId="4" borderId="0" xfId="0" applyFont="1" applyFill="1" applyAlignment="1">
      <alignment horizontal="center"/>
    </xf>
    <xf numFmtId="0" fontId="20" fillId="0" borderId="4" xfId="0" applyFont="1" applyBorder="1"/>
    <xf numFmtId="0" fontId="8" fillId="7" borderId="11" xfId="0" applyFont="1" applyFill="1" applyBorder="1" applyAlignment="1">
      <alignment horizontal="left" vertical="center"/>
    </xf>
    <xf numFmtId="0" fontId="8" fillId="15" borderId="11" xfId="0" applyFont="1" applyFill="1" applyBorder="1" applyAlignment="1" applyProtection="1">
      <alignment vertical="center"/>
    </xf>
    <xf numFmtId="0" fontId="7" fillId="15" borderId="11" xfId="0" applyFont="1" applyFill="1" applyBorder="1" applyProtection="1"/>
    <xf numFmtId="0" fontId="7" fillId="15" borderId="11" xfId="0" applyFont="1" applyFill="1" applyBorder="1" applyAlignment="1" applyProtection="1">
      <alignment horizontal="center"/>
    </xf>
    <xf numFmtId="0" fontId="8" fillId="6" borderId="0" xfId="0" applyFont="1" applyFill="1" applyBorder="1" applyAlignment="1">
      <alignment horizontal="center" vertical="center" wrapText="1"/>
    </xf>
    <xf numFmtId="0" fontId="8" fillId="13" borderId="11" xfId="0" applyFont="1" applyFill="1" applyBorder="1" applyAlignment="1">
      <alignment horizontal="left" vertical="center"/>
    </xf>
    <xf numFmtId="0" fontId="7" fillId="13" borderId="17" xfId="0" applyFont="1" applyFill="1" applyBorder="1" applyProtection="1"/>
    <xf numFmtId="0" fontId="7" fillId="13" borderId="11" xfId="0" applyFont="1" applyFill="1" applyBorder="1" applyProtection="1"/>
    <xf numFmtId="0" fontId="7" fillId="6" borderId="11" xfId="0" applyFont="1" applyFill="1" applyBorder="1" applyProtection="1"/>
    <xf numFmtId="0" fontId="19" fillId="7" borderId="0" xfId="0" applyFont="1" applyFill="1" applyBorder="1" applyAlignment="1">
      <alignment horizontal="center" vertical="center" wrapText="1"/>
    </xf>
    <xf numFmtId="0" fontId="8" fillId="7" borderId="0" xfId="0" applyFont="1" applyFill="1" applyBorder="1" applyAlignment="1">
      <alignment horizontal="center" vertical="center" wrapText="1"/>
    </xf>
    <xf numFmtId="0" fontId="35" fillId="6" borderId="0" xfId="0" applyFont="1" applyFill="1" applyBorder="1" applyAlignment="1">
      <alignment horizontal="center" vertical="center" wrapText="1"/>
    </xf>
    <xf numFmtId="0" fontId="35" fillId="7" borderId="0" xfId="0" applyFont="1" applyFill="1" applyBorder="1" applyAlignment="1">
      <alignment horizontal="center" vertical="center" wrapText="1"/>
    </xf>
    <xf numFmtId="0" fontId="8" fillId="6" borderId="0" xfId="0" applyFont="1" applyFill="1" applyBorder="1" applyAlignment="1" applyProtection="1">
      <alignment horizontal="center" vertical="center"/>
    </xf>
    <xf numFmtId="0" fontId="8" fillId="6" borderId="4" xfId="0" applyFont="1" applyFill="1" applyBorder="1" applyAlignment="1">
      <alignment horizontal="center" vertical="top"/>
    </xf>
    <xf numFmtId="0" fontId="8" fillId="7" borderId="4" xfId="0" applyFont="1" applyFill="1" applyBorder="1" applyAlignment="1">
      <alignment horizontal="center" vertical="top"/>
    </xf>
    <xf numFmtId="0" fontId="7" fillId="7" borderId="12" xfId="0" applyFont="1" applyFill="1" applyBorder="1" applyAlignment="1">
      <alignment horizontal="left"/>
    </xf>
    <xf numFmtId="170" fontId="8" fillId="6" borderId="12" xfId="0" applyNumberFormat="1" applyFont="1" applyFill="1" applyBorder="1" applyAlignment="1">
      <alignment horizontal="right"/>
    </xf>
    <xf numFmtId="170" fontId="8" fillId="7" borderId="12" xfId="0" applyNumberFormat="1" applyFont="1" applyFill="1" applyBorder="1" applyAlignment="1">
      <alignment horizontal="right"/>
    </xf>
    <xf numFmtId="170" fontId="35" fillId="6" borderId="12" xfId="0" applyNumberFormat="1" applyFont="1" applyFill="1" applyBorder="1" applyAlignment="1">
      <alignment horizontal="right"/>
    </xf>
    <xf numFmtId="170" fontId="35" fillId="7" borderId="12" xfId="0" applyNumberFormat="1" applyFont="1" applyFill="1" applyBorder="1" applyAlignment="1">
      <alignment horizontal="right"/>
    </xf>
    <xf numFmtId="0" fontId="7" fillId="7" borderId="6" xfId="0" applyFont="1" applyFill="1" applyBorder="1" applyAlignment="1">
      <alignment horizontal="left"/>
    </xf>
    <xf numFmtId="0" fontId="8" fillId="7" borderId="7" xfId="0" applyFont="1" applyFill="1" applyBorder="1" applyAlignment="1">
      <alignment horizontal="left" vertical="center"/>
    </xf>
    <xf numFmtId="170" fontId="7" fillId="7" borderId="12" xfId="0" applyNumberFormat="1" applyFont="1" applyFill="1" applyBorder="1" applyAlignment="1">
      <alignment horizontal="right" vertical="center"/>
    </xf>
    <xf numFmtId="170" fontId="7" fillId="6" borderId="12" xfId="0" applyNumberFormat="1" applyFont="1" applyFill="1" applyBorder="1" applyAlignment="1">
      <alignment horizontal="right" vertical="center"/>
    </xf>
    <xf numFmtId="170" fontId="8" fillId="7" borderId="12" xfId="0" applyNumberFormat="1" applyFont="1" applyFill="1" applyBorder="1" applyAlignment="1">
      <alignment horizontal="right" vertical="center"/>
    </xf>
    <xf numFmtId="170" fontId="8" fillId="7" borderId="7" xfId="0" applyNumberFormat="1" applyFont="1" applyFill="1" applyBorder="1" applyAlignment="1">
      <alignment horizontal="right" vertical="center"/>
    </xf>
    <xf numFmtId="170" fontId="35" fillId="6" borderId="7" xfId="0" applyNumberFormat="1" applyFont="1" applyFill="1" applyBorder="1" applyAlignment="1">
      <alignment horizontal="right" vertical="center"/>
    </xf>
    <xf numFmtId="170" fontId="35" fillId="7" borderId="7" xfId="0" applyNumberFormat="1" applyFont="1" applyFill="1" applyBorder="1" applyAlignment="1">
      <alignment horizontal="right" vertical="center"/>
    </xf>
    <xf numFmtId="0" fontId="19" fillId="4" borderId="8" xfId="0" applyFont="1" applyFill="1" applyBorder="1"/>
    <xf numFmtId="0" fontId="19" fillId="4" borderId="8" xfId="0" applyFont="1" applyFill="1" applyBorder="1" applyAlignment="1">
      <alignment horizontal="center"/>
    </xf>
    <xf numFmtId="0" fontId="19" fillId="4" borderId="0" xfId="0" applyFont="1" applyFill="1" applyBorder="1"/>
    <xf numFmtId="0" fontId="19" fillId="4" borderId="0" xfId="0" applyFont="1" applyFill="1" applyBorder="1" applyAlignment="1">
      <alignment horizontal="center"/>
    </xf>
    <xf numFmtId="0" fontId="19" fillId="4" borderId="0" xfId="0" applyFont="1" applyFill="1" applyAlignment="1">
      <alignment horizontal="center"/>
    </xf>
    <xf numFmtId="170" fontId="7" fillId="6" borderId="12" xfId="0" applyNumberFormat="1" applyFont="1" applyFill="1" applyBorder="1" applyAlignment="1">
      <alignment horizontal="center"/>
    </xf>
    <xf numFmtId="170" fontId="7" fillId="6" borderId="12" xfId="0" applyNumberFormat="1" applyFont="1" applyFill="1" applyBorder="1" applyAlignment="1">
      <alignment horizontal="center" vertical="center"/>
    </xf>
    <xf numFmtId="3" fontId="4" fillId="0" borderId="0" xfId="0" applyNumberFormat="1" applyFont="1" applyFill="1" applyAlignment="1">
      <alignment horizontal="right"/>
    </xf>
    <xf numFmtId="0" fontId="19" fillId="0" borderId="0" xfId="0" applyFont="1" applyFill="1" applyAlignment="1">
      <alignment horizontal="center"/>
    </xf>
    <xf numFmtId="170" fontId="7" fillId="7" borderId="5" xfId="0" applyNumberFormat="1" applyFont="1" applyFill="1" applyBorder="1" applyAlignment="1">
      <alignment horizontal="right"/>
    </xf>
    <xf numFmtId="170" fontId="7" fillId="6" borderId="6" xfId="0" applyNumberFormat="1" applyFont="1" applyFill="1" applyBorder="1" applyAlignment="1">
      <alignment horizontal="right"/>
    </xf>
    <xf numFmtId="170" fontId="8" fillId="6" borderId="0" xfId="0" applyNumberFormat="1" applyFont="1" applyFill="1" applyBorder="1" applyAlignment="1">
      <alignment horizontal="right" vertical="center"/>
    </xf>
    <xf numFmtId="0" fontId="7" fillId="7" borderId="0" xfId="0" applyNumberFormat="1" applyFont="1" applyFill="1" applyBorder="1" applyAlignment="1">
      <alignment horizontal="right"/>
    </xf>
    <xf numFmtId="0" fontId="7" fillId="6" borderId="0" xfId="0" applyNumberFormat="1" applyFont="1" applyFill="1" applyBorder="1" applyAlignment="1">
      <alignment horizontal="right"/>
    </xf>
    <xf numFmtId="0" fontId="7" fillId="8" borderId="11" xfId="0" applyFont="1" applyFill="1" applyBorder="1" applyAlignment="1">
      <alignment horizontal="left"/>
    </xf>
    <xf numFmtId="0" fontId="7" fillId="16" borderId="11" xfId="0" applyFont="1" applyFill="1" applyBorder="1" applyAlignment="1">
      <alignment horizontal="right"/>
    </xf>
    <xf numFmtId="0" fontId="7" fillId="8" borderId="11" xfId="0" applyFont="1" applyFill="1" applyBorder="1" applyAlignment="1">
      <alignment horizontal="right"/>
    </xf>
    <xf numFmtId="0" fontId="4" fillId="0" borderId="0" xfId="0" applyFont="1" applyFill="1" applyBorder="1" applyAlignment="1">
      <alignment horizontal="center"/>
    </xf>
    <xf numFmtId="0" fontId="7" fillId="8" borderId="0" xfId="0" applyFont="1" applyFill="1" applyBorder="1" applyAlignment="1">
      <alignment horizontal="left"/>
    </xf>
    <xf numFmtId="0" fontId="7" fillId="9" borderId="0" xfId="0" applyFont="1" applyFill="1" applyBorder="1" applyAlignment="1">
      <alignment horizontal="right"/>
    </xf>
    <xf numFmtId="0" fontId="7" fillId="8" borderId="0" xfId="0" applyFont="1" applyFill="1" applyBorder="1" applyAlignment="1">
      <alignment horizontal="right"/>
    </xf>
    <xf numFmtId="3" fontId="7" fillId="8" borderId="0" xfId="0" applyNumberFormat="1" applyFont="1" applyFill="1" applyBorder="1" applyAlignment="1">
      <alignment horizontal="right"/>
    </xf>
    <xf numFmtId="0" fontId="7" fillId="7" borderId="0" xfId="0" quotePrefix="1" applyFont="1" applyFill="1" applyBorder="1" applyAlignment="1">
      <alignment horizontal="right"/>
    </xf>
    <xf numFmtId="0" fontId="4" fillId="8" borderId="0" xfId="0" applyFont="1" applyFill="1" applyBorder="1" applyAlignment="1">
      <alignment horizontal="right"/>
    </xf>
    <xf numFmtId="0" fontId="7" fillId="8" borderId="4" xfId="0" applyFont="1" applyFill="1" applyBorder="1" applyAlignment="1">
      <alignment horizontal="left" vertical="top"/>
    </xf>
    <xf numFmtId="0" fontId="7" fillId="9" borderId="4" xfId="0" applyFont="1" applyFill="1" applyBorder="1" applyAlignment="1">
      <alignment horizontal="right" vertical="top"/>
    </xf>
    <xf numFmtId="0" fontId="7" fillId="8" borderId="4" xfId="0" applyFont="1" applyFill="1" applyBorder="1" applyAlignment="1">
      <alignment horizontal="right" vertical="top"/>
    </xf>
    <xf numFmtId="0" fontId="18" fillId="0" borderId="0" xfId="0" applyFont="1" applyFill="1" applyBorder="1" applyAlignment="1">
      <alignment horizontal="center"/>
    </xf>
    <xf numFmtId="0" fontId="7" fillId="8" borderId="5" xfId="0" quotePrefix="1" applyFont="1" applyFill="1" applyBorder="1" applyAlignment="1">
      <alignment horizontal="left"/>
    </xf>
    <xf numFmtId="170" fontId="7" fillId="9" borderId="5" xfId="0" applyNumberFormat="1" applyFont="1" applyFill="1" applyBorder="1" applyAlignment="1">
      <alignment horizontal="right"/>
    </xf>
    <xf numFmtId="170" fontId="7" fillId="8" borderId="5" xfId="0" quotePrefix="1" applyNumberFormat="1" applyFont="1" applyFill="1" applyBorder="1" applyAlignment="1">
      <alignment horizontal="right"/>
    </xf>
    <xf numFmtId="3" fontId="7" fillId="8" borderId="5" xfId="0" quotePrefix="1" applyNumberFormat="1" applyFont="1" applyFill="1" applyBorder="1" applyAlignment="1">
      <alignment horizontal="right"/>
    </xf>
    <xf numFmtId="0" fontId="7" fillId="8" borderId="6" xfId="0" quotePrefix="1" applyFont="1" applyFill="1" applyBorder="1" applyAlignment="1">
      <alignment horizontal="left"/>
    </xf>
    <xf numFmtId="170" fontId="7" fillId="9" borderId="6" xfId="0" applyNumberFormat="1" applyFont="1" applyFill="1" applyBorder="1" applyAlignment="1">
      <alignment horizontal="right"/>
    </xf>
    <xf numFmtId="170" fontId="7" fillId="8" borderId="6" xfId="0" quotePrefix="1" applyNumberFormat="1" applyFont="1" applyFill="1" applyBorder="1" applyAlignment="1">
      <alignment horizontal="right"/>
    </xf>
    <xf numFmtId="3" fontId="7" fillId="8" borderId="6" xfId="0" quotePrefix="1" applyNumberFormat="1" applyFont="1" applyFill="1" applyBorder="1" applyAlignment="1">
      <alignment horizontal="right"/>
    </xf>
    <xf numFmtId="0" fontId="8" fillId="8" borderId="0" xfId="0" quotePrefix="1" applyFont="1" applyFill="1" applyBorder="1" applyAlignment="1">
      <alignment horizontal="left" vertical="center"/>
    </xf>
    <xf numFmtId="170" fontId="8" fillId="9" borderId="0" xfId="0" applyNumberFormat="1" applyFont="1" applyFill="1" applyBorder="1" applyAlignment="1">
      <alignment horizontal="right" vertical="center"/>
    </xf>
    <xf numFmtId="170" fontId="8" fillId="8" borderId="0" xfId="0" quotePrefix="1" applyNumberFormat="1" applyFont="1" applyFill="1" applyBorder="1" applyAlignment="1">
      <alignment horizontal="right" vertical="center"/>
    </xf>
    <xf numFmtId="3" fontId="8" fillId="8" borderId="6" xfId="0" quotePrefix="1" applyNumberFormat="1" applyFont="1" applyFill="1" applyBorder="1" applyAlignment="1">
      <alignment horizontal="right" vertical="center"/>
    </xf>
    <xf numFmtId="0" fontId="20" fillId="4" borderId="4" xfId="0" applyFont="1" applyFill="1" applyBorder="1" applyAlignment="1">
      <alignment horizontal="right" vertical="top"/>
    </xf>
    <xf numFmtId="0" fontId="35" fillId="6" borderId="0" xfId="0" applyFont="1" applyFill="1" applyBorder="1" applyAlignment="1">
      <alignment horizontal="right" vertical="center" wrapText="1"/>
    </xf>
    <xf numFmtId="0" fontId="35" fillId="7" borderId="0" xfId="0" applyFont="1" applyFill="1" applyBorder="1" applyAlignment="1">
      <alignment horizontal="right" vertical="center" wrapText="1"/>
    </xf>
    <xf numFmtId="0" fontId="35" fillId="6" borderId="4" xfId="0" applyFont="1" applyFill="1" applyBorder="1" applyAlignment="1">
      <alignment horizontal="right"/>
    </xf>
    <xf numFmtId="0" fontId="7" fillId="7" borderId="4" xfId="0" applyFont="1" applyFill="1" applyBorder="1"/>
    <xf numFmtId="3" fontId="35" fillId="6" borderId="5" xfId="0" applyNumberFormat="1" applyFont="1" applyFill="1" applyBorder="1" applyAlignment="1">
      <alignment horizontal="right" vertical="center"/>
    </xf>
    <xf numFmtId="3" fontId="35" fillId="7" borderId="5" xfId="0" applyNumberFormat="1" applyFont="1" applyFill="1" applyBorder="1" applyAlignment="1">
      <alignment vertical="center"/>
    </xf>
    <xf numFmtId="3" fontId="35" fillId="7" borderId="6" xfId="0" applyNumberFormat="1" applyFont="1" applyFill="1" applyBorder="1" applyAlignment="1">
      <alignment horizontal="right" vertical="center"/>
    </xf>
    <xf numFmtId="3" fontId="51" fillId="6" borderId="7" xfId="0" applyNumberFormat="1" applyFont="1" applyFill="1" applyBorder="1" applyAlignment="1">
      <alignment vertical="center"/>
    </xf>
    <xf numFmtId="3" fontId="51" fillId="7" borderId="7" xfId="0" applyNumberFormat="1" applyFont="1" applyFill="1" applyBorder="1" applyAlignment="1">
      <alignment vertical="center"/>
    </xf>
    <xf numFmtId="3" fontId="7" fillId="7" borderId="11" xfId="0" applyNumberFormat="1" applyFont="1" applyFill="1" applyBorder="1" applyAlignment="1">
      <alignment horizontal="right"/>
    </xf>
    <xf numFmtId="170" fontId="51" fillId="6" borderId="5" xfId="0" applyNumberFormat="1" applyFont="1" applyFill="1" applyBorder="1" applyAlignment="1">
      <alignment horizontal="center"/>
    </xf>
    <xf numFmtId="0" fontId="28" fillId="12" borderId="0" xfId="0" applyNumberFormat="1" applyFont="1" applyFill="1" applyAlignment="1">
      <alignment horizontal="center"/>
    </xf>
    <xf numFmtId="0" fontId="18" fillId="12" borderId="0" xfId="0" applyFont="1" applyFill="1"/>
    <xf numFmtId="0" fontId="57" fillId="12" borderId="0" xfId="0" applyFont="1" applyFill="1" applyAlignment="1">
      <alignment horizontal="right"/>
    </xf>
    <xf numFmtId="0" fontId="2" fillId="0" borderId="3" xfId="0" applyFont="1" applyBorder="1"/>
    <xf numFmtId="0" fontId="2" fillId="0" borderId="3" xfId="0" applyFont="1" applyBorder="1" applyAlignment="1">
      <alignment horizontal="center"/>
    </xf>
    <xf numFmtId="0" fontId="20" fillId="0" borderId="3" xfId="0" applyFont="1" applyBorder="1"/>
    <xf numFmtId="0" fontId="4" fillId="14" borderId="0" xfId="0" applyFont="1" applyFill="1" applyBorder="1" applyAlignment="1">
      <alignment horizontal="left"/>
    </xf>
    <xf numFmtId="0" fontId="4" fillId="7" borderId="0" xfId="0" applyFont="1" applyFill="1" applyBorder="1" applyAlignment="1">
      <alignment horizontal="center"/>
    </xf>
    <xf numFmtId="0" fontId="4" fillId="14" borderId="0" xfId="0" applyFont="1" applyFill="1" applyBorder="1" applyAlignment="1">
      <alignment horizontal="center"/>
    </xf>
    <xf numFmtId="3" fontId="19" fillId="7" borderId="0" xfId="0" applyNumberFormat="1" applyFont="1" applyFill="1" applyBorder="1" applyAlignment="1">
      <alignment horizontal="center"/>
    </xf>
    <xf numFmtId="0" fontId="19" fillId="7" borderId="0" xfId="0" applyFont="1" applyFill="1" applyBorder="1" applyAlignment="1">
      <alignment horizontal="center"/>
    </xf>
    <xf numFmtId="0" fontId="4" fillId="14" borderId="4" xfId="0" applyFont="1" applyFill="1" applyBorder="1" applyAlignment="1">
      <alignment horizontal="center"/>
    </xf>
    <xf numFmtId="0" fontId="4" fillId="7" borderId="4" xfId="0" applyFont="1" applyFill="1" applyBorder="1" applyAlignment="1">
      <alignment horizontal="center" vertical="top"/>
    </xf>
    <xf numFmtId="0" fontId="4" fillId="14" borderId="4" xfId="0" applyFont="1" applyFill="1" applyBorder="1" applyAlignment="1">
      <alignment horizontal="center" vertical="top"/>
    </xf>
    <xf numFmtId="0" fontId="19" fillId="7" borderId="4" xfId="0" applyFont="1" applyFill="1" applyBorder="1" applyAlignment="1">
      <alignment horizontal="center" vertical="top"/>
    </xf>
    <xf numFmtId="1" fontId="4" fillId="14" borderId="5" xfId="0" applyNumberFormat="1" applyFont="1" applyFill="1" applyBorder="1" applyAlignment="1">
      <alignment horizontal="center" vertical="center"/>
    </xf>
    <xf numFmtId="1" fontId="4" fillId="14" borderId="5" xfId="0" applyNumberFormat="1" applyFont="1" applyFill="1" applyBorder="1" applyAlignment="1">
      <alignment horizontal="left" vertical="center"/>
    </xf>
    <xf numFmtId="3" fontId="4" fillId="7" borderId="51" xfId="0" applyNumberFormat="1" applyFont="1" applyFill="1" applyBorder="1" applyAlignment="1">
      <alignment horizontal="center" vertical="center"/>
    </xf>
    <xf numFmtId="171" fontId="4" fillId="14" borderId="51" xfId="0" applyNumberFormat="1" applyFont="1" applyFill="1" applyBorder="1" applyAlignment="1">
      <alignment horizontal="right" vertical="center"/>
    </xf>
    <xf numFmtId="171" fontId="19" fillId="7" borderId="51" xfId="0" applyNumberFormat="1" applyFont="1" applyFill="1" applyBorder="1" applyAlignment="1">
      <alignment horizontal="right" vertical="center"/>
    </xf>
    <xf numFmtId="171" fontId="4" fillId="7" borderId="51" xfId="0" applyNumberFormat="1" applyFont="1" applyFill="1" applyBorder="1" applyAlignment="1">
      <alignment horizontal="right" vertical="center"/>
    </xf>
    <xf numFmtId="9" fontId="19" fillId="7" borderId="51" xfId="0" applyNumberFormat="1" applyFont="1" applyFill="1" applyBorder="1" applyAlignment="1">
      <alignment horizontal="right" vertical="center"/>
    </xf>
    <xf numFmtId="1" fontId="4" fillId="14" borderId="51" xfId="0" applyNumberFormat="1" applyFont="1" applyFill="1" applyBorder="1" applyAlignment="1">
      <alignment horizontal="center" vertical="center"/>
    </xf>
    <xf numFmtId="3" fontId="4" fillId="14" borderId="51" xfId="0" applyNumberFormat="1" applyFont="1" applyFill="1" applyBorder="1" applyAlignment="1">
      <alignment horizontal="left" vertical="center"/>
    </xf>
    <xf numFmtId="171" fontId="4" fillId="7" borderId="46" xfId="0" applyNumberFormat="1" applyFont="1" applyFill="1" applyBorder="1" applyAlignment="1">
      <alignment horizontal="right" vertical="center"/>
    </xf>
    <xf numFmtId="171" fontId="4" fillId="14" borderId="46" xfId="0" applyNumberFormat="1" applyFont="1" applyFill="1" applyBorder="1" applyAlignment="1">
      <alignment horizontal="right" vertical="center"/>
    </xf>
    <xf numFmtId="9" fontId="19" fillId="7" borderId="46" xfId="0" applyNumberFormat="1" applyFont="1" applyFill="1" applyBorder="1" applyAlignment="1">
      <alignment horizontal="right" vertical="center"/>
    </xf>
    <xf numFmtId="171" fontId="4" fillId="7" borderId="5" xfId="0" applyNumberFormat="1" applyFont="1" applyFill="1" applyBorder="1" applyAlignment="1">
      <alignment horizontal="right" vertical="center"/>
    </xf>
    <xf numFmtId="171" fontId="4" fillId="14" borderId="5" xfId="0" applyNumberFormat="1" applyFont="1" applyFill="1" applyBorder="1" applyAlignment="1">
      <alignment horizontal="right" vertical="center"/>
    </xf>
    <xf numFmtId="9" fontId="19" fillId="7" borderId="5" xfId="0" applyNumberFormat="1" applyFont="1" applyFill="1" applyBorder="1" applyAlignment="1">
      <alignment horizontal="right" vertical="center"/>
    </xf>
    <xf numFmtId="171" fontId="33" fillId="14" borderId="5" xfId="0" applyNumberFormat="1" applyFont="1" applyFill="1" applyBorder="1" applyAlignment="1">
      <alignment horizontal="right" vertical="center"/>
    </xf>
    <xf numFmtId="9" fontId="41" fillId="7" borderId="5" xfId="0" applyNumberFormat="1" applyFont="1" applyFill="1" applyBorder="1" applyAlignment="1">
      <alignment horizontal="right" vertical="center"/>
    </xf>
    <xf numFmtId="1" fontId="4" fillId="14" borderId="11" xfId="0" applyNumberFormat="1" applyFont="1" applyFill="1" applyBorder="1" applyAlignment="1">
      <alignment horizontal="center" vertical="center"/>
    </xf>
    <xf numFmtId="3" fontId="4" fillId="14" borderId="11" xfId="0" applyNumberFormat="1" applyFont="1" applyFill="1" applyBorder="1" applyAlignment="1">
      <alignment horizontal="left" vertical="center"/>
    </xf>
    <xf numFmtId="171" fontId="4" fillId="7" borderId="0" xfId="0" applyNumberFormat="1" applyFont="1" applyFill="1" applyBorder="1" applyAlignment="1">
      <alignment horizontal="right" vertical="center"/>
    </xf>
    <xf numFmtId="171" fontId="4" fillId="14" borderId="0" xfId="0" applyNumberFormat="1" applyFont="1" applyFill="1" applyBorder="1" applyAlignment="1">
      <alignment horizontal="right" vertical="center"/>
    </xf>
    <xf numFmtId="9" fontId="19" fillId="7" borderId="0" xfId="0" applyNumberFormat="1" applyFont="1" applyFill="1" applyBorder="1" applyAlignment="1">
      <alignment horizontal="right" vertical="center"/>
    </xf>
    <xf numFmtId="1" fontId="4" fillId="14" borderId="46" xfId="0" applyNumberFormat="1" applyFont="1" applyFill="1" applyBorder="1" applyAlignment="1">
      <alignment horizontal="center" vertical="center"/>
    </xf>
    <xf numFmtId="3" fontId="4" fillId="14" borderId="46" xfId="0" applyNumberFormat="1" applyFont="1" applyFill="1" applyBorder="1" applyAlignment="1">
      <alignment horizontal="left" vertical="center"/>
    </xf>
    <xf numFmtId="171" fontId="4" fillId="7" borderId="48" xfId="0" applyNumberFormat="1" applyFont="1" applyFill="1" applyBorder="1" applyAlignment="1">
      <alignment horizontal="right" vertical="center"/>
    </xf>
    <xf numFmtId="171" fontId="4" fillId="14" borderId="48" xfId="0" applyNumberFormat="1" applyFont="1" applyFill="1" applyBorder="1" applyAlignment="1">
      <alignment horizontal="right" vertical="center"/>
    </xf>
    <xf numFmtId="9" fontId="19" fillId="7" borderId="48" xfId="0" applyNumberFormat="1" applyFont="1" applyFill="1" applyBorder="1" applyAlignment="1">
      <alignment horizontal="right" vertical="center"/>
    </xf>
    <xf numFmtId="1" fontId="4" fillId="14" borderId="52" xfId="0" applyNumberFormat="1" applyFont="1" applyFill="1" applyBorder="1" applyAlignment="1">
      <alignment horizontal="center" vertical="center"/>
    </xf>
    <xf numFmtId="3" fontId="4" fillId="14" borderId="52" xfId="0" applyNumberFormat="1" applyFont="1" applyFill="1" applyBorder="1" applyAlignment="1">
      <alignment horizontal="left" vertical="center"/>
    </xf>
    <xf numFmtId="1" fontId="19" fillId="14" borderId="7" xfId="0" applyNumberFormat="1" applyFont="1" applyFill="1" applyBorder="1" applyAlignment="1">
      <alignment horizontal="right" vertical="center"/>
    </xf>
    <xf numFmtId="0" fontId="19" fillId="14" borderId="7" xfId="0" applyFont="1" applyFill="1" applyBorder="1" applyAlignment="1">
      <alignment horizontal="left" vertical="center"/>
    </xf>
    <xf numFmtId="171" fontId="19" fillId="7" borderId="7" xfId="0" applyNumberFormat="1" applyFont="1" applyFill="1" applyBorder="1" applyAlignment="1">
      <alignment horizontal="right" vertical="center"/>
    </xf>
    <xf numFmtId="171" fontId="19" fillId="14" borderId="7" xfId="0" applyNumberFormat="1" applyFont="1" applyFill="1" applyBorder="1" applyAlignment="1">
      <alignment horizontal="right" vertical="center"/>
    </xf>
    <xf numFmtId="9" fontId="19" fillId="7" borderId="7" xfId="0" applyNumberFormat="1" applyFont="1" applyFill="1" applyBorder="1" applyAlignment="1">
      <alignment horizontal="right" vertical="center"/>
    </xf>
    <xf numFmtId="3" fontId="4" fillId="0" borderId="6" xfId="0" applyNumberFormat="1" applyFont="1" applyFill="1" applyBorder="1" applyAlignment="1">
      <alignment horizontal="center"/>
    </xf>
    <xf numFmtId="171" fontId="4" fillId="0" borderId="6" xfId="0" applyNumberFormat="1" applyFont="1" applyFill="1" applyBorder="1" applyAlignment="1">
      <alignment horizontal="right"/>
    </xf>
    <xf numFmtId="171" fontId="19" fillId="0" borderId="6" xfId="0" applyNumberFormat="1" applyFont="1" applyFill="1" applyBorder="1" applyAlignment="1">
      <alignment horizontal="right"/>
    </xf>
    <xf numFmtId="0" fontId="123" fillId="0" borderId="0" xfId="0" applyFont="1"/>
    <xf numFmtId="0" fontId="67" fillId="0" borderId="0" xfId="0" applyFont="1" applyAlignment="1">
      <alignment horizontal="center"/>
    </xf>
    <xf numFmtId="0" fontId="124" fillId="0" borderId="0" xfId="0" applyFont="1"/>
    <xf numFmtId="0" fontId="2" fillId="0" borderId="0" xfId="0" applyNumberFormat="1" applyFont="1" applyAlignment="1">
      <alignment horizontal="center"/>
    </xf>
    <xf numFmtId="0" fontId="2" fillId="0" borderId="0" xfId="0" applyFont="1" applyFill="1" applyAlignment="1">
      <alignment horizontal="center"/>
    </xf>
    <xf numFmtId="0" fontId="2" fillId="0" borderId="0" xfId="0" applyFont="1" applyFill="1"/>
    <xf numFmtId="0" fontId="20" fillId="0" borderId="0" xfId="0" applyNumberFormat="1" applyFont="1" applyAlignment="1"/>
    <xf numFmtId="0" fontId="20" fillId="0" borderId="0" xfId="0" applyNumberFormat="1" applyFont="1" applyAlignment="1">
      <alignment horizontal="right"/>
    </xf>
    <xf numFmtId="0" fontId="2" fillId="0" borderId="4" xfId="0" applyNumberFormat="1" applyFont="1" applyBorder="1" applyAlignment="1">
      <alignment horizontal="center"/>
    </xf>
    <xf numFmtId="0" fontId="2" fillId="0" borderId="4" xfId="0" applyFont="1" applyBorder="1"/>
    <xf numFmtId="0" fontId="4" fillId="6" borderId="11" xfId="0" applyFont="1" applyFill="1" applyBorder="1" applyAlignment="1">
      <alignment horizontal="left"/>
    </xf>
    <xf numFmtId="0" fontId="4" fillId="7" borderId="11" xfId="0" applyFont="1" applyFill="1" applyBorder="1" applyAlignment="1">
      <alignment horizontal="center"/>
    </xf>
    <xf numFmtId="0" fontId="4" fillId="6" borderId="11" xfId="0" applyFont="1" applyFill="1" applyBorder="1" applyAlignment="1">
      <alignment horizontal="center"/>
    </xf>
    <xf numFmtId="3" fontId="4" fillId="6" borderId="11" xfId="0" applyNumberFormat="1" applyFont="1" applyFill="1" applyBorder="1" applyAlignment="1">
      <alignment horizontal="center"/>
    </xf>
    <xf numFmtId="3" fontId="4" fillId="7" borderId="11" xfId="0" applyNumberFormat="1" applyFont="1" applyFill="1" applyBorder="1" applyAlignment="1">
      <alignment horizontal="center"/>
    </xf>
    <xf numFmtId="0" fontId="4" fillId="7" borderId="0" xfId="0" applyFont="1" applyFill="1"/>
    <xf numFmtId="3" fontId="4" fillId="6" borderId="0" xfId="0" applyNumberFormat="1" applyFont="1" applyFill="1" applyBorder="1" applyAlignment="1">
      <alignment horizontal="center"/>
    </xf>
    <xf numFmtId="3" fontId="4" fillId="7" borderId="0" xfId="0" applyNumberFormat="1" applyFont="1" applyFill="1" applyBorder="1" applyAlignment="1">
      <alignment horizontal="center"/>
    </xf>
    <xf numFmtId="0" fontId="4" fillId="6" borderId="0" xfId="0" applyFont="1" applyFill="1" applyAlignment="1">
      <alignment horizontal="center"/>
    </xf>
    <xf numFmtId="0" fontId="4" fillId="6" borderId="4" xfId="0" applyFont="1" applyFill="1" applyBorder="1" applyAlignment="1">
      <alignment horizontal="center" vertical="center"/>
    </xf>
    <xf numFmtId="0" fontId="4" fillId="7" borderId="4" xfId="0" applyFont="1" applyFill="1" applyBorder="1" applyAlignment="1">
      <alignment horizontal="right" vertical="center"/>
    </xf>
    <xf numFmtId="0" fontId="4" fillId="6" borderId="4" xfId="0" applyFont="1" applyFill="1" applyBorder="1" applyAlignment="1">
      <alignment horizontal="right" vertical="center"/>
    </xf>
    <xf numFmtId="3" fontId="4" fillId="6" borderId="4" xfId="0" applyNumberFormat="1" applyFont="1" applyFill="1" applyBorder="1" applyAlignment="1">
      <alignment horizontal="right" vertical="center"/>
    </xf>
    <xf numFmtId="3" fontId="4" fillId="7" borderId="4" xfId="0" applyNumberFormat="1" applyFont="1" applyFill="1" applyBorder="1" applyAlignment="1">
      <alignment horizontal="right" vertical="center"/>
    </xf>
    <xf numFmtId="3" fontId="4" fillId="7" borderId="5" xfId="0" applyNumberFormat="1" applyFont="1" applyFill="1" applyBorder="1" applyAlignment="1">
      <alignment vertical="center"/>
    </xf>
    <xf numFmtId="3" fontId="4" fillId="6" borderId="5" xfId="0" applyNumberFormat="1" applyFont="1" applyFill="1" applyBorder="1" applyAlignment="1">
      <alignment horizontal="right" vertical="center"/>
    </xf>
    <xf numFmtId="3" fontId="4" fillId="7" borderId="5" xfId="0" applyNumberFormat="1" applyFont="1" applyFill="1" applyBorder="1" applyAlignment="1">
      <alignment horizontal="right" vertical="center"/>
    </xf>
    <xf numFmtId="3" fontId="4" fillId="7" borderId="6" xfId="0" applyNumberFormat="1" applyFont="1" applyFill="1" applyBorder="1" applyAlignment="1">
      <alignment horizontal="right" vertical="center"/>
    </xf>
    <xf numFmtId="3" fontId="4" fillId="6" borderId="6" xfId="0" applyNumberFormat="1" applyFont="1" applyFill="1" applyBorder="1" applyAlignment="1">
      <alignment horizontal="right" vertical="center"/>
    </xf>
    <xf numFmtId="3" fontId="4" fillId="7" borderId="13" xfId="0" applyNumberFormat="1" applyFont="1" applyFill="1" applyBorder="1" applyAlignment="1">
      <alignment horizontal="right" vertical="center"/>
    </xf>
    <xf numFmtId="3" fontId="4" fillId="6" borderId="13" xfId="0" applyNumberFormat="1" applyFont="1" applyFill="1" applyBorder="1" applyAlignment="1">
      <alignment horizontal="right" vertical="center"/>
    </xf>
    <xf numFmtId="1" fontId="16" fillId="6" borderId="7" xfId="0" applyNumberFormat="1" applyFont="1" applyFill="1" applyBorder="1" applyAlignment="1">
      <alignment horizontal="left" vertical="center"/>
    </xf>
    <xf numFmtId="1" fontId="19" fillId="6" borderId="7" xfId="0" applyNumberFormat="1" applyFont="1" applyFill="1" applyBorder="1" applyAlignment="1">
      <alignment horizontal="left" vertical="center"/>
    </xf>
    <xf numFmtId="3" fontId="19" fillId="7" borderId="7" xfId="0" applyNumberFormat="1" applyFont="1" applyFill="1" applyBorder="1" applyAlignment="1">
      <alignment vertical="center"/>
    </xf>
    <xf numFmtId="3" fontId="19" fillId="6" borderId="7" xfId="0" applyNumberFormat="1" applyFont="1" applyFill="1" applyBorder="1" applyAlignment="1">
      <alignment horizontal="right" vertical="center"/>
    </xf>
    <xf numFmtId="3" fontId="19" fillId="7" borderId="7" xfId="0" applyNumberFormat="1" applyFont="1" applyFill="1" applyBorder="1" applyAlignment="1">
      <alignment horizontal="right" vertical="center"/>
    </xf>
    <xf numFmtId="3" fontId="19" fillId="6" borderId="7" xfId="0" quotePrefix="1" applyNumberFormat="1" applyFont="1" applyFill="1" applyBorder="1" applyAlignment="1">
      <alignment horizontal="right" vertical="center"/>
    </xf>
    <xf numFmtId="1" fontId="4" fillId="0" borderId="0" xfId="0" applyNumberFormat="1" applyFont="1" applyAlignment="1">
      <alignment horizontal="left"/>
    </xf>
    <xf numFmtId="170" fontId="4" fillId="0" borderId="6" xfId="0" applyNumberFormat="1" applyFont="1" applyFill="1" applyBorder="1" applyAlignment="1">
      <alignment horizontal="right"/>
    </xf>
    <xf numFmtId="3" fontId="4" fillId="0" borderId="6" xfId="0" applyNumberFormat="1" applyFont="1" applyFill="1" applyBorder="1" applyAlignment="1">
      <alignment horizontal="left"/>
    </xf>
    <xf numFmtId="170" fontId="4" fillId="0" borderId="6" xfId="0" applyNumberFormat="1" applyFont="1" applyFill="1" applyBorder="1" applyAlignment="1"/>
    <xf numFmtId="3" fontId="4" fillId="0" borderId="6" xfId="0" applyNumberFormat="1" applyFont="1" applyFill="1" applyBorder="1" applyAlignment="1">
      <alignment horizontal="right"/>
    </xf>
    <xf numFmtId="171" fontId="4" fillId="0" borderId="0" xfId="0" applyNumberFormat="1" applyFont="1" applyFill="1" applyBorder="1" applyAlignment="1">
      <alignment horizontal="right"/>
    </xf>
    <xf numFmtId="170" fontId="4" fillId="0" borderId="0" xfId="0" applyNumberFormat="1" applyFont="1" applyFill="1" applyBorder="1" applyAlignment="1">
      <alignment horizontal="right"/>
    </xf>
    <xf numFmtId="3" fontId="4" fillId="0" borderId="0" xfId="0" applyNumberFormat="1" applyFont="1" applyFill="1" applyBorder="1" applyAlignment="1">
      <alignment horizontal="left"/>
    </xf>
    <xf numFmtId="170" fontId="4" fillId="0" borderId="0" xfId="0" applyNumberFormat="1" applyFont="1" applyFill="1" applyBorder="1" applyAlignment="1"/>
    <xf numFmtId="0" fontId="4" fillId="0" borderId="0" xfId="0" applyNumberFormat="1" applyFont="1" applyAlignment="1">
      <alignment horizontal="center"/>
    </xf>
    <xf numFmtId="0" fontId="2" fillId="0" borderId="0" xfId="0" applyNumberFormat="1" applyFont="1" applyFill="1"/>
    <xf numFmtId="0" fontId="20" fillId="0" borderId="0" xfId="0" applyFont="1" applyFill="1"/>
    <xf numFmtId="0" fontId="4" fillId="6" borderId="11" xfId="0" applyNumberFormat="1" applyFont="1" applyFill="1" applyBorder="1" applyAlignment="1">
      <alignment horizontal="left"/>
    </xf>
    <xf numFmtId="0" fontId="4" fillId="6" borderId="0" xfId="0" applyNumberFormat="1" applyFont="1" applyFill="1" applyBorder="1" applyAlignment="1">
      <alignment horizontal="left"/>
    </xf>
    <xf numFmtId="0" fontId="4" fillId="6" borderId="0" xfId="0" applyNumberFormat="1" applyFont="1" applyFill="1" applyBorder="1" applyAlignment="1">
      <alignment horizontal="center"/>
    </xf>
    <xf numFmtId="0" fontId="4" fillId="6" borderId="4" xfId="0" applyFont="1" applyFill="1" applyBorder="1" applyAlignment="1">
      <alignment horizontal="left"/>
    </xf>
    <xf numFmtId="3" fontId="4" fillId="7" borderId="4" xfId="0" applyNumberFormat="1" applyFont="1" applyFill="1" applyBorder="1" applyAlignment="1">
      <alignment horizontal="center" vertical="top"/>
    </xf>
    <xf numFmtId="3" fontId="4" fillId="6" borderId="4" xfId="0" applyNumberFormat="1" applyFont="1" applyFill="1" applyBorder="1" applyAlignment="1">
      <alignment horizontal="center" vertical="top"/>
    </xf>
    <xf numFmtId="0" fontId="4" fillId="6" borderId="4" xfId="0" applyNumberFormat="1" applyFont="1" applyFill="1" applyBorder="1" applyAlignment="1">
      <alignment horizontal="center" vertical="top"/>
    </xf>
    <xf numFmtId="14" fontId="4" fillId="7" borderId="5" xfId="0" quotePrefix="1" applyNumberFormat="1" applyFont="1" applyFill="1" applyBorder="1" applyAlignment="1">
      <alignment horizontal="center" vertical="center"/>
    </xf>
    <xf numFmtId="171" fontId="4" fillId="6" borderId="5" xfId="0" applyNumberFormat="1" applyFont="1" applyFill="1" applyBorder="1" applyAlignment="1">
      <alignment horizontal="center" vertical="center" wrapText="1"/>
    </xf>
    <xf numFmtId="171" fontId="4" fillId="7" borderId="5" xfId="0" applyNumberFormat="1" applyFont="1" applyFill="1" applyBorder="1" applyAlignment="1">
      <alignment horizontal="center" vertical="center" wrapText="1"/>
    </xf>
    <xf numFmtId="171" fontId="4" fillId="6" borderId="5" xfId="0" applyNumberFormat="1" applyFont="1" applyFill="1" applyBorder="1" applyAlignment="1">
      <alignment vertical="center" wrapText="1"/>
    </xf>
    <xf numFmtId="1" fontId="4" fillId="6" borderId="5" xfId="0" applyNumberFormat="1" applyFont="1" applyFill="1" applyBorder="1" applyAlignment="1">
      <alignment horizontal="left" vertical="center" wrapText="1"/>
    </xf>
    <xf numFmtId="0" fontId="4" fillId="6" borderId="5" xfId="0" applyNumberFormat="1" applyFont="1" applyFill="1" applyBorder="1" applyAlignment="1">
      <alignment horizontal="center" vertical="center" wrapText="1"/>
    </xf>
    <xf numFmtId="1" fontId="4" fillId="6" borderId="5" xfId="0" applyNumberFormat="1" applyFont="1" applyFill="1" applyBorder="1" applyAlignment="1">
      <alignment vertical="center" wrapText="1"/>
    </xf>
    <xf numFmtId="171" fontId="4" fillId="6" borderId="5" xfId="0" applyNumberFormat="1" applyFont="1" applyFill="1" applyBorder="1" applyAlignment="1">
      <alignment horizontal="left" vertical="center" wrapText="1"/>
    </xf>
    <xf numFmtId="0" fontId="19" fillId="0" borderId="0" xfId="0" applyNumberFormat="1" applyFont="1" applyAlignment="1">
      <alignment horizontal="center"/>
    </xf>
    <xf numFmtId="14" fontId="4" fillId="7" borderId="5" xfId="0" applyNumberFormat="1" applyFont="1" applyFill="1" applyBorder="1" applyAlignment="1">
      <alignment horizontal="center" vertical="center"/>
    </xf>
    <xf numFmtId="0" fontId="19" fillId="6" borderId="7" xfId="0" applyNumberFormat="1" applyFont="1" applyFill="1" applyBorder="1" applyAlignment="1">
      <alignment horizontal="center" vertical="center"/>
    </xf>
    <xf numFmtId="0" fontId="19" fillId="6" borderId="7" xfId="0" applyNumberFormat="1" applyFont="1" applyFill="1" applyBorder="1" applyAlignment="1">
      <alignment horizontal="left" vertical="center"/>
    </xf>
    <xf numFmtId="0" fontId="19" fillId="7" borderId="7" xfId="0" applyNumberFormat="1" applyFont="1" applyFill="1" applyBorder="1" applyAlignment="1">
      <alignment horizontal="center" vertical="center"/>
    </xf>
    <xf numFmtId="0" fontId="19" fillId="7" borderId="7" xfId="0" quotePrefix="1" applyNumberFormat="1" applyFont="1" applyFill="1" applyBorder="1" applyAlignment="1">
      <alignment horizontal="center" vertical="center"/>
    </xf>
    <xf numFmtId="1" fontId="4" fillId="0" borderId="0" xfId="0" applyNumberFormat="1" applyFont="1" applyFill="1" applyAlignment="1">
      <alignment horizontal="left"/>
    </xf>
    <xf numFmtId="0" fontId="4" fillId="0" borderId="0" xfId="0" applyFont="1" applyFill="1" applyAlignment="1">
      <alignment horizontal="left"/>
    </xf>
    <xf numFmtId="0" fontId="20" fillId="0" borderId="0" xfId="0" applyFont="1" applyFill="1" applyAlignment="1">
      <alignment vertical="top"/>
    </xf>
    <xf numFmtId="3" fontId="2" fillId="0" borderId="3" xfId="0" applyNumberFormat="1" applyFont="1" applyBorder="1"/>
    <xf numFmtId="171" fontId="4" fillId="6" borderId="51" xfId="0" applyNumberFormat="1" applyFont="1" applyFill="1" applyBorder="1" applyAlignment="1">
      <alignment horizontal="right" vertical="center"/>
    </xf>
    <xf numFmtId="171" fontId="4" fillId="7" borderId="51" xfId="0" applyNumberFormat="1" applyFont="1" applyFill="1" applyBorder="1" applyAlignment="1">
      <alignment vertical="center"/>
    </xf>
    <xf numFmtId="1" fontId="4" fillId="15" borderId="51" xfId="0" applyNumberFormat="1" applyFont="1" applyFill="1" applyBorder="1" applyAlignment="1">
      <alignment horizontal="center" vertical="center"/>
    </xf>
    <xf numFmtId="3" fontId="4" fillId="15" borderId="51" xfId="0" applyNumberFormat="1" applyFont="1" applyFill="1" applyBorder="1" applyAlignment="1">
      <alignment horizontal="left" vertical="center"/>
    </xf>
    <xf numFmtId="3" fontId="4" fillId="7" borderId="46" xfId="0" applyNumberFormat="1" applyFont="1" applyFill="1" applyBorder="1" applyAlignment="1">
      <alignment horizontal="center" vertical="center"/>
    </xf>
    <xf numFmtId="171" fontId="4" fillId="6" borderId="46" xfId="0" applyNumberFormat="1" applyFont="1" applyFill="1" applyBorder="1" applyAlignment="1">
      <alignment horizontal="right" vertical="center"/>
    </xf>
    <xf numFmtId="171" fontId="4" fillId="7" borderId="46" xfId="0" applyNumberFormat="1" applyFont="1" applyFill="1" applyBorder="1" applyAlignment="1">
      <alignment vertical="center"/>
    </xf>
    <xf numFmtId="3" fontId="4" fillId="7" borderId="5" xfId="0" applyNumberFormat="1" applyFont="1" applyFill="1" applyBorder="1" applyAlignment="1">
      <alignment horizontal="center" vertical="center"/>
    </xf>
    <xf numFmtId="171" fontId="4" fillId="7" borderId="5" xfId="0" applyNumberFormat="1" applyFont="1" applyFill="1" applyBorder="1" applyAlignment="1">
      <alignment vertical="center"/>
    </xf>
    <xf numFmtId="1" fontId="4" fillId="15" borderId="11" xfId="0" applyNumberFormat="1" applyFont="1" applyFill="1" applyBorder="1" applyAlignment="1">
      <alignment horizontal="center" vertical="center"/>
    </xf>
    <xf numFmtId="3" fontId="4" fillId="15" borderId="11" xfId="0" applyNumberFormat="1" applyFont="1" applyFill="1" applyBorder="1" applyAlignment="1">
      <alignment horizontal="left" vertical="center"/>
    </xf>
    <xf numFmtId="3" fontId="4" fillId="7" borderId="0" xfId="0" applyNumberFormat="1" applyFont="1" applyFill="1" applyBorder="1" applyAlignment="1">
      <alignment horizontal="center" vertical="center"/>
    </xf>
    <xf numFmtId="171" fontId="4" fillId="7" borderId="0" xfId="0" applyNumberFormat="1" applyFont="1" applyFill="1" applyBorder="1" applyAlignment="1">
      <alignment vertical="center"/>
    </xf>
    <xf numFmtId="1" fontId="4" fillId="15" borderId="46" xfId="0" applyNumberFormat="1" applyFont="1" applyFill="1" applyBorder="1" applyAlignment="1">
      <alignment horizontal="center" vertical="center"/>
    </xf>
    <xf numFmtId="3" fontId="4" fillId="15" borderId="46" xfId="0" applyNumberFormat="1" applyFont="1" applyFill="1" applyBorder="1" applyAlignment="1">
      <alignment horizontal="left" vertical="center"/>
    </xf>
    <xf numFmtId="3" fontId="4" fillId="7" borderId="48" xfId="0" applyNumberFormat="1" applyFont="1" applyFill="1" applyBorder="1" applyAlignment="1">
      <alignment horizontal="center" vertical="center"/>
    </xf>
    <xf numFmtId="171" fontId="4" fillId="6" borderId="48" xfId="0" applyNumberFormat="1" applyFont="1" applyFill="1" applyBorder="1" applyAlignment="1">
      <alignment horizontal="right" vertical="center"/>
    </xf>
    <xf numFmtId="171" fontId="4" fillId="7" borderId="48" xfId="0" applyNumberFormat="1" applyFont="1" applyFill="1" applyBorder="1" applyAlignment="1">
      <alignment vertical="center"/>
    </xf>
    <xf numFmtId="1" fontId="4" fillId="15" borderId="52" xfId="0" applyNumberFormat="1" applyFont="1" applyFill="1" applyBorder="1" applyAlignment="1">
      <alignment horizontal="center" vertical="center"/>
    </xf>
    <xf numFmtId="3" fontId="4" fillId="15" borderId="52" xfId="0" applyNumberFormat="1" applyFont="1" applyFill="1" applyBorder="1" applyAlignment="1">
      <alignment horizontal="left" vertical="center"/>
    </xf>
    <xf numFmtId="3" fontId="19" fillId="7" borderId="7" xfId="0" applyNumberFormat="1" applyFont="1" applyFill="1" applyBorder="1" applyAlignment="1">
      <alignment horizontal="center" vertical="center"/>
    </xf>
    <xf numFmtId="171" fontId="19" fillId="7" borderId="7" xfId="0" applyNumberFormat="1" applyFont="1" applyFill="1" applyBorder="1" applyAlignment="1">
      <alignment vertical="center"/>
    </xf>
    <xf numFmtId="0" fontId="67" fillId="0" borderId="0" xfId="0" applyFont="1" applyAlignment="1">
      <alignment horizontal="left"/>
    </xf>
    <xf numFmtId="0" fontId="0" fillId="0" borderId="0" xfId="0" applyAlignment="1">
      <alignment vertical="top"/>
    </xf>
    <xf numFmtId="0" fontId="31" fillId="0" borderId="0" xfId="0" applyFont="1" applyAlignment="1">
      <alignment vertical="top"/>
    </xf>
    <xf numFmtId="0" fontId="68" fillId="0" borderId="0" xfId="0" applyFont="1" applyAlignment="1"/>
    <xf numFmtId="0" fontId="39" fillId="0" borderId="0" xfId="0" applyFont="1" applyAlignment="1"/>
    <xf numFmtId="0" fontId="69" fillId="0" borderId="0" xfId="0" applyFont="1" applyFill="1" applyAlignment="1">
      <alignment horizontal="left"/>
    </xf>
    <xf numFmtId="0" fontId="69" fillId="0" borderId="0" xfId="0" applyFont="1" applyAlignment="1"/>
    <xf numFmtId="0" fontId="4" fillId="0" borderId="18" xfId="0" applyFont="1" applyBorder="1" applyAlignment="1">
      <alignment horizontal="center" vertical="top" wrapText="1"/>
    </xf>
    <xf numFmtId="0" fontId="69" fillId="0" borderId="19" xfId="0" applyFont="1" applyBorder="1" applyAlignment="1">
      <alignment horizontal="justify" vertical="top" wrapText="1"/>
    </xf>
    <xf numFmtId="0" fontId="69" fillId="0" borderId="18" xfId="0" applyFont="1" applyBorder="1" applyAlignment="1">
      <alignment horizontal="justify" vertical="top" wrapText="1"/>
    </xf>
    <xf numFmtId="0" fontId="70" fillId="0" borderId="20" xfId="0" applyFont="1" applyBorder="1" applyAlignment="1">
      <alignment horizontal="center" vertical="top" wrapText="1"/>
    </xf>
    <xf numFmtId="9" fontId="70" fillId="0" borderId="21" xfId="0" applyNumberFormat="1" applyFont="1" applyBorder="1" applyAlignment="1">
      <alignment horizontal="justify" vertical="top" wrapText="1"/>
    </xf>
    <xf numFmtId="0" fontId="4" fillId="0" borderId="18" xfId="0" applyFont="1" applyBorder="1" applyAlignment="1">
      <alignment horizontal="right" vertical="top" wrapText="1"/>
    </xf>
    <xf numFmtId="0" fontId="33" fillId="0" borderId="18" xfId="0" applyFont="1" applyBorder="1" applyAlignment="1">
      <alignment horizontal="center" vertical="top" wrapText="1"/>
    </xf>
    <xf numFmtId="0" fontId="33" fillId="0" borderId="18" xfId="0" applyFont="1" applyBorder="1" applyAlignment="1">
      <alignment horizontal="right" vertical="top" wrapText="1"/>
    </xf>
    <xf numFmtId="9" fontId="33" fillId="0" borderId="18" xfId="0" applyNumberFormat="1" applyFont="1" applyBorder="1" applyAlignment="1">
      <alignment horizontal="right" vertical="top" wrapText="1"/>
    </xf>
    <xf numFmtId="0" fontId="33" fillId="0" borderId="18" xfId="0" applyFont="1" applyFill="1" applyBorder="1" applyAlignment="1">
      <alignment horizontal="center" vertical="top" wrapText="1"/>
    </xf>
    <xf numFmtId="0" fontId="33" fillId="0" borderId="18" xfId="0" applyFont="1" applyFill="1" applyBorder="1" applyAlignment="1">
      <alignment horizontal="right" vertical="top" wrapText="1"/>
    </xf>
    <xf numFmtId="9" fontId="33" fillId="0" borderId="18" xfId="0" applyNumberFormat="1" applyFont="1" applyFill="1" applyBorder="1" applyAlignment="1">
      <alignment horizontal="right" vertical="top" wrapText="1"/>
    </xf>
    <xf numFmtId="0" fontId="69" fillId="0" borderId="0" xfId="0" applyFont="1"/>
    <xf numFmtId="0" fontId="19" fillId="0" borderId="18" xfId="0" applyFont="1" applyFill="1" applyBorder="1" applyAlignment="1">
      <alignment horizontal="center" vertical="top" wrapText="1"/>
    </xf>
    <xf numFmtId="0" fontId="32" fillId="0" borderId="0" xfId="0" applyFont="1"/>
    <xf numFmtId="0" fontId="19" fillId="0" borderId="0" xfId="0" applyFont="1" applyFill="1" applyBorder="1" applyAlignment="1">
      <alignment horizontal="center" vertical="top" wrapText="1"/>
    </xf>
    <xf numFmtId="0" fontId="69" fillId="0" borderId="0" xfId="0" applyNumberFormat="1" applyFont="1" applyAlignment="1"/>
    <xf numFmtId="0" fontId="70" fillId="0" borderId="0" xfId="0" applyFont="1"/>
    <xf numFmtId="1" fontId="71" fillId="0" borderId="0" xfId="0" applyNumberFormat="1" applyFont="1" applyFill="1" applyBorder="1" applyAlignment="1"/>
    <xf numFmtId="0" fontId="19" fillId="0" borderId="0" xfId="0" applyFont="1" applyFill="1" applyBorder="1" applyAlignment="1">
      <alignment horizontal="center"/>
    </xf>
    <xf numFmtId="0" fontId="18" fillId="0" borderId="0" xfId="0" applyFont="1" applyFill="1" applyBorder="1"/>
    <xf numFmtId="0" fontId="19" fillId="0" borderId="0" xfId="0" quotePrefix="1" applyFont="1" applyFill="1" applyBorder="1" applyAlignment="1">
      <alignment horizontal="center"/>
    </xf>
    <xf numFmtId="0" fontId="18" fillId="0" borderId="0" xfId="0" quotePrefix="1" applyFont="1" applyFill="1" applyBorder="1"/>
    <xf numFmtId="16" fontId="19" fillId="0" borderId="0" xfId="0" quotePrefix="1" applyNumberFormat="1" applyFont="1" applyFill="1" applyBorder="1" applyAlignment="1">
      <alignment horizontal="center"/>
    </xf>
    <xf numFmtId="0" fontId="19" fillId="0" borderId="0" xfId="0" applyFont="1" applyBorder="1" applyAlignment="1">
      <alignment horizontal="center"/>
    </xf>
    <xf numFmtId="18" fontId="19" fillId="0" borderId="0" xfId="0" quotePrefix="1" applyNumberFormat="1" applyFont="1" applyFill="1" applyBorder="1" applyAlignment="1">
      <alignment horizontal="center"/>
    </xf>
    <xf numFmtId="0" fontId="18" fillId="0" borderId="0" xfId="0" applyFont="1" applyBorder="1"/>
    <xf numFmtId="1" fontId="4" fillId="0" borderId="0" xfId="0" applyNumberFormat="1" applyFont="1" applyBorder="1" applyAlignment="1">
      <alignment horizontal="left"/>
    </xf>
    <xf numFmtId="0" fontId="4" fillId="0" borderId="0" xfId="0" applyFont="1" applyBorder="1" applyAlignment="1">
      <alignment horizontal="left"/>
    </xf>
    <xf numFmtId="0" fontId="4" fillId="13" borderId="11" xfId="0" applyFont="1" applyFill="1" applyBorder="1" applyAlignment="1">
      <alignment horizontal="left"/>
    </xf>
    <xf numFmtId="0" fontId="4" fillId="15" borderId="11" xfId="0" applyFont="1" applyFill="1" applyBorder="1" applyAlignment="1">
      <alignment horizontal="center"/>
    </xf>
    <xf numFmtId="0" fontId="4" fillId="13" borderId="11" xfId="0" applyFont="1" applyFill="1" applyBorder="1" applyAlignment="1">
      <alignment horizontal="center"/>
    </xf>
    <xf numFmtId="3" fontId="4" fillId="13" borderId="11" xfId="0" applyNumberFormat="1" applyFont="1" applyFill="1" applyBorder="1" applyAlignment="1">
      <alignment horizontal="center"/>
    </xf>
    <xf numFmtId="3" fontId="4" fillId="15" borderId="11" xfId="0" applyNumberFormat="1" applyFont="1" applyFill="1" applyBorder="1" applyAlignment="1">
      <alignment horizontal="center"/>
    </xf>
    <xf numFmtId="0" fontId="4" fillId="13" borderId="0" xfId="0" applyFont="1" applyFill="1" applyBorder="1" applyAlignment="1">
      <alignment horizontal="center"/>
    </xf>
    <xf numFmtId="0" fontId="4" fillId="13" borderId="0" xfId="0" applyFont="1" applyFill="1" applyAlignment="1">
      <alignment horizontal="center"/>
    </xf>
    <xf numFmtId="0" fontId="4" fillId="13" borderId="0" xfId="0" applyFont="1" applyFill="1" applyBorder="1" applyAlignment="1">
      <alignment horizontal="left"/>
    </xf>
    <xf numFmtId="0" fontId="4" fillId="15" borderId="0" xfId="0" applyFont="1" applyFill="1" applyBorder="1" applyAlignment="1">
      <alignment horizontal="center"/>
    </xf>
    <xf numFmtId="3" fontId="4" fillId="13" borderId="0" xfId="0" applyNumberFormat="1" applyFont="1" applyFill="1" applyBorder="1" applyAlignment="1">
      <alignment horizontal="center"/>
    </xf>
    <xf numFmtId="3" fontId="4" fillId="15" borderId="0" xfId="0" applyNumberFormat="1" applyFont="1" applyFill="1" applyBorder="1" applyAlignment="1">
      <alignment horizontal="center"/>
    </xf>
    <xf numFmtId="0" fontId="4" fillId="15" borderId="0" xfId="0" quotePrefix="1" applyFont="1" applyFill="1" applyAlignment="1">
      <alignment horizontal="center"/>
    </xf>
    <xf numFmtId="0" fontId="18" fillId="15" borderId="0" xfId="0" applyFont="1" applyFill="1" applyBorder="1" applyAlignment="1">
      <alignment horizontal="center"/>
    </xf>
    <xf numFmtId="0" fontId="4" fillId="15" borderId="0" xfId="0" applyFont="1" applyFill="1" applyBorder="1" applyAlignment="1">
      <alignment horizontal="right"/>
    </xf>
    <xf numFmtId="0" fontId="4" fillId="13" borderId="4" xfId="0" applyFont="1" applyFill="1" applyBorder="1" applyAlignment="1">
      <alignment horizontal="center" vertical="center"/>
    </xf>
    <xf numFmtId="0" fontId="4" fillId="15" borderId="4" xfId="0" applyFont="1" applyFill="1" applyBorder="1" applyAlignment="1">
      <alignment horizontal="center" vertical="center"/>
    </xf>
    <xf numFmtId="3" fontId="4" fillId="13" borderId="4" xfId="0" applyNumberFormat="1" applyFont="1" applyFill="1" applyBorder="1" applyAlignment="1">
      <alignment horizontal="center" vertical="center"/>
    </xf>
    <xf numFmtId="3" fontId="4" fillId="15" borderId="4" xfId="0" applyNumberFormat="1" applyFont="1" applyFill="1" applyBorder="1" applyAlignment="1">
      <alignment horizontal="center" vertical="center"/>
    </xf>
    <xf numFmtId="1" fontId="4" fillId="13" borderId="5" xfId="0" applyNumberFormat="1" applyFont="1" applyFill="1" applyBorder="1" applyAlignment="1">
      <alignment horizontal="center" vertical="center"/>
    </xf>
    <xf numFmtId="1" fontId="4" fillId="13" borderId="5" xfId="0" applyNumberFormat="1" applyFont="1" applyFill="1" applyBorder="1" applyAlignment="1">
      <alignment horizontal="left" vertical="center"/>
    </xf>
    <xf numFmtId="3" fontId="4" fillId="15" borderId="5" xfId="0" applyNumberFormat="1" applyFont="1" applyFill="1" applyBorder="1" applyAlignment="1">
      <alignment vertical="center"/>
    </xf>
    <xf numFmtId="3" fontId="4" fillId="13" borderId="5" xfId="0" applyNumberFormat="1" applyFont="1" applyFill="1" applyBorder="1" applyAlignment="1">
      <alignment horizontal="right" vertical="center"/>
    </xf>
    <xf numFmtId="3" fontId="4" fillId="15" borderId="5" xfId="0" applyNumberFormat="1" applyFont="1" applyFill="1" applyBorder="1" applyAlignment="1">
      <alignment horizontal="right" vertical="center"/>
    </xf>
    <xf numFmtId="170" fontId="4" fillId="15" borderId="5" xfId="0" applyNumberFormat="1" applyFont="1" applyFill="1" applyBorder="1" applyAlignment="1">
      <alignment horizontal="right" vertical="center"/>
    </xf>
    <xf numFmtId="170" fontId="4" fillId="13" borderId="5" xfId="0" applyNumberFormat="1" applyFont="1" applyFill="1" applyBorder="1" applyAlignment="1">
      <alignment horizontal="right" vertical="center"/>
    </xf>
    <xf numFmtId="171" fontId="4" fillId="15" borderId="5" xfId="0" applyNumberFormat="1" applyFont="1" applyFill="1" applyBorder="1" applyAlignment="1">
      <alignment horizontal="right" vertical="center"/>
    </xf>
    <xf numFmtId="171" fontId="4" fillId="13" borderId="5" xfId="0" applyNumberFormat="1" applyFont="1" applyFill="1" applyBorder="1" applyAlignment="1">
      <alignment horizontal="right" vertical="center"/>
    </xf>
    <xf numFmtId="171" fontId="4" fillId="15" borderId="6" xfId="0" applyNumberFormat="1" applyFont="1" applyFill="1" applyBorder="1" applyAlignment="1">
      <alignment horizontal="right" vertical="center"/>
    </xf>
    <xf numFmtId="171" fontId="4" fillId="13" borderId="6" xfId="0" applyNumberFormat="1" applyFont="1" applyFill="1" applyBorder="1" applyAlignment="1">
      <alignment horizontal="right" vertical="center"/>
    </xf>
    <xf numFmtId="3" fontId="4" fillId="13" borderId="6" xfId="0" applyNumberFormat="1" applyFont="1" applyFill="1" applyBorder="1" applyAlignment="1">
      <alignment horizontal="right" vertical="center"/>
    </xf>
    <xf numFmtId="170" fontId="4" fillId="15" borderId="6" xfId="0" applyNumberFormat="1" applyFont="1" applyFill="1" applyBorder="1" applyAlignment="1">
      <alignment horizontal="right" vertical="center"/>
    </xf>
    <xf numFmtId="171" fontId="4" fillId="15" borderId="13" xfId="0" applyNumberFormat="1" applyFont="1" applyFill="1" applyBorder="1" applyAlignment="1">
      <alignment horizontal="right" vertical="center"/>
    </xf>
    <xf numFmtId="171" fontId="4" fillId="13" borderId="13" xfId="0" applyNumberFormat="1" applyFont="1" applyFill="1" applyBorder="1" applyAlignment="1">
      <alignment horizontal="right" vertical="center"/>
    </xf>
    <xf numFmtId="3" fontId="4" fillId="13" borderId="13" xfId="0" applyNumberFormat="1" applyFont="1" applyFill="1" applyBorder="1" applyAlignment="1">
      <alignment horizontal="right" vertical="center"/>
    </xf>
    <xf numFmtId="170" fontId="4" fillId="15" borderId="13" xfId="0" applyNumberFormat="1" applyFont="1" applyFill="1" applyBorder="1" applyAlignment="1">
      <alignment horizontal="right" vertical="center"/>
    </xf>
    <xf numFmtId="1" fontId="16" fillId="13" borderId="7" xfId="0" applyNumberFormat="1" applyFont="1" applyFill="1" applyBorder="1" applyAlignment="1">
      <alignment horizontal="left" vertical="center"/>
    </xf>
    <xf numFmtId="1" fontId="19" fillId="13" borderId="7" xfId="0" applyNumberFormat="1" applyFont="1" applyFill="1" applyBorder="1" applyAlignment="1">
      <alignment horizontal="left" vertical="center"/>
    </xf>
    <xf numFmtId="3" fontId="19" fillId="15" borderId="7" xfId="0" applyNumberFormat="1" applyFont="1" applyFill="1" applyBorder="1" applyAlignment="1">
      <alignment vertical="center"/>
    </xf>
    <xf numFmtId="3" fontId="19" fillId="13" borderId="7" xfId="0" applyNumberFormat="1" applyFont="1" applyFill="1" applyBorder="1" applyAlignment="1">
      <alignment horizontal="right" vertical="center"/>
    </xf>
    <xf numFmtId="3" fontId="19" fillId="15" borderId="7" xfId="0" applyNumberFormat="1" applyFont="1" applyFill="1" applyBorder="1" applyAlignment="1">
      <alignment horizontal="right" vertical="center"/>
    </xf>
    <xf numFmtId="3" fontId="19" fillId="13" borderId="7" xfId="0" quotePrefix="1" applyNumberFormat="1" applyFont="1" applyFill="1" applyBorder="1" applyAlignment="1">
      <alignment horizontal="right" vertical="center"/>
    </xf>
    <xf numFmtId="170" fontId="19" fillId="15" borderId="7" xfId="0" applyNumberFormat="1" applyFont="1" applyFill="1" applyBorder="1" applyAlignment="1">
      <alignment horizontal="right" vertical="center"/>
    </xf>
    <xf numFmtId="170" fontId="19" fillId="13" borderId="7" xfId="0" applyNumberFormat="1" applyFont="1" applyFill="1" applyBorder="1" applyAlignment="1">
      <alignment horizontal="right" vertical="center"/>
    </xf>
    <xf numFmtId="171" fontId="19" fillId="15" borderId="7" xfId="0" applyNumberFormat="1" applyFont="1" applyFill="1" applyBorder="1" applyAlignment="1">
      <alignment horizontal="right" vertical="center"/>
    </xf>
    <xf numFmtId="171" fontId="19" fillId="13" borderId="7" xfId="0" applyNumberFormat="1" applyFont="1" applyFill="1" applyBorder="1" applyAlignment="1">
      <alignment horizontal="right" vertical="center"/>
    </xf>
    <xf numFmtId="3" fontId="4" fillId="0" borderId="6" xfId="0" applyNumberFormat="1" applyFont="1" applyFill="1" applyBorder="1" applyAlignment="1"/>
    <xf numFmtId="0" fontId="72" fillId="0" borderId="0" xfId="10"/>
    <xf numFmtId="0" fontId="45" fillId="0" borderId="0" xfId="10" applyFont="1"/>
    <xf numFmtId="0" fontId="4" fillId="0" borderId="0" xfId="10" applyFont="1"/>
    <xf numFmtId="0" fontId="18" fillId="0" borderId="0" xfId="10" applyFont="1" applyAlignment="1">
      <alignment horizontal="center"/>
    </xf>
    <xf numFmtId="0" fontId="30" fillId="0" borderId="0" xfId="10" applyFont="1" applyAlignment="1">
      <alignment horizontal="center"/>
    </xf>
    <xf numFmtId="0" fontId="72" fillId="0" borderId="4" xfId="10" applyBorder="1"/>
    <xf numFmtId="0" fontId="30" fillId="0" borderId="4" xfId="10" applyFont="1" applyBorder="1"/>
    <xf numFmtId="0" fontId="73" fillId="0" borderId="4" xfId="10" applyFont="1" applyBorder="1"/>
    <xf numFmtId="0" fontId="74" fillId="0" borderId="4" xfId="10" applyFont="1" applyBorder="1" applyAlignment="1">
      <alignment horizontal="center"/>
    </xf>
    <xf numFmtId="0" fontId="30" fillId="0" borderId="4" xfId="10" applyFont="1" applyBorder="1" applyAlignment="1">
      <alignment horizontal="center"/>
    </xf>
    <xf numFmtId="0" fontId="72" fillId="13" borderId="22" xfId="10" applyFill="1" applyBorder="1"/>
    <xf numFmtId="0" fontId="30" fillId="13" borderId="22" xfId="10" applyFont="1" applyFill="1" applyBorder="1"/>
    <xf numFmtId="0" fontId="72" fillId="15" borderId="22" xfId="10" applyFont="1" applyFill="1" applyBorder="1" applyAlignment="1">
      <alignment vertical="center"/>
    </xf>
    <xf numFmtId="0" fontId="72" fillId="13" borderId="22" xfId="10" applyFont="1" applyFill="1" applyBorder="1" applyAlignment="1">
      <alignment vertical="center"/>
    </xf>
    <xf numFmtId="0" fontId="4" fillId="15" borderId="22" xfId="10" applyFont="1" applyFill="1" applyBorder="1" applyAlignment="1">
      <alignment vertical="center"/>
    </xf>
    <xf numFmtId="0" fontId="4" fillId="13" borderId="22" xfId="10" applyFont="1" applyFill="1" applyBorder="1" applyAlignment="1">
      <alignment vertical="center"/>
    </xf>
    <xf numFmtId="0" fontId="4" fillId="15" borderId="22" xfId="10" applyFont="1" applyFill="1" applyBorder="1" applyAlignment="1">
      <alignment horizontal="right" vertical="center"/>
    </xf>
    <xf numFmtId="0" fontId="4" fillId="13" borderId="22" xfId="10" applyFont="1" applyFill="1" applyBorder="1" applyAlignment="1">
      <alignment horizontal="right" vertical="center"/>
    </xf>
    <xf numFmtId="0" fontId="19" fillId="13" borderId="0" xfId="10" applyFont="1" applyFill="1"/>
    <xf numFmtId="0" fontId="45" fillId="13" borderId="0" xfId="10" applyFont="1" applyFill="1"/>
    <xf numFmtId="3" fontId="18" fillId="15" borderId="0" xfId="10" applyNumberFormat="1" applyFont="1" applyFill="1" applyAlignment="1">
      <alignment horizontal="right"/>
    </xf>
    <xf numFmtId="3" fontId="18" fillId="13" borderId="0" xfId="10" applyNumberFormat="1" applyFont="1" applyFill="1"/>
    <xf numFmtId="3" fontId="18" fillId="15" borderId="0" xfId="10" applyNumberFormat="1" applyFont="1" applyFill="1"/>
    <xf numFmtId="3" fontId="18" fillId="13" borderId="0" xfId="10" applyNumberFormat="1" applyFont="1" applyFill="1" applyAlignment="1">
      <alignment horizontal="right"/>
    </xf>
    <xf numFmtId="0" fontId="72" fillId="13" borderId="46" xfId="10" applyFill="1" applyBorder="1"/>
    <xf numFmtId="0" fontId="57" fillId="13" borderId="46" xfId="10" applyFont="1" applyFill="1" applyBorder="1"/>
    <xf numFmtId="3" fontId="52" fillId="15" borderId="46" xfId="10" applyNumberFormat="1" applyFont="1" applyFill="1" applyBorder="1" applyAlignment="1">
      <alignment horizontal="right"/>
    </xf>
    <xf numFmtId="3" fontId="52" fillId="13" borderId="46" xfId="10" applyNumberFormat="1" applyFont="1" applyFill="1" applyBorder="1"/>
    <xf numFmtId="3" fontId="52" fillId="15" borderId="46" xfId="10" applyNumberFormat="1" applyFont="1" applyFill="1" applyBorder="1"/>
    <xf numFmtId="3" fontId="52" fillId="13" borderId="46" xfId="10" applyNumberFormat="1" applyFont="1" applyFill="1" applyBorder="1" applyAlignment="1">
      <alignment horizontal="right"/>
    </xf>
    <xf numFmtId="10" fontId="52" fillId="15" borderId="46" xfId="10" applyNumberFormat="1" applyFont="1" applyFill="1" applyBorder="1" applyAlignment="1">
      <alignment horizontal="right"/>
    </xf>
    <xf numFmtId="10" fontId="52" fillId="13" borderId="46" xfId="10" applyNumberFormat="1" applyFont="1" applyFill="1" applyBorder="1"/>
    <xf numFmtId="10" fontId="52" fillId="15" borderId="46" xfId="10" applyNumberFormat="1" applyFont="1" applyFill="1" applyBorder="1"/>
    <xf numFmtId="0" fontId="72" fillId="15" borderId="46" xfId="10" applyFill="1" applyBorder="1" applyAlignment="1">
      <alignment horizontal="right"/>
    </xf>
    <xf numFmtId="0" fontId="30" fillId="13" borderId="46" xfId="10" applyFont="1" applyFill="1" applyBorder="1"/>
    <xf numFmtId="3" fontId="18" fillId="15" borderId="46" xfId="10" applyNumberFormat="1" applyFont="1" applyFill="1" applyBorder="1" applyAlignment="1">
      <alignment horizontal="right"/>
    </xf>
    <xf numFmtId="3" fontId="18" fillId="13" borderId="46" xfId="10" applyNumberFormat="1" applyFont="1" applyFill="1" applyBorder="1"/>
    <xf numFmtId="3" fontId="18" fillId="15" borderId="46" xfId="10" applyNumberFormat="1" applyFont="1" applyFill="1" applyBorder="1"/>
    <xf numFmtId="0" fontId="19" fillId="13" borderId="46" xfId="10" applyFont="1" applyFill="1" applyBorder="1"/>
    <xf numFmtId="0" fontId="45" fillId="13" borderId="46" xfId="10" applyFont="1" applyFill="1" applyBorder="1"/>
    <xf numFmtId="3" fontId="18" fillId="13" borderId="46" xfId="10" applyNumberFormat="1" applyFont="1" applyFill="1" applyBorder="1" applyAlignment="1">
      <alignment horizontal="right"/>
    </xf>
    <xf numFmtId="10" fontId="18" fillId="13" borderId="46" xfId="10" applyNumberFormat="1" applyFont="1" applyFill="1" applyBorder="1"/>
    <xf numFmtId="0" fontId="72" fillId="15" borderId="46" xfId="10" applyFill="1" applyBorder="1"/>
    <xf numFmtId="0" fontId="72" fillId="13" borderId="53" xfId="10" applyFill="1" applyBorder="1"/>
    <xf numFmtId="0" fontId="57" fillId="13" borderId="53" xfId="10" applyFont="1" applyFill="1" applyBorder="1"/>
    <xf numFmtId="10" fontId="52" fillId="15" borderId="53" xfId="10" applyNumberFormat="1" applyFont="1" applyFill="1" applyBorder="1" applyAlignment="1">
      <alignment horizontal="right"/>
    </xf>
    <xf numFmtId="10" fontId="52" fillId="13" borderId="53" xfId="10" applyNumberFormat="1" applyFont="1" applyFill="1" applyBorder="1"/>
    <xf numFmtId="10" fontId="52" fillId="15" borderId="53" xfId="10" applyNumberFormat="1" applyFont="1" applyFill="1" applyBorder="1"/>
    <xf numFmtId="0" fontId="72" fillId="13" borderId="3" xfId="10" applyFill="1" applyBorder="1"/>
    <xf numFmtId="0" fontId="57" fillId="13" borderId="3" xfId="10" applyFont="1" applyFill="1" applyBorder="1"/>
    <xf numFmtId="3" fontId="52" fillId="15" borderId="3" xfId="10" applyNumberFormat="1" applyFont="1" applyFill="1" applyBorder="1" applyAlignment="1">
      <alignment horizontal="right"/>
    </xf>
    <xf numFmtId="3" fontId="52" fillId="13" borderId="3" xfId="10" applyNumberFormat="1" applyFont="1" applyFill="1" applyBorder="1"/>
    <xf numFmtId="3" fontId="52" fillId="15" borderId="3" xfId="10" applyNumberFormat="1" applyFont="1" applyFill="1" applyBorder="1"/>
    <xf numFmtId="3" fontId="52" fillId="13" borderId="3" xfId="10" applyNumberFormat="1" applyFont="1" applyFill="1" applyBorder="1" applyAlignment="1">
      <alignment horizontal="right"/>
    </xf>
    <xf numFmtId="0" fontId="19" fillId="0" borderId="0" xfId="10" applyFont="1"/>
    <xf numFmtId="0" fontId="30" fillId="0" borderId="0" xfId="10" quotePrefix="1" applyFont="1"/>
    <xf numFmtId="0" fontId="30" fillId="0" borderId="0" xfId="10" applyFont="1"/>
    <xf numFmtId="0" fontId="72" fillId="0" borderId="0" xfId="10" applyFont="1"/>
    <xf numFmtId="0" fontId="75" fillId="0" borderId="0" xfId="10" applyFont="1" applyAlignment="1">
      <alignment horizontal="center"/>
    </xf>
    <xf numFmtId="0" fontId="30" fillId="0" borderId="0" xfId="10" applyFont="1" applyAlignment="1">
      <alignment vertical="center"/>
    </xf>
    <xf numFmtId="0" fontId="42" fillId="0" borderId="23" xfId="10" applyFont="1" applyBorder="1"/>
    <xf numFmtId="0" fontId="72" fillId="0" borderId="17" xfId="10" applyFont="1" applyBorder="1"/>
    <xf numFmtId="0" fontId="4" fillId="0" borderId="11" xfId="10" applyFont="1" applyBorder="1"/>
    <xf numFmtId="0" fontId="72" fillId="0" borderId="11" xfId="10" applyBorder="1"/>
    <xf numFmtId="0" fontId="72" fillId="0" borderId="2" xfId="10" applyBorder="1"/>
    <xf numFmtId="0" fontId="72" fillId="0" borderId="0" xfId="10" applyBorder="1"/>
    <xf numFmtId="0" fontId="4" fillId="0" borderId="18" xfId="10" applyFont="1" applyBorder="1" applyAlignment="1">
      <alignment horizontal="center"/>
    </xf>
    <xf numFmtId="0" fontId="42" fillId="0" borderId="2" xfId="10" applyFont="1" applyBorder="1"/>
    <xf numFmtId="0" fontId="72" fillId="0" borderId="0" xfId="10" applyFont="1" applyBorder="1" applyAlignment="1">
      <alignment horizontal="center"/>
    </xf>
    <xf numFmtId="0" fontId="4" fillId="0" borderId="0" xfId="10" applyFont="1" applyBorder="1"/>
    <xf numFmtId="0" fontId="43" fillId="0" borderId="24" xfId="10" applyFont="1" applyBorder="1"/>
    <xf numFmtId="0" fontId="19" fillId="0" borderId="4" xfId="10" applyFont="1" applyBorder="1"/>
    <xf numFmtId="0" fontId="19" fillId="0" borderId="18" xfId="10" applyFont="1" applyBorder="1" applyAlignment="1">
      <alignment horizontal="center"/>
    </xf>
    <xf numFmtId="0" fontId="30" fillId="0" borderId="6" xfId="10" quotePrefix="1" applyFont="1" applyFill="1" applyBorder="1" applyAlignment="1"/>
    <xf numFmtId="0" fontId="4" fillId="0" borderId="0" xfId="0" applyFont="1" applyFill="1" applyBorder="1" applyAlignment="1">
      <alignment vertical="top"/>
    </xf>
    <xf numFmtId="0" fontId="7" fillId="6" borderId="0" xfId="0" applyFont="1" applyFill="1" applyBorder="1" applyAlignment="1">
      <alignment horizontal="right" vertical="center" wrapText="1"/>
    </xf>
    <xf numFmtId="0" fontId="20" fillId="0" borderId="0" xfId="10" applyFont="1"/>
    <xf numFmtId="0" fontId="4" fillId="0" borderId="0" xfId="10" applyFont="1" applyAlignment="1"/>
    <xf numFmtId="0" fontId="72" fillId="0" borderId="0" xfId="10" applyAlignment="1"/>
    <xf numFmtId="2" fontId="4" fillId="0" borderId="0" xfId="10" applyNumberFormat="1" applyFont="1"/>
    <xf numFmtId="0" fontId="52" fillId="0" borderId="0" xfId="10" applyFont="1"/>
    <xf numFmtId="3" fontId="7" fillId="6" borderId="0" xfId="0" applyNumberFormat="1" applyFont="1" applyFill="1" applyBorder="1" applyAlignment="1">
      <alignment horizontal="right" vertical="top"/>
    </xf>
    <xf numFmtId="171" fontId="7" fillId="7" borderId="12" xfId="0" applyNumberFormat="1" applyFont="1" applyFill="1" applyBorder="1" applyAlignment="1">
      <alignment horizontal="right"/>
    </xf>
    <xf numFmtId="0" fontId="125" fillId="0" borderId="0" xfId="0" applyFont="1"/>
    <xf numFmtId="3" fontId="8" fillId="7" borderId="5" xfId="0" applyNumberFormat="1" applyFont="1" applyFill="1" applyBorder="1" applyAlignment="1">
      <alignment horizontal="right" vertical="center"/>
    </xf>
    <xf numFmtId="2" fontId="4" fillId="0" borderId="8" xfId="0" applyNumberFormat="1" applyFont="1" applyBorder="1"/>
    <xf numFmtId="2" fontId="4" fillId="0" borderId="0" xfId="0" applyNumberFormat="1" applyFont="1" applyBorder="1"/>
    <xf numFmtId="172" fontId="4" fillId="0" borderId="0" xfId="0" applyNumberFormat="1" applyFont="1"/>
    <xf numFmtId="0" fontId="76" fillId="0" borderId="0" xfId="0" applyFont="1"/>
    <xf numFmtId="0" fontId="2" fillId="0" borderId="0" xfId="0" applyFont="1" applyAlignment="1"/>
    <xf numFmtId="0" fontId="4" fillId="0" borderId="0" xfId="0" applyFont="1" applyBorder="1" applyAlignment="1">
      <alignment vertical="top"/>
    </xf>
    <xf numFmtId="0" fontId="2" fillId="0" borderId="0" xfId="0" applyFont="1" applyFill="1" applyBorder="1"/>
    <xf numFmtId="0" fontId="20" fillId="0" borderId="0" xfId="0" applyFont="1" applyFill="1" applyBorder="1" applyAlignment="1">
      <alignment horizontal="right" vertical="top"/>
    </xf>
    <xf numFmtId="0" fontId="20" fillId="11" borderId="0" xfId="0" applyFont="1" applyFill="1" applyBorder="1" applyAlignment="1">
      <alignment horizontal="right" vertical="top"/>
    </xf>
    <xf numFmtId="0" fontId="7" fillId="6" borderId="11" xfId="0" applyFont="1" applyFill="1" applyBorder="1" applyAlignment="1">
      <alignment horizontal="left" vertical="center"/>
    </xf>
    <xf numFmtId="3" fontId="7" fillId="6" borderId="11" xfId="0" applyNumberFormat="1" applyFont="1" applyFill="1" applyBorder="1" applyAlignment="1">
      <alignment horizontal="right" vertical="center"/>
    </xf>
    <xf numFmtId="3" fontId="7" fillId="7" borderId="11" xfId="0" applyNumberFormat="1" applyFont="1" applyFill="1" applyBorder="1" applyAlignment="1">
      <alignment horizontal="right" vertical="center"/>
    </xf>
    <xf numFmtId="0" fontId="7" fillId="7" borderId="11" xfId="0" applyFont="1" applyFill="1" applyBorder="1" applyAlignment="1">
      <alignment horizontal="right" vertical="center"/>
    </xf>
    <xf numFmtId="0" fontId="7" fillId="0" borderId="0" xfId="0" applyFont="1" applyFill="1" applyBorder="1" applyAlignment="1">
      <alignment horizontal="right"/>
    </xf>
    <xf numFmtId="0" fontId="0" fillId="11" borderId="0" xfId="0" applyFill="1" applyBorder="1" applyAlignment="1">
      <alignment horizontal="right"/>
    </xf>
    <xf numFmtId="3" fontId="7" fillId="6" borderId="0" xfId="0" applyNumberFormat="1" applyFont="1" applyFill="1" applyBorder="1" applyAlignment="1">
      <alignment horizontal="right" vertical="center"/>
    </xf>
    <xf numFmtId="3" fontId="7" fillId="0" borderId="0" xfId="0" applyNumberFormat="1" applyFont="1" applyFill="1" applyBorder="1" applyAlignment="1">
      <alignment horizontal="right"/>
    </xf>
    <xf numFmtId="0" fontId="7" fillId="11" borderId="0" xfId="0" applyFont="1" applyFill="1" applyBorder="1" applyAlignment="1">
      <alignment horizontal="right"/>
    </xf>
    <xf numFmtId="3" fontId="7" fillId="7" borderId="0" xfId="0" applyNumberFormat="1" applyFont="1" applyFill="1" applyBorder="1" applyAlignment="1">
      <alignment horizontal="right" vertical="top"/>
    </xf>
    <xf numFmtId="3" fontId="7" fillId="6" borderId="4" xfId="0" applyNumberFormat="1" applyFont="1" applyFill="1" applyBorder="1" applyAlignment="1">
      <alignment horizontal="right" vertical="center"/>
    </xf>
    <xf numFmtId="3" fontId="7" fillId="11" borderId="0" xfId="0" applyNumberFormat="1" applyFont="1" applyFill="1" applyBorder="1" applyAlignment="1">
      <alignment horizontal="right" vertical="top"/>
    </xf>
    <xf numFmtId="172" fontId="7" fillId="6" borderId="12" xfId="0" applyNumberFormat="1" applyFont="1" applyFill="1" applyBorder="1" applyAlignment="1">
      <alignment horizontal="left"/>
    </xf>
    <xf numFmtId="170" fontId="7" fillId="6" borderId="12" xfId="0" applyNumberFormat="1" applyFont="1" applyFill="1" applyBorder="1"/>
    <xf numFmtId="171" fontId="7" fillId="11" borderId="0" xfId="0" applyNumberFormat="1" applyFont="1" applyFill="1" applyBorder="1" applyAlignment="1">
      <alignment horizontal="right"/>
    </xf>
    <xf numFmtId="172" fontId="7" fillId="6" borderId="6" xfId="0" applyNumberFormat="1" applyFont="1" applyFill="1" applyBorder="1" applyAlignment="1">
      <alignment horizontal="left"/>
    </xf>
    <xf numFmtId="170" fontId="7" fillId="6" borderId="5" xfId="0" applyNumberFormat="1" applyFont="1" applyFill="1" applyBorder="1"/>
    <xf numFmtId="172" fontId="8" fillId="6" borderId="0" xfId="0" applyNumberFormat="1" applyFont="1" applyFill="1" applyBorder="1" applyAlignment="1">
      <alignment horizontal="left" vertical="center"/>
    </xf>
    <xf numFmtId="170" fontId="8" fillId="6" borderId="5" xfId="0" applyNumberFormat="1" applyFont="1" applyFill="1" applyBorder="1" applyAlignment="1">
      <alignment horizontal="right" vertical="center"/>
    </xf>
    <xf numFmtId="171" fontId="8" fillId="11" borderId="0" xfId="0" applyNumberFormat="1" applyFont="1" applyFill="1" applyBorder="1" applyAlignment="1">
      <alignment horizontal="right" vertical="center"/>
    </xf>
    <xf numFmtId="3" fontId="7" fillId="0" borderId="8" xfId="0" applyNumberFormat="1" applyFont="1" applyBorder="1" applyAlignment="1">
      <alignment horizontal="center" vertical="top"/>
    </xf>
    <xf numFmtId="3" fontId="7" fillId="0" borderId="0" xfId="0" applyNumberFormat="1" applyFont="1" applyBorder="1" applyAlignment="1">
      <alignment horizontal="center" vertical="top"/>
    </xf>
    <xf numFmtId="0" fontId="7" fillId="6" borderId="11" xfId="0" applyFont="1" applyFill="1" applyBorder="1" applyAlignment="1">
      <alignment horizontal="center" vertical="center"/>
    </xf>
    <xf numFmtId="0" fontId="7" fillId="6" borderId="0" xfId="0" applyFont="1" applyFill="1" applyBorder="1" applyAlignment="1">
      <alignment horizontal="center" vertical="center"/>
    </xf>
    <xf numFmtId="0" fontId="7" fillId="6" borderId="5" xfId="0" applyFont="1" applyFill="1" applyBorder="1" applyAlignment="1">
      <alignment horizontal="left"/>
    </xf>
    <xf numFmtId="171" fontId="35" fillId="7" borderId="5" xfId="0" applyNumberFormat="1" applyFont="1" applyFill="1" applyBorder="1" applyAlignment="1">
      <alignment horizontal="right"/>
    </xf>
    <xf numFmtId="171" fontId="35" fillId="7" borderId="12" xfId="0" applyNumberFormat="1" applyFont="1" applyFill="1" applyBorder="1" applyAlignment="1">
      <alignment horizontal="right"/>
    </xf>
    <xf numFmtId="171" fontId="7" fillId="0" borderId="0" xfId="0" applyNumberFormat="1" applyFont="1"/>
    <xf numFmtId="10" fontId="4" fillId="0" borderId="0" xfId="0" applyNumberFormat="1" applyFont="1"/>
    <xf numFmtId="0" fontId="20" fillId="0" borderId="4" xfId="0" applyFont="1" applyFill="1" applyBorder="1" applyAlignment="1">
      <alignment horizontal="right" vertical="center"/>
    </xf>
    <xf numFmtId="0" fontId="7" fillId="6" borderId="17" xfId="0" applyFont="1" applyFill="1" applyBorder="1" applyAlignment="1">
      <alignment horizontal="left"/>
    </xf>
    <xf numFmtId="0" fontId="7" fillId="7" borderId="11" xfId="0" applyFont="1" applyFill="1" applyBorder="1" applyAlignment="1"/>
    <xf numFmtId="0" fontId="7" fillId="7" borderId="11" xfId="0" applyFont="1" applyFill="1" applyBorder="1" applyAlignment="1">
      <alignment vertical="top"/>
    </xf>
    <xf numFmtId="0" fontId="7" fillId="7" borderId="17" xfId="0" applyFont="1" applyFill="1" applyBorder="1" applyAlignment="1">
      <alignment vertical="top"/>
    </xf>
    <xf numFmtId="3" fontId="8" fillId="6" borderId="0" xfId="0" applyNumberFormat="1" applyFont="1" applyFill="1" applyBorder="1" applyAlignment="1"/>
    <xf numFmtId="0" fontId="7" fillId="7" borderId="0" xfId="0" applyFont="1" applyFill="1" applyAlignment="1">
      <alignment horizontal="center"/>
    </xf>
    <xf numFmtId="0" fontId="7" fillId="6" borderId="15" xfId="0" applyFont="1" applyFill="1" applyBorder="1" applyAlignment="1">
      <alignment horizontal="left"/>
    </xf>
    <xf numFmtId="0" fontId="7" fillId="7" borderId="2" xfId="0" applyFont="1" applyFill="1" applyBorder="1" applyAlignment="1">
      <alignment vertical="top"/>
    </xf>
    <xf numFmtId="0" fontId="7" fillId="7" borderId="0" xfId="0" applyFont="1" applyFill="1" applyBorder="1" applyAlignment="1">
      <alignment vertical="top"/>
    </xf>
    <xf numFmtId="0" fontId="7" fillId="7" borderId="15" xfId="0" applyFont="1" applyFill="1" applyBorder="1" applyAlignment="1">
      <alignment vertical="top"/>
    </xf>
    <xf numFmtId="0" fontId="7" fillId="7" borderId="24" xfId="0" applyFont="1" applyFill="1" applyBorder="1" applyAlignment="1">
      <alignment vertical="top"/>
    </xf>
    <xf numFmtId="0" fontId="7" fillId="7" borderId="4" xfId="0" applyFont="1" applyFill="1" applyBorder="1" applyAlignment="1">
      <alignment vertical="top"/>
    </xf>
    <xf numFmtId="0" fontId="7" fillId="7" borderId="21" xfId="0" applyFont="1" applyFill="1" applyBorder="1" applyAlignment="1">
      <alignment vertical="top"/>
    </xf>
    <xf numFmtId="0" fontId="8" fillId="6" borderId="0" xfId="0" applyFont="1" applyFill="1" applyBorder="1" applyAlignment="1"/>
    <xf numFmtId="0" fontId="7" fillId="7" borderId="23" xfId="0" applyFont="1" applyFill="1" applyBorder="1" applyAlignment="1">
      <alignment horizontal="center"/>
    </xf>
    <xf numFmtId="0" fontId="28" fillId="6" borderId="25" xfId="0" applyFont="1" applyFill="1" applyBorder="1" applyAlignment="1">
      <alignment horizontal="center"/>
    </xf>
    <xf numFmtId="0" fontId="7" fillId="7" borderId="25" xfId="0" applyFont="1" applyFill="1" applyBorder="1" applyAlignment="1">
      <alignment horizontal="center"/>
    </xf>
    <xf numFmtId="0" fontId="7" fillId="7" borderId="2" xfId="0" applyFont="1" applyFill="1" applyBorder="1" applyAlignment="1">
      <alignment horizontal="center"/>
    </xf>
    <xf numFmtId="3" fontId="7" fillId="6" borderId="26" xfId="0" applyNumberFormat="1" applyFont="1" applyFill="1" applyBorder="1" applyAlignment="1">
      <alignment horizontal="center"/>
    </xf>
    <xf numFmtId="0" fontId="7" fillId="7" borderId="26" xfId="0" applyFont="1" applyFill="1" applyBorder="1" applyAlignment="1">
      <alignment horizontal="center"/>
    </xf>
    <xf numFmtId="0" fontId="7" fillId="17" borderId="26" xfId="0" applyFont="1" applyFill="1" applyBorder="1" applyAlignment="1">
      <alignment horizontal="center"/>
    </xf>
    <xf numFmtId="0" fontId="7" fillId="6" borderId="26" xfId="0" applyFont="1" applyFill="1" applyBorder="1" applyAlignment="1">
      <alignment horizontal="center" vertical="top"/>
    </xf>
    <xf numFmtId="0" fontId="7" fillId="6" borderId="26" xfId="0" applyFont="1" applyFill="1" applyBorder="1" applyAlignment="1">
      <alignment horizontal="center"/>
    </xf>
    <xf numFmtId="0" fontId="7" fillId="6" borderId="20" xfId="0" applyFont="1" applyFill="1" applyBorder="1" applyAlignment="1">
      <alignment horizontal="center" vertical="top"/>
    </xf>
    <xf numFmtId="0" fontId="7" fillId="6" borderId="20" xfId="0" applyFont="1" applyFill="1" applyBorder="1" applyAlignment="1">
      <alignment vertical="top"/>
    </xf>
    <xf numFmtId="0" fontId="7" fillId="7" borderId="20" xfId="0" applyFont="1" applyFill="1" applyBorder="1" applyAlignment="1">
      <alignment horizontal="center" vertical="top"/>
    </xf>
    <xf numFmtId="3" fontId="8" fillId="6" borderId="4" xfId="0" applyNumberFormat="1" applyFont="1" applyFill="1" applyBorder="1" applyAlignment="1">
      <alignment vertical="top"/>
    </xf>
    <xf numFmtId="3" fontId="8" fillId="6" borderId="5" xfId="0" applyNumberFormat="1" applyFont="1" applyFill="1" applyBorder="1" applyAlignment="1">
      <alignment horizontal="right"/>
    </xf>
    <xf numFmtId="170" fontId="7" fillId="7" borderId="12" xfId="0" applyNumberFormat="1" applyFont="1" applyFill="1" applyBorder="1" applyAlignment="1">
      <alignment horizontal="right" indent="2"/>
    </xf>
    <xf numFmtId="3" fontId="8" fillId="6" borderId="27" xfId="0" applyNumberFormat="1" applyFont="1" applyFill="1" applyBorder="1" applyAlignment="1">
      <alignment vertical="center"/>
    </xf>
    <xf numFmtId="3" fontId="35" fillId="7" borderId="0" xfId="0" applyNumberFormat="1" applyFont="1" applyFill="1" applyBorder="1" applyAlignment="1">
      <alignment horizontal="right" vertical="center"/>
    </xf>
    <xf numFmtId="3" fontId="35" fillId="6" borderId="0" xfId="0" applyNumberFormat="1" applyFont="1" applyFill="1" applyBorder="1" applyAlignment="1">
      <alignment horizontal="right" vertical="center"/>
    </xf>
    <xf numFmtId="170" fontId="8" fillId="7" borderId="7" xfId="0" applyNumberFormat="1" applyFont="1" applyFill="1" applyBorder="1" applyAlignment="1">
      <alignment horizontal="right" vertical="center" indent="2"/>
    </xf>
    <xf numFmtId="3" fontId="7" fillId="6" borderId="16" xfId="0" applyNumberFormat="1" applyFont="1" applyFill="1" applyBorder="1" applyAlignment="1">
      <alignment vertical="center" wrapText="1"/>
    </xf>
    <xf numFmtId="171" fontId="35" fillId="7" borderId="16" xfId="0" applyNumberFormat="1" applyFont="1" applyFill="1" applyBorder="1" applyAlignment="1">
      <alignment horizontal="right" vertical="center"/>
    </xf>
    <xf numFmtId="171" fontId="8" fillId="7" borderId="16" xfId="0" applyNumberFormat="1" applyFont="1" applyFill="1" applyBorder="1" applyAlignment="1">
      <alignment horizontal="right" vertical="center"/>
    </xf>
    <xf numFmtId="170" fontId="8" fillId="7" borderId="16" xfId="0" applyNumberFormat="1" applyFont="1" applyFill="1" applyBorder="1" applyAlignment="1">
      <alignment horizontal="center" vertical="center"/>
    </xf>
    <xf numFmtId="3" fontId="7" fillId="7" borderId="11" xfId="0" applyNumberFormat="1" applyFont="1" applyFill="1" applyBorder="1" applyAlignment="1">
      <alignment horizontal="left"/>
    </xf>
    <xf numFmtId="3" fontId="8" fillId="6" borderId="12" xfId="0" applyNumberFormat="1" applyFont="1" applyFill="1" applyBorder="1"/>
    <xf numFmtId="0" fontId="2" fillId="0" borderId="0" xfId="0" applyFont="1" applyFill="1" applyAlignment="1">
      <alignment horizontal="right"/>
    </xf>
    <xf numFmtId="0" fontId="2" fillId="0" borderId="0" xfId="0" applyFont="1" applyFill="1" applyAlignment="1">
      <alignment horizontal="left"/>
    </xf>
    <xf numFmtId="0" fontId="7" fillId="6" borderId="0" xfId="0" applyFont="1" applyFill="1" applyBorder="1" applyAlignment="1">
      <alignment horizontal="right" vertical="top"/>
    </xf>
    <xf numFmtId="3" fontId="7" fillId="7" borderId="4" xfId="0" applyNumberFormat="1" applyFont="1" applyFill="1" applyBorder="1" applyAlignment="1">
      <alignment horizontal="right" vertical="center"/>
    </xf>
    <xf numFmtId="171" fontId="7" fillId="7" borderId="12" xfId="0" applyNumberFormat="1" applyFont="1" applyFill="1" applyBorder="1"/>
    <xf numFmtId="171" fontId="7" fillId="6" borderId="12" xfId="0" applyNumberFormat="1" applyFont="1" applyFill="1" applyBorder="1"/>
    <xf numFmtId="171" fontId="7" fillId="6" borderId="12" xfId="0" applyNumberFormat="1" applyFont="1" applyFill="1" applyBorder="1" applyAlignment="1">
      <alignment horizontal="right"/>
    </xf>
    <xf numFmtId="171" fontId="8" fillId="7" borderId="12" xfId="0" applyNumberFormat="1" applyFont="1" applyFill="1" applyBorder="1" applyAlignment="1">
      <alignment horizontal="right"/>
    </xf>
    <xf numFmtId="171" fontId="4" fillId="0" borderId="0" xfId="0" applyNumberFormat="1" applyFont="1"/>
    <xf numFmtId="171" fontId="35" fillId="7" borderId="12" xfId="0" applyNumberFormat="1" applyFont="1" applyFill="1" applyBorder="1" applyAlignment="1">
      <alignment vertical="center"/>
    </xf>
    <xf numFmtId="171" fontId="35" fillId="6" borderId="12" xfId="0" applyNumberFormat="1" applyFont="1" applyFill="1" applyBorder="1" applyAlignment="1">
      <alignment vertical="center"/>
    </xf>
    <xf numFmtId="171" fontId="8" fillId="7" borderId="12" xfId="0" applyNumberFormat="1" applyFont="1" applyFill="1" applyBorder="1" applyAlignment="1">
      <alignment horizontal="right" vertical="center"/>
    </xf>
    <xf numFmtId="171" fontId="35" fillId="7" borderId="12" xfId="0" applyNumberFormat="1" applyFont="1" applyFill="1" applyBorder="1" applyAlignment="1">
      <alignment horizontal="right" vertical="center"/>
    </xf>
    <xf numFmtId="171" fontId="7" fillId="6" borderId="7" xfId="0" applyNumberFormat="1" applyFont="1" applyFill="1" applyBorder="1" applyAlignment="1">
      <alignment horizontal="right" vertical="center"/>
    </xf>
    <xf numFmtId="3" fontId="7" fillId="6" borderId="0" xfId="0" applyNumberFormat="1" applyFont="1" applyFill="1" applyBorder="1" applyAlignment="1">
      <alignment horizontal="center"/>
    </xf>
    <xf numFmtId="3" fontId="7" fillId="7" borderId="0" xfId="0" applyNumberFormat="1" applyFont="1" applyFill="1" applyBorder="1" applyAlignment="1">
      <alignment horizontal="center"/>
    </xf>
    <xf numFmtId="0" fontId="7" fillId="0" borderId="0" xfId="0" applyFont="1" applyFill="1" applyBorder="1" applyAlignment="1">
      <alignment horizontal="center"/>
    </xf>
    <xf numFmtId="0" fontId="7" fillId="6" borderId="0" xfId="0" applyFont="1" applyFill="1" applyBorder="1" applyAlignment="1">
      <alignment horizontal="center" vertical="top"/>
    </xf>
    <xf numFmtId="0" fontId="7" fillId="7" borderId="0" xfId="0" applyFont="1" applyFill="1" applyBorder="1" applyAlignment="1">
      <alignment horizontal="center" vertical="top"/>
    </xf>
    <xf numFmtId="3" fontId="8" fillId="6" borderId="0" xfId="0" applyNumberFormat="1" applyFont="1" applyFill="1" applyBorder="1" applyAlignment="1">
      <alignment horizontal="right" vertical="top"/>
    </xf>
    <xf numFmtId="3" fontId="7" fillId="7" borderId="0" xfId="0" applyNumberFormat="1" applyFont="1" applyFill="1" applyBorder="1" applyAlignment="1">
      <alignment horizontal="center" vertical="top"/>
    </xf>
    <xf numFmtId="0" fontId="7" fillId="0" borderId="0" xfId="0" applyFont="1" applyFill="1" applyBorder="1" applyAlignment="1">
      <alignment horizontal="center" vertical="top"/>
    </xf>
    <xf numFmtId="170" fontId="7" fillId="0" borderId="0" xfId="0" applyNumberFormat="1" applyFont="1" applyFill="1" applyBorder="1" applyAlignment="1">
      <alignment horizontal="center"/>
    </xf>
    <xf numFmtId="3" fontId="7" fillId="7" borderId="6" xfId="0" quotePrefix="1" applyNumberFormat="1" applyFont="1" applyFill="1" applyBorder="1"/>
    <xf numFmtId="3" fontId="8" fillId="6" borderId="6" xfId="0" applyNumberFormat="1" applyFont="1" applyFill="1" applyBorder="1"/>
    <xf numFmtId="3" fontId="126" fillId="0" borderId="0" xfId="0" applyNumberFormat="1" applyFont="1" applyAlignment="1">
      <alignment horizontal="right"/>
    </xf>
    <xf numFmtId="170" fontId="8" fillId="0" borderId="0" xfId="0" applyNumberFormat="1" applyFont="1" applyFill="1" applyBorder="1" applyAlignment="1">
      <alignment horizontal="center" vertical="center"/>
    </xf>
    <xf numFmtId="172" fontId="4" fillId="0" borderId="0" xfId="0" applyNumberFormat="1" applyFont="1" applyBorder="1"/>
    <xf numFmtId="0" fontId="35" fillId="7" borderId="11" xfId="0" applyFont="1" applyFill="1" applyBorder="1" applyAlignment="1">
      <alignment horizontal="center"/>
    </xf>
    <xf numFmtId="3" fontId="8" fillId="7" borderId="0" xfId="0" applyNumberFormat="1" applyFont="1" applyFill="1" applyBorder="1" applyAlignment="1">
      <alignment horizontal="right"/>
    </xf>
    <xf numFmtId="3" fontId="8" fillId="7" borderId="0" xfId="0" applyNumberFormat="1" applyFont="1" applyFill="1" applyBorder="1" applyAlignment="1">
      <alignment horizontal="right" vertical="top"/>
    </xf>
    <xf numFmtId="3" fontId="8" fillId="7" borderId="12" xfId="0" applyNumberFormat="1" applyFont="1" applyFill="1" applyBorder="1"/>
    <xf numFmtId="170" fontId="7" fillId="6" borderId="12" xfId="0" applyNumberFormat="1" applyFont="1" applyFill="1" applyBorder="1" applyAlignment="1">
      <alignment horizontal="right" indent="3"/>
    </xf>
    <xf numFmtId="3" fontId="7" fillId="7" borderId="12" xfId="0" applyNumberFormat="1" applyFont="1" applyFill="1" applyBorder="1" applyAlignment="1">
      <alignment horizontal="center"/>
    </xf>
    <xf numFmtId="3" fontId="7" fillId="6" borderId="12" xfId="0" applyNumberFormat="1" applyFont="1" applyFill="1" applyBorder="1" applyAlignment="1">
      <alignment horizontal="right" indent="3"/>
    </xf>
    <xf numFmtId="3" fontId="8" fillId="7" borderId="6" xfId="0" applyNumberFormat="1" applyFont="1" applyFill="1" applyBorder="1"/>
    <xf numFmtId="3" fontId="7" fillId="7" borderId="6" xfId="0" applyNumberFormat="1" applyFont="1" applyFill="1" applyBorder="1" applyAlignment="1">
      <alignment horizontal="center"/>
    </xf>
    <xf numFmtId="3" fontId="7" fillId="7" borderId="13" xfId="0" applyNumberFormat="1" applyFont="1" applyFill="1" applyBorder="1" applyAlignment="1">
      <alignment horizontal="center"/>
    </xf>
    <xf numFmtId="3" fontId="7" fillId="6" borderId="11" xfId="0" applyNumberFormat="1" applyFont="1" applyFill="1" applyBorder="1" applyAlignment="1">
      <alignment horizontal="right" indent="3"/>
    </xf>
    <xf numFmtId="170" fontId="7" fillId="7" borderId="13" xfId="0" applyNumberFormat="1" applyFont="1" applyFill="1" applyBorder="1" applyAlignment="1">
      <alignment horizontal="center"/>
    </xf>
    <xf numFmtId="3" fontId="7" fillId="7" borderId="46" xfId="0" applyNumberFormat="1" applyFont="1" applyFill="1" applyBorder="1" applyAlignment="1">
      <alignment horizontal="center"/>
    </xf>
    <xf numFmtId="3" fontId="7" fillId="6" borderId="46" xfId="0" applyNumberFormat="1" applyFont="1" applyFill="1" applyBorder="1" applyAlignment="1">
      <alignment horizontal="right" indent="3"/>
    </xf>
    <xf numFmtId="3" fontId="7" fillId="7" borderId="5" xfId="0" applyNumberFormat="1" applyFont="1" applyFill="1" applyBorder="1" applyAlignment="1">
      <alignment horizontal="center"/>
    </xf>
    <xf numFmtId="3" fontId="7" fillId="6" borderId="5" xfId="0" applyNumberFormat="1" applyFont="1" applyFill="1" applyBorder="1" applyAlignment="1">
      <alignment horizontal="right" indent="3"/>
    </xf>
    <xf numFmtId="170" fontId="8" fillId="6" borderId="12" xfId="0" applyNumberFormat="1" applyFont="1" applyFill="1" applyBorder="1" applyAlignment="1">
      <alignment horizontal="right" vertical="center" indent="3"/>
    </xf>
    <xf numFmtId="3" fontId="8" fillId="7" borderId="0" xfId="0" applyNumberFormat="1" applyFont="1" applyFill="1" applyBorder="1" applyAlignment="1">
      <alignment horizontal="center" vertical="center"/>
    </xf>
    <xf numFmtId="3" fontId="8" fillId="6" borderId="12" xfId="0" applyNumberFormat="1" applyFont="1" applyFill="1" applyBorder="1" applyAlignment="1">
      <alignment horizontal="right" vertical="center" indent="3"/>
    </xf>
    <xf numFmtId="0" fontId="7" fillId="7" borderId="11" xfId="0" applyFont="1" applyFill="1" applyBorder="1" applyAlignment="1">
      <alignment horizontal="right" vertical="top"/>
    </xf>
    <xf numFmtId="0" fontId="7" fillId="7" borderId="0" xfId="0" quotePrefix="1" applyFont="1" applyFill="1" applyBorder="1" applyAlignment="1">
      <alignment horizontal="right" vertical="top"/>
    </xf>
    <xf numFmtId="3" fontId="8" fillId="7" borderId="0" xfId="0" applyNumberFormat="1" applyFont="1" applyFill="1" applyBorder="1" applyAlignment="1">
      <alignment horizontal="center" vertical="top"/>
    </xf>
    <xf numFmtId="3" fontId="4" fillId="0" borderId="0" xfId="0" applyNumberFormat="1" applyFont="1" applyAlignment="1">
      <alignment vertical="top"/>
    </xf>
    <xf numFmtId="170" fontId="7" fillId="18" borderId="12" xfId="0" applyNumberFormat="1" applyFont="1" applyFill="1" applyBorder="1" applyAlignment="1">
      <alignment horizontal="right" indent="3"/>
    </xf>
    <xf numFmtId="3" fontId="8" fillId="7" borderId="12" xfId="0" applyNumberFormat="1" applyFont="1" applyFill="1" applyBorder="1" applyAlignment="1">
      <alignment horizontal="right"/>
    </xf>
    <xf numFmtId="170" fontId="7" fillId="18" borderId="6" xfId="0" applyNumberFormat="1" applyFont="1" applyFill="1" applyBorder="1" applyAlignment="1">
      <alignment horizontal="right" indent="3"/>
    </xf>
    <xf numFmtId="3" fontId="8" fillId="7" borderId="6" xfId="0" quotePrefix="1" applyNumberFormat="1" applyFont="1" applyFill="1" applyBorder="1" applyAlignment="1">
      <alignment horizontal="right"/>
    </xf>
    <xf numFmtId="0" fontId="126" fillId="0" borderId="0" xfId="0" applyFont="1" applyAlignment="1">
      <alignment horizontal="right"/>
    </xf>
    <xf numFmtId="0" fontId="7" fillId="0" borderId="0" xfId="0" applyFont="1" applyBorder="1" applyAlignment="1">
      <alignment horizontal="right"/>
    </xf>
    <xf numFmtId="3" fontId="51" fillId="7" borderId="0" xfId="0" applyNumberFormat="1" applyFont="1" applyFill="1" applyBorder="1" applyAlignment="1">
      <alignment horizontal="right" vertical="center"/>
    </xf>
    <xf numFmtId="3" fontId="51" fillId="6" borderId="0" xfId="0" applyNumberFormat="1" applyFont="1" applyFill="1" applyBorder="1" applyAlignment="1">
      <alignment horizontal="right" vertical="center"/>
    </xf>
    <xf numFmtId="170" fontId="51" fillId="6" borderId="0" xfId="0" applyNumberFormat="1" applyFont="1" applyFill="1" applyBorder="1" applyAlignment="1">
      <alignment horizontal="right" vertical="center" indent="3"/>
    </xf>
    <xf numFmtId="170" fontId="51" fillId="18" borderId="7" xfId="0" applyNumberFormat="1" applyFont="1" applyFill="1" applyBorder="1" applyAlignment="1">
      <alignment horizontal="right" vertical="center" indent="3"/>
    </xf>
    <xf numFmtId="0" fontId="4" fillId="4" borderId="0" xfId="29" applyFont="1" applyFill="1" applyAlignment="1"/>
    <xf numFmtId="0" fontId="77" fillId="4" borderId="0" xfId="29" applyFont="1" applyFill="1"/>
    <xf numFmtId="0" fontId="4" fillId="4" borderId="0" xfId="29" applyFont="1" applyFill="1" applyProtection="1"/>
    <xf numFmtId="3" fontId="8" fillId="7" borderId="11" xfId="0" applyNumberFormat="1" applyFont="1" applyFill="1" applyBorder="1" applyAlignment="1">
      <alignment horizontal="right" vertical="top"/>
    </xf>
    <xf numFmtId="171" fontId="7" fillId="18" borderId="11" xfId="0" applyNumberFormat="1" applyFont="1" applyFill="1" applyBorder="1" applyAlignment="1">
      <alignment horizontal="center"/>
    </xf>
    <xf numFmtId="1" fontId="7" fillId="6" borderId="0" xfId="0" applyNumberFormat="1" applyFont="1" applyFill="1" applyBorder="1" applyAlignment="1">
      <alignment horizontal="right"/>
    </xf>
    <xf numFmtId="1" fontId="7" fillId="7" borderId="0" xfId="0" applyNumberFormat="1" applyFont="1" applyFill="1" applyBorder="1" applyAlignment="1">
      <alignment horizontal="right"/>
    </xf>
    <xf numFmtId="171" fontId="7" fillId="18" borderId="0" xfId="0" applyNumberFormat="1" applyFont="1" applyFill="1" applyBorder="1" applyAlignment="1">
      <alignment horizontal="center"/>
    </xf>
    <xf numFmtId="0" fontId="7" fillId="7" borderId="4" xfId="0" applyFont="1" applyFill="1" applyBorder="1" applyAlignment="1">
      <alignment horizontal="left"/>
    </xf>
    <xf numFmtId="3" fontId="8" fillId="7" borderId="4" xfId="0" applyNumberFormat="1" applyFont="1" applyFill="1" applyBorder="1" applyAlignment="1">
      <alignment horizontal="right" vertical="top"/>
    </xf>
    <xf numFmtId="171" fontId="7" fillId="18" borderId="4" xfId="0" applyNumberFormat="1" applyFont="1" applyFill="1" applyBorder="1" applyAlignment="1">
      <alignment horizontal="center" vertical="top"/>
    </xf>
    <xf numFmtId="171" fontId="7" fillId="7" borderId="6" xfId="0" quotePrefix="1" applyNumberFormat="1" applyFont="1" applyFill="1" applyBorder="1" applyAlignment="1">
      <alignment horizontal="right"/>
    </xf>
    <xf numFmtId="170" fontId="7" fillId="18" borderId="6" xfId="0" quotePrefix="1" applyNumberFormat="1" applyFont="1" applyFill="1" applyBorder="1" applyAlignment="1">
      <alignment horizontal="right" indent="3"/>
    </xf>
    <xf numFmtId="4" fontId="7" fillId="7" borderId="6" xfId="0" applyNumberFormat="1" applyFont="1" applyFill="1" applyBorder="1" applyAlignment="1">
      <alignment horizontal="right"/>
    </xf>
    <xf numFmtId="4" fontId="7" fillId="6" borderId="6" xfId="0" applyNumberFormat="1" applyFont="1" applyFill="1" applyBorder="1" applyAlignment="1">
      <alignment horizontal="right"/>
    </xf>
    <xf numFmtId="171" fontId="51" fillId="7" borderId="0" xfId="0" applyNumberFormat="1" applyFont="1" applyFill="1" applyBorder="1" applyAlignment="1">
      <alignment horizontal="right" vertical="center"/>
    </xf>
    <xf numFmtId="171" fontId="51" fillId="6" borderId="0" xfId="0" applyNumberFormat="1" applyFont="1" applyFill="1" applyBorder="1" applyAlignment="1">
      <alignment horizontal="right" vertical="center"/>
    </xf>
    <xf numFmtId="171" fontId="51" fillId="6" borderId="7" xfId="0" applyNumberFormat="1" applyFont="1" applyFill="1" applyBorder="1" applyAlignment="1">
      <alignment horizontal="right" vertical="center"/>
    </xf>
    <xf numFmtId="171" fontId="51" fillId="7" borderId="7" xfId="0" applyNumberFormat="1" applyFont="1" applyFill="1" applyBorder="1" applyAlignment="1">
      <alignment horizontal="right" vertical="center"/>
    </xf>
    <xf numFmtId="170" fontId="51" fillId="18" borderId="0" xfId="0" applyNumberFormat="1" applyFont="1" applyFill="1" applyBorder="1" applyAlignment="1">
      <alignment horizontal="right" vertical="center" indent="3"/>
    </xf>
    <xf numFmtId="9" fontId="8" fillId="7" borderId="11" xfId="0" applyNumberFormat="1" applyFont="1" applyFill="1" applyBorder="1" applyAlignment="1">
      <alignment horizontal="right" wrapText="1"/>
    </xf>
    <xf numFmtId="9" fontId="8" fillId="6" borderId="11" xfId="0" applyNumberFormat="1" applyFont="1" applyFill="1" applyBorder="1" applyAlignment="1">
      <alignment horizontal="right" wrapText="1"/>
    </xf>
    <xf numFmtId="9" fontId="7" fillId="7" borderId="0" xfId="0" applyNumberFormat="1" applyFont="1" applyFill="1" applyBorder="1" applyAlignment="1">
      <alignment horizontal="right" wrapText="1"/>
    </xf>
    <xf numFmtId="9" fontId="7" fillId="6" borderId="0" xfId="0" applyNumberFormat="1" applyFont="1" applyFill="1" applyBorder="1" applyAlignment="1">
      <alignment horizontal="right" wrapText="1"/>
    </xf>
    <xf numFmtId="3" fontId="7" fillId="4" borderId="8" xfId="0" applyNumberFormat="1" applyFont="1" applyFill="1" applyBorder="1" applyAlignment="1">
      <alignment horizontal="right" vertical="top"/>
    </xf>
    <xf numFmtId="9" fontId="7" fillId="6" borderId="11" xfId="0" applyNumberFormat="1" applyFont="1" applyFill="1" applyBorder="1" applyAlignment="1">
      <alignment horizontal="center" vertical="center" wrapText="1"/>
    </xf>
    <xf numFmtId="9" fontId="7" fillId="7" borderId="11" xfId="0" applyNumberFormat="1" applyFont="1" applyFill="1" applyBorder="1" applyAlignment="1">
      <alignment horizontal="center" vertical="center" wrapText="1"/>
    </xf>
    <xf numFmtId="9" fontId="8" fillId="7" borderId="0" xfId="0" applyNumberFormat="1" applyFont="1" applyFill="1" applyBorder="1" applyAlignment="1">
      <alignment horizontal="right" wrapText="1"/>
    </xf>
    <xf numFmtId="9" fontId="7" fillId="6" borderId="0" xfId="0" applyNumberFormat="1" applyFont="1" applyFill="1" applyBorder="1" applyAlignment="1">
      <alignment horizontal="center" vertical="center" wrapText="1"/>
    </xf>
    <xf numFmtId="9" fontId="7" fillId="7" borderId="0" xfId="0" applyNumberFormat="1" applyFont="1" applyFill="1" applyBorder="1" applyAlignment="1">
      <alignment horizontal="center" vertical="center" wrapText="1"/>
    </xf>
    <xf numFmtId="3" fontId="7" fillId="7" borderId="0" xfId="0" applyNumberFormat="1" applyFont="1" applyFill="1" applyBorder="1" applyAlignment="1">
      <alignment horizontal="center" vertical="center"/>
    </xf>
    <xf numFmtId="0" fontId="7" fillId="6" borderId="4" xfId="0" applyFont="1" applyFill="1" applyBorder="1" applyAlignment="1">
      <alignment horizontal="center" vertical="center"/>
    </xf>
    <xf numFmtId="3" fontId="7" fillId="7" borderId="4" xfId="0" applyNumberFormat="1" applyFont="1" applyFill="1" applyBorder="1" applyAlignment="1">
      <alignment horizontal="center" vertical="center"/>
    </xf>
    <xf numFmtId="171" fontId="8" fillId="7" borderId="5" xfId="0" applyNumberFormat="1" applyFont="1" applyFill="1" applyBorder="1" applyAlignment="1">
      <alignment horizontal="right"/>
    </xf>
    <xf numFmtId="171" fontId="8" fillId="7" borderId="6" xfId="0" applyNumberFormat="1" applyFont="1" applyFill="1" applyBorder="1" applyAlignment="1">
      <alignment horizontal="right"/>
    </xf>
    <xf numFmtId="170" fontId="7" fillId="7" borderId="0" xfId="0" applyNumberFormat="1" applyFont="1" applyFill="1" applyBorder="1" applyAlignment="1">
      <alignment horizontal="right"/>
    </xf>
    <xf numFmtId="170" fontId="7" fillId="7" borderId="4" xfId="0" applyNumberFormat="1" applyFont="1" applyFill="1" applyBorder="1" applyAlignment="1">
      <alignment horizontal="right" vertical="top"/>
    </xf>
    <xf numFmtId="172" fontId="7" fillId="7" borderId="5" xfId="0" applyNumberFormat="1" applyFont="1" applyFill="1" applyBorder="1" applyAlignment="1">
      <alignment horizontal="right"/>
    </xf>
    <xf numFmtId="172" fontId="7" fillId="7" borderId="6" xfId="0" applyNumberFormat="1" applyFont="1" applyFill="1" applyBorder="1" applyAlignment="1">
      <alignment horizontal="right"/>
    </xf>
    <xf numFmtId="172" fontId="8" fillId="7" borderId="0" xfId="0" applyNumberFormat="1" applyFont="1" applyFill="1" applyBorder="1" applyAlignment="1">
      <alignment horizontal="right" vertical="center"/>
    </xf>
    <xf numFmtId="172" fontId="0" fillId="0" borderId="0" xfId="0" applyNumberFormat="1" applyFont="1"/>
    <xf numFmtId="0" fontId="18" fillId="0" borderId="0" xfId="10" applyFont="1"/>
    <xf numFmtId="0" fontId="57" fillId="0" borderId="0" xfId="10" applyFont="1"/>
    <xf numFmtId="3" fontId="8" fillId="7" borderId="7" xfId="0" quotePrefix="1" applyNumberFormat="1" applyFont="1" applyFill="1" applyBorder="1" applyAlignment="1">
      <alignment horizontal="right" vertical="center"/>
    </xf>
    <xf numFmtId="3" fontId="7" fillId="6" borderId="6" xfId="0" applyNumberFormat="1" applyFont="1" applyFill="1" applyBorder="1" applyAlignment="1">
      <alignment horizontal="center"/>
    </xf>
    <xf numFmtId="170" fontId="8" fillId="7" borderId="0" xfId="0" applyNumberFormat="1" applyFont="1" applyFill="1" applyBorder="1" applyAlignment="1">
      <alignment vertical="center"/>
    </xf>
    <xf numFmtId="0" fontId="35" fillId="6" borderId="11" xfId="0" applyFont="1" applyFill="1" applyBorder="1" applyAlignment="1">
      <alignment horizontal="right"/>
    </xf>
    <xf numFmtId="3" fontId="35" fillId="6" borderId="12" xfId="0" applyNumberFormat="1" applyFont="1" applyFill="1" applyBorder="1"/>
    <xf numFmtId="0" fontId="127" fillId="6" borderId="11" xfId="0" applyFont="1" applyFill="1" applyBorder="1" applyAlignment="1">
      <alignment horizontal="right"/>
    </xf>
    <xf numFmtId="0" fontId="127" fillId="6" borderId="0" xfId="0" applyFont="1" applyFill="1" applyBorder="1" applyAlignment="1">
      <alignment horizontal="center"/>
    </xf>
    <xf numFmtId="0" fontId="127" fillId="6" borderId="4" xfId="0" applyFont="1" applyFill="1" applyBorder="1" applyAlignment="1">
      <alignment horizontal="center" vertical="top"/>
    </xf>
    <xf numFmtId="3" fontId="128" fillId="6" borderId="12" xfId="0" applyNumberFormat="1" applyFont="1" applyFill="1" applyBorder="1"/>
    <xf numFmtId="3" fontId="128" fillId="6" borderId="6" xfId="0" applyNumberFormat="1" applyFont="1" applyFill="1" applyBorder="1"/>
    <xf numFmtId="3" fontId="128" fillId="6" borderId="6" xfId="0" applyNumberFormat="1" applyFont="1" applyFill="1" applyBorder="1" applyAlignment="1">
      <alignment vertical="center"/>
    </xf>
    <xf numFmtId="3" fontId="129" fillId="6" borderId="7" xfId="0" applyNumberFormat="1" applyFont="1" applyFill="1" applyBorder="1" applyAlignment="1">
      <alignment vertical="center"/>
    </xf>
    <xf numFmtId="0" fontId="122" fillId="0" borderId="0" xfId="0" applyFont="1"/>
    <xf numFmtId="0" fontId="7" fillId="0" borderId="0" xfId="0" applyFont="1" applyAlignment="1">
      <alignment horizontal="center"/>
    </xf>
    <xf numFmtId="0" fontId="7" fillId="0" borderId="0" xfId="0" applyFont="1" applyAlignment="1"/>
    <xf numFmtId="0" fontId="8" fillId="0" borderId="0" xfId="0" applyFont="1" applyBorder="1" applyAlignment="1">
      <alignment horizontal="left"/>
    </xf>
    <xf numFmtId="0" fontId="7" fillId="0" borderId="0" xfId="0" applyFont="1" applyFill="1" applyAlignment="1">
      <alignment horizontal="center"/>
    </xf>
    <xf numFmtId="0" fontId="7" fillId="0" borderId="0" xfId="0" applyFont="1" applyFill="1" applyAlignment="1"/>
    <xf numFmtId="0" fontId="8" fillId="0" borderId="0" xfId="0" applyFont="1" applyFill="1" applyAlignment="1">
      <alignment horizontal="right"/>
    </xf>
    <xf numFmtId="0" fontId="2" fillId="0" borderId="0" xfId="0" applyFont="1" applyFill="1" applyAlignment="1"/>
    <xf numFmtId="0" fontId="122" fillId="0" borderId="0" xfId="4" applyFont="1"/>
    <xf numFmtId="0" fontId="8" fillId="0" borderId="0" xfId="0" applyFont="1" applyFill="1" applyBorder="1" applyAlignment="1">
      <alignment horizontal="center" vertical="center"/>
    </xf>
    <xf numFmtId="0" fontId="7" fillId="0" borderId="0" xfId="0" applyFont="1" applyFill="1" applyBorder="1" applyAlignment="1">
      <alignment horizontal="right" vertical="center"/>
    </xf>
    <xf numFmtId="0" fontId="8" fillId="7" borderId="0" xfId="0" applyNumberFormat="1" applyFont="1" applyFill="1" applyBorder="1" applyAlignment="1">
      <alignment horizontal="right"/>
    </xf>
    <xf numFmtId="0" fontId="8" fillId="6" borderId="0" xfId="0" applyNumberFormat="1" applyFont="1" applyFill="1" applyBorder="1" applyAlignment="1">
      <alignment horizontal="right"/>
    </xf>
    <xf numFmtId="0" fontId="8" fillId="0" borderId="0" xfId="0" applyNumberFormat="1" applyFont="1" applyFill="1" applyBorder="1" applyAlignment="1">
      <alignment horizontal="right"/>
    </xf>
    <xf numFmtId="0" fontId="7" fillId="0" borderId="0" xfId="0" applyFont="1" applyFill="1" applyBorder="1" applyAlignment="1">
      <alignment horizontal="right" vertical="top"/>
    </xf>
    <xf numFmtId="0" fontId="18" fillId="0" borderId="0" xfId="4" quotePrefix="1" applyFont="1" applyAlignment="1"/>
    <xf numFmtId="0" fontId="4" fillId="0" borderId="0" xfId="4" applyAlignment="1"/>
    <xf numFmtId="170" fontId="7" fillId="6" borderId="46" xfId="0" applyNumberFormat="1" applyFont="1" applyFill="1" applyBorder="1" applyAlignment="1">
      <alignment horizontal="center"/>
    </xf>
    <xf numFmtId="170" fontId="8" fillId="6" borderId="6" xfId="0" applyNumberFormat="1" applyFont="1" applyFill="1" applyBorder="1" applyAlignment="1">
      <alignment horizontal="right" vertical="center"/>
    </xf>
    <xf numFmtId="0" fontId="4" fillId="4" borderId="0" xfId="0" applyNumberFormat="1" applyFont="1" applyFill="1" applyBorder="1" applyProtection="1"/>
    <xf numFmtId="0" fontId="0" fillId="0" borderId="0" xfId="0" applyNumberFormat="1" applyFill="1"/>
    <xf numFmtId="0" fontId="35" fillId="6" borderId="0" xfId="0" applyFont="1" applyFill="1" applyBorder="1" applyAlignment="1">
      <alignment horizontal="right"/>
    </xf>
    <xf numFmtId="0" fontId="35" fillId="6" borderId="4" xfId="0" applyFont="1" applyFill="1" applyBorder="1" applyAlignment="1">
      <alignment horizontal="right" vertical="top"/>
    </xf>
    <xf numFmtId="0" fontId="7" fillId="6" borderId="13" xfId="0" applyFont="1" applyFill="1" applyBorder="1" applyAlignment="1">
      <alignment horizontal="left"/>
    </xf>
    <xf numFmtId="3" fontId="7" fillId="7" borderId="11" xfId="0" applyNumberFormat="1" applyFont="1" applyFill="1" applyBorder="1"/>
    <xf numFmtId="3" fontId="7" fillId="6" borderId="11" xfId="0" applyNumberFormat="1" applyFont="1" applyFill="1" applyBorder="1"/>
    <xf numFmtId="3" fontId="35" fillId="6" borderId="11" xfId="0" applyNumberFormat="1" applyFont="1" applyFill="1" applyBorder="1"/>
    <xf numFmtId="3" fontId="35" fillId="6" borderId="46" xfId="0" applyNumberFormat="1" applyFont="1" applyFill="1" applyBorder="1"/>
    <xf numFmtId="0" fontId="56" fillId="0" borderId="0" xfId="2" applyFont="1" applyAlignment="1" applyProtection="1"/>
    <xf numFmtId="0" fontId="2" fillId="0" borderId="0" xfId="0" applyFont="1" applyAlignment="1">
      <alignment horizontal="right" vertical="center"/>
    </xf>
    <xf numFmtId="3" fontId="2" fillId="0" borderId="0" xfId="0" applyNumberFormat="1" applyFont="1" applyAlignment="1">
      <alignment horizontal="right" vertical="center"/>
    </xf>
    <xf numFmtId="2" fontId="4" fillId="0" borderId="0" xfId="0" applyNumberFormat="1" applyFont="1"/>
    <xf numFmtId="3" fontId="7" fillId="7" borderId="13" xfId="0" applyNumberFormat="1" applyFont="1" applyFill="1" applyBorder="1" applyAlignment="1">
      <alignment horizontal="right"/>
    </xf>
    <xf numFmtId="1" fontId="7" fillId="6" borderId="11" xfId="0" quotePrefix="1" applyNumberFormat="1" applyFont="1" applyFill="1" applyBorder="1" applyAlignment="1">
      <alignment horizontal="right"/>
    </xf>
    <xf numFmtId="3" fontId="7" fillId="7" borderId="46" xfId="0" applyNumberFormat="1" applyFont="1" applyFill="1" applyBorder="1" applyAlignment="1">
      <alignment horizontal="right"/>
    </xf>
    <xf numFmtId="1" fontId="7" fillId="6" borderId="46" xfId="0" quotePrefix="1" applyNumberFormat="1" applyFont="1" applyFill="1" applyBorder="1" applyAlignment="1">
      <alignment horizontal="right"/>
    </xf>
    <xf numFmtId="1" fontId="7" fillId="6" borderId="5" xfId="0" quotePrefix="1" applyNumberFormat="1" applyFont="1" applyFill="1" applyBorder="1" applyAlignment="1">
      <alignment horizontal="right"/>
    </xf>
    <xf numFmtId="1" fontId="7" fillId="6" borderId="12" xfId="0" quotePrefix="1" applyNumberFormat="1" applyFont="1" applyFill="1" applyBorder="1" applyAlignment="1">
      <alignment horizontal="right"/>
    </xf>
    <xf numFmtId="1" fontId="7" fillId="6" borderId="12" xfId="0" quotePrefix="1" applyNumberFormat="1" applyFont="1" applyFill="1" applyBorder="1" applyAlignment="1">
      <alignment horizontal="right" vertical="center"/>
    </xf>
    <xf numFmtId="3" fontId="7" fillId="7" borderId="12" xfId="0" applyNumberFormat="1" applyFont="1" applyFill="1" applyBorder="1" applyAlignment="1">
      <alignment horizontal="right" vertical="center"/>
    </xf>
    <xf numFmtId="0" fontId="7" fillId="13" borderId="11" xfId="0" applyFont="1" applyFill="1" applyBorder="1" applyAlignment="1">
      <alignment horizontal="left" vertical="center"/>
    </xf>
    <xf numFmtId="0" fontId="7" fillId="13" borderId="11" xfId="0" applyFont="1" applyFill="1" applyBorder="1" applyAlignment="1">
      <alignment horizontal="right" vertical="center"/>
    </xf>
    <xf numFmtId="0" fontId="7" fillId="15" borderId="11" xfId="0" applyFont="1" applyFill="1" applyBorder="1" applyAlignment="1">
      <alignment horizontal="left" vertical="center"/>
    </xf>
    <xf numFmtId="0" fontId="7" fillId="15" borderId="11" xfId="0" applyFont="1" applyFill="1" applyBorder="1" applyAlignment="1">
      <alignment horizontal="right" vertical="center"/>
    </xf>
    <xf numFmtId="171" fontId="7" fillId="6" borderId="5" xfId="0" applyNumberFormat="1" applyFont="1" applyFill="1" applyBorder="1" applyAlignment="1">
      <alignment horizontal="center"/>
    </xf>
    <xf numFmtId="170" fontId="7" fillId="7" borderId="11" xfId="0" applyNumberFormat="1" applyFont="1" applyFill="1" applyBorder="1" applyAlignment="1">
      <alignment horizontal="right"/>
    </xf>
    <xf numFmtId="170" fontId="7" fillId="0" borderId="0" xfId="0" applyNumberFormat="1" applyFont="1" applyFill="1" applyBorder="1" applyAlignment="1">
      <alignment horizontal="right"/>
    </xf>
    <xf numFmtId="3" fontId="35" fillId="7" borderId="6" xfId="0" applyNumberFormat="1" applyFont="1" applyFill="1" applyBorder="1" applyAlignment="1">
      <alignment horizontal="right"/>
    </xf>
    <xf numFmtId="170" fontId="35" fillId="6" borderId="6" xfId="0" applyNumberFormat="1" applyFont="1" applyFill="1" applyBorder="1" applyAlignment="1">
      <alignment horizontal="center"/>
    </xf>
    <xf numFmtId="170" fontId="35" fillId="7" borderId="6" xfId="0" applyNumberFormat="1" applyFont="1" applyFill="1" applyBorder="1" applyAlignment="1">
      <alignment horizontal="right"/>
    </xf>
    <xf numFmtId="170" fontId="51" fillId="6" borderId="6" xfId="0" applyNumberFormat="1" applyFont="1" applyFill="1" applyBorder="1" applyAlignment="1">
      <alignment horizontal="center" vertical="center"/>
    </xf>
    <xf numFmtId="170" fontId="51" fillId="7" borderId="0" xfId="0" applyNumberFormat="1" applyFont="1" applyFill="1" applyBorder="1" applyAlignment="1">
      <alignment horizontal="right" vertical="center"/>
    </xf>
    <xf numFmtId="170" fontId="8" fillId="0" borderId="0" xfId="0" applyNumberFormat="1" applyFont="1" applyFill="1" applyBorder="1" applyAlignment="1">
      <alignment horizontal="right" vertical="center"/>
    </xf>
    <xf numFmtId="0" fontId="33" fillId="0" borderId="0" xfId="0" applyFont="1" applyBorder="1"/>
    <xf numFmtId="170" fontId="35" fillId="6" borderId="6" xfId="0" quotePrefix="1" applyNumberFormat="1" applyFont="1" applyFill="1" applyBorder="1" applyAlignment="1">
      <alignment horizontal="center"/>
    </xf>
    <xf numFmtId="170" fontId="35" fillId="6" borderId="6" xfId="0" applyNumberFormat="1" applyFont="1" applyFill="1" applyBorder="1" applyAlignment="1">
      <alignment horizontal="right"/>
    </xf>
    <xf numFmtId="0" fontId="7" fillId="9" borderId="11" xfId="0" applyFont="1" applyFill="1" applyBorder="1" applyAlignment="1">
      <alignment horizontal="right"/>
    </xf>
    <xf numFmtId="0" fontId="7" fillId="8" borderId="11" xfId="0" applyFont="1" applyFill="1" applyBorder="1" applyAlignment="1">
      <alignment horizontal="center"/>
    </xf>
    <xf numFmtId="0" fontId="7" fillId="8" borderId="0" xfId="0" applyFont="1" applyFill="1" applyBorder="1" applyAlignment="1">
      <alignment horizontal="center"/>
    </xf>
    <xf numFmtId="0" fontId="7" fillId="8" borderId="4" xfId="0" applyFont="1" applyFill="1" applyBorder="1" applyAlignment="1">
      <alignment horizontal="center" vertical="top"/>
    </xf>
    <xf numFmtId="3" fontId="7" fillId="9" borderId="5" xfId="0" applyNumberFormat="1" applyFont="1" applyFill="1" applyBorder="1" applyAlignment="1">
      <alignment horizontal="right"/>
    </xf>
    <xf numFmtId="0" fontId="7" fillId="8" borderId="5" xfId="0" quotePrefix="1" applyFont="1" applyFill="1" applyBorder="1" applyAlignment="1">
      <alignment horizontal="right"/>
    </xf>
    <xf numFmtId="170" fontId="7" fillId="8" borderId="5" xfId="0" quotePrefix="1" applyNumberFormat="1" applyFont="1" applyFill="1" applyBorder="1" applyAlignment="1">
      <alignment horizontal="center"/>
    </xf>
    <xf numFmtId="3" fontId="7" fillId="9" borderId="6" xfId="0" applyNumberFormat="1" applyFont="1" applyFill="1" applyBorder="1" applyAlignment="1">
      <alignment horizontal="right"/>
    </xf>
    <xf numFmtId="0" fontId="7" fillId="8" borderId="6" xfId="0" quotePrefix="1" applyFont="1" applyFill="1" applyBorder="1" applyAlignment="1">
      <alignment horizontal="right"/>
    </xf>
    <xf numFmtId="170" fontId="7" fillId="8" borderId="6" xfId="0" quotePrefix="1" applyNumberFormat="1" applyFont="1" applyFill="1" applyBorder="1" applyAlignment="1">
      <alignment horizontal="center"/>
    </xf>
    <xf numFmtId="3" fontId="8" fillId="9" borderId="0" xfId="0" applyNumberFormat="1" applyFont="1" applyFill="1" applyBorder="1" applyAlignment="1">
      <alignment horizontal="right" vertical="center"/>
    </xf>
    <xf numFmtId="0" fontId="8" fillId="8" borderId="0" xfId="0" quotePrefix="1" applyFont="1" applyFill="1" applyBorder="1" applyAlignment="1">
      <alignment horizontal="right" vertical="center"/>
    </xf>
    <xf numFmtId="170" fontId="8" fillId="8" borderId="6" xfId="0" quotePrefix="1" applyNumberFormat="1" applyFont="1" applyFill="1" applyBorder="1" applyAlignment="1">
      <alignment horizontal="center" vertical="center"/>
    </xf>
    <xf numFmtId="0" fontId="2" fillId="0" borderId="4" xfId="0" applyFont="1" applyBorder="1" applyAlignment="1">
      <alignment horizontal="center"/>
    </xf>
    <xf numFmtId="0" fontId="7" fillId="13" borderId="0" xfId="0" applyFont="1" applyFill="1" applyBorder="1" applyAlignment="1">
      <alignment horizontal="left"/>
    </xf>
    <xf numFmtId="0" fontId="7" fillId="13" borderId="0" xfId="0" applyFont="1" applyFill="1" applyBorder="1" applyAlignment="1">
      <alignment horizontal="center"/>
    </xf>
    <xf numFmtId="0" fontId="7" fillId="7" borderId="5" xfId="0" applyFont="1" applyFill="1" applyBorder="1" applyAlignment="1">
      <alignment horizontal="left"/>
    </xf>
    <xf numFmtId="3" fontId="7" fillId="6" borderId="5" xfId="0" applyNumberFormat="1" applyFont="1" applyFill="1" applyBorder="1" applyAlignment="1">
      <alignment horizontal="center" vertical="center"/>
    </xf>
    <xf numFmtId="3" fontId="7" fillId="7" borderId="5" xfId="0" applyNumberFormat="1" applyFont="1" applyFill="1" applyBorder="1" applyAlignment="1">
      <alignment horizontal="center" vertical="center"/>
    </xf>
    <xf numFmtId="3" fontId="7" fillId="6" borderId="6" xfId="0" applyNumberFormat="1" applyFont="1" applyFill="1" applyBorder="1" applyAlignment="1">
      <alignment horizontal="center" vertical="center"/>
    </xf>
    <xf numFmtId="3" fontId="8" fillId="6" borderId="0"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8" fillId="7" borderId="7" xfId="0" applyNumberFormat="1" applyFont="1" applyFill="1" applyBorder="1" applyAlignment="1">
      <alignment horizontal="center" vertical="center"/>
    </xf>
    <xf numFmtId="3" fontId="35" fillId="6" borderId="6" xfId="0" applyNumberFormat="1" applyFont="1" applyFill="1" applyBorder="1" applyAlignment="1">
      <alignment horizontal="right"/>
    </xf>
    <xf numFmtId="170" fontId="2" fillId="4" borderId="0" xfId="0" applyNumberFormat="1" applyFont="1" applyFill="1" applyAlignment="1">
      <alignment horizontal="center"/>
    </xf>
    <xf numFmtId="0" fontId="20" fillId="4" borderId="0" xfId="0" applyFont="1" applyFill="1" applyBorder="1" applyAlignment="1">
      <alignment vertical="top"/>
    </xf>
    <xf numFmtId="0" fontId="18" fillId="6" borderId="0" xfId="0" applyFont="1" applyFill="1" applyBorder="1" applyAlignment="1">
      <alignment horizontal="center"/>
    </xf>
    <xf numFmtId="0" fontId="52" fillId="6" borderId="0" xfId="0" applyFont="1" applyFill="1" applyBorder="1" applyAlignment="1">
      <alignment horizontal="right"/>
    </xf>
    <xf numFmtId="170" fontId="18" fillId="7" borderId="0" xfId="0" applyNumberFormat="1" applyFont="1" applyFill="1" applyBorder="1" applyAlignment="1">
      <alignment horizontal="center"/>
    </xf>
    <xf numFmtId="170" fontId="18" fillId="7" borderId="4" xfId="0" applyNumberFormat="1" applyFont="1" applyFill="1" applyBorder="1" applyAlignment="1">
      <alignment horizontal="center" vertical="top"/>
    </xf>
    <xf numFmtId="0" fontId="18" fillId="7" borderId="4" xfId="0" applyFont="1" applyFill="1" applyBorder="1" applyAlignment="1">
      <alignment horizontal="center" vertical="top"/>
    </xf>
    <xf numFmtId="170" fontId="52" fillId="7" borderId="4" xfId="0" applyNumberFormat="1" applyFont="1" applyFill="1" applyBorder="1" applyAlignment="1">
      <alignment horizontal="center" vertical="top"/>
    </xf>
    <xf numFmtId="3" fontId="7" fillId="7" borderId="5" xfId="0" quotePrefix="1" applyNumberFormat="1" applyFont="1" applyFill="1" applyBorder="1" applyAlignment="1">
      <alignment horizontal="right"/>
    </xf>
    <xf numFmtId="3" fontId="7" fillId="6" borderId="5" xfId="0" quotePrefix="1" applyNumberFormat="1" applyFont="1" applyFill="1" applyBorder="1" applyAlignment="1">
      <alignment horizontal="right"/>
    </xf>
    <xf numFmtId="3" fontId="35" fillId="7" borderId="5" xfId="0" quotePrefix="1" applyNumberFormat="1" applyFont="1" applyFill="1" applyBorder="1" applyAlignment="1">
      <alignment horizontal="right"/>
    </xf>
    <xf numFmtId="3" fontId="35" fillId="6" borderId="5" xfId="0" quotePrefix="1" applyNumberFormat="1" applyFont="1" applyFill="1" applyBorder="1" applyAlignment="1">
      <alignment horizontal="right"/>
    </xf>
    <xf numFmtId="3" fontId="7" fillId="7" borderId="6" xfId="0" quotePrefix="1" applyNumberFormat="1" applyFont="1" applyFill="1" applyBorder="1" applyAlignment="1">
      <alignment horizontal="right"/>
    </xf>
    <xf numFmtId="3" fontId="7" fillId="6" borderId="6" xfId="0" quotePrefix="1" applyNumberFormat="1" applyFont="1" applyFill="1" applyBorder="1" applyAlignment="1">
      <alignment horizontal="right"/>
    </xf>
    <xf numFmtId="3" fontId="35" fillId="7" borderId="6" xfId="0" quotePrefix="1" applyNumberFormat="1" applyFont="1" applyFill="1" applyBorder="1" applyAlignment="1">
      <alignment horizontal="right"/>
    </xf>
    <xf numFmtId="3" fontId="35" fillId="6" borderId="6" xfId="0" quotePrefix="1" applyNumberFormat="1" applyFont="1" applyFill="1" applyBorder="1" applyAlignment="1">
      <alignment horizontal="right"/>
    </xf>
    <xf numFmtId="3" fontId="8" fillId="7" borderId="0" xfId="0" quotePrefix="1" applyNumberFormat="1" applyFont="1" applyFill="1" applyBorder="1" applyAlignment="1">
      <alignment horizontal="right" vertical="center"/>
    </xf>
    <xf numFmtId="3" fontId="51" fillId="7" borderId="7" xfId="0" applyNumberFormat="1" applyFont="1" applyFill="1" applyBorder="1" applyAlignment="1">
      <alignment horizontal="right" vertical="center"/>
    </xf>
    <xf numFmtId="3" fontId="51" fillId="6" borderId="7" xfId="0" applyNumberFormat="1" applyFont="1" applyFill="1" applyBorder="1" applyAlignment="1">
      <alignment horizontal="right" vertical="center"/>
    </xf>
    <xf numFmtId="170" fontId="4" fillId="4" borderId="8" xfId="0" applyNumberFormat="1" applyFont="1" applyFill="1" applyBorder="1" applyAlignment="1">
      <alignment horizontal="center"/>
    </xf>
    <xf numFmtId="170" fontId="4" fillId="4" borderId="0" xfId="0" applyNumberFormat="1" applyFont="1" applyFill="1" applyBorder="1" applyAlignment="1">
      <alignment horizontal="center"/>
    </xf>
    <xf numFmtId="0" fontId="20" fillId="0" borderId="0" xfId="0" applyFont="1" applyFill="1" applyBorder="1" applyAlignment="1">
      <alignment horizontal="left" vertical="top"/>
    </xf>
    <xf numFmtId="0" fontId="20" fillId="0" borderId="0" xfId="0" applyFont="1" applyFill="1" applyAlignment="1">
      <alignment horizontal="right"/>
    </xf>
    <xf numFmtId="0" fontId="2" fillId="0" borderId="4" xfId="0" applyFont="1" applyFill="1" applyBorder="1" applyAlignment="1">
      <alignment horizontal="center"/>
    </xf>
    <xf numFmtId="170" fontId="4" fillId="7" borderId="5" xfId="0" applyNumberFormat="1" applyFont="1" applyFill="1" applyBorder="1" applyAlignment="1">
      <alignment horizontal="center" vertical="center"/>
    </xf>
    <xf numFmtId="170" fontId="4" fillId="6" borderId="5" xfId="0" applyNumberFormat="1" applyFont="1" applyFill="1" applyBorder="1" applyAlignment="1">
      <alignment horizontal="center" vertical="center"/>
    </xf>
    <xf numFmtId="170" fontId="4" fillId="7" borderId="6" xfId="0" applyNumberFormat="1" applyFont="1" applyFill="1" applyBorder="1" applyAlignment="1">
      <alignment horizontal="center" vertical="center"/>
    </xf>
    <xf numFmtId="170" fontId="4" fillId="6" borderId="6" xfId="0" applyNumberFormat="1" applyFont="1" applyFill="1" applyBorder="1" applyAlignment="1">
      <alignment horizontal="center" vertical="center"/>
    </xf>
    <xf numFmtId="170" fontId="4" fillId="7" borderId="13" xfId="0" applyNumberFormat="1" applyFont="1" applyFill="1" applyBorder="1" applyAlignment="1">
      <alignment horizontal="center" vertical="center"/>
    </xf>
    <xf numFmtId="170" fontId="4" fillId="6" borderId="13" xfId="0" applyNumberFormat="1" applyFont="1" applyFill="1" applyBorder="1" applyAlignment="1">
      <alignment horizontal="center" vertical="center"/>
    </xf>
    <xf numFmtId="3" fontId="19" fillId="7" borderId="7" xfId="0" quotePrefix="1" applyNumberFormat="1" applyFont="1" applyFill="1" applyBorder="1" applyAlignment="1">
      <alignment horizontal="center" vertical="center"/>
    </xf>
    <xf numFmtId="3" fontId="19" fillId="15" borderId="7" xfId="0" quotePrefix="1" applyNumberFormat="1" applyFont="1" applyFill="1" applyBorder="1" applyAlignment="1">
      <alignment horizontal="center" vertical="center"/>
    </xf>
    <xf numFmtId="0" fontId="19" fillId="13" borderId="7" xfId="0" applyNumberFormat="1" applyFont="1" applyFill="1" applyBorder="1" applyAlignment="1">
      <alignment horizontal="center" vertical="center"/>
    </xf>
    <xf numFmtId="1" fontId="4" fillId="4" borderId="0" xfId="0" applyNumberFormat="1" applyFont="1" applyFill="1" applyAlignment="1">
      <alignment horizontal="left"/>
    </xf>
    <xf numFmtId="1" fontId="4" fillId="4" borderId="0" xfId="0" applyNumberFormat="1" applyFont="1" applyFill="1" applyAlignment="1"/>
    <xf numFmtId="3" fontId="4" fillId="0" borderId="0" xfId="0" applyNumberFormat="1" applyFont="1" applyAlignment="1"/>
    <xf numFmtId="1" fontId="4" fillId="0" borderId="0" xfId="0" applyNumberFormat="1" applyFont="1" applyAlignment="1"/>
    <xf numFmtId="0" fontId="120" fillId="0" borderId="0" xfId="0" applyFont="1" applyAlignment="1">
      <alignment horizontal="left"/>
    </xf>
    <xf numFmtId="0" fontId="120" fillId="0" borderId="0" xfId="0" applyFont="1" applyAlignment="1"/>
    <xf numFmtId="0" fontId="130" fillId="0" borderId="0" xfId="0" applyFont="1" applyAlignment="1"/>
    <xf numFmtId="0" fontId="0" fillId="0" borderId="0" xfId="0" applyFont="1" applyAlignment="1"/>
    <xf numFmtId="3" fontId="4" fillId="0" borderId="0" xfId="0" applyNumberFormat="1" applyFont="1" applyFill="1"/>
    <xf numFmtId="0" fontId="19" fillId="0" borderId="0" xfId="0" applyFont="1" applyFill="1" applyAlignment="1">
      <alignment horizontal="left"/>
    </xf>
    <xf numFmtId="0" fontId="4" fillId="0" borderId="0" xfId="0" applyFont="1" applyFill="1" applyAlignment="1">
      <alignment wrapText="1"/>
    </xf>
    <xf numFmtId="0" fontId="19" fillId="0" borderId="0" xfId="0" applyFont="1" applyFill="1" applyAlignment="1">
      <alignment wrapText="1"/>
    </xf>
    <xf numFmtId="0" fontId="19" fillId="0" borderId="0" xfId="0" applyFont="1" applyFill="1" applyAlignment="1">
      <alignment horizontal="right"/>
    </xf>
    <xf numFmtId="10" fontId="19" fillId="0" borderId="0" xfId="0" applyNumberFormat="1" applyFont="1" applyFill="1" applyAlignment="1">
      <alignment horizontal="center"/>
    </xf>
    <xf numFmtId="0" fontId="120" fillId="0" borderId="0" xfId="0" applyFont="1" applyFill="1" applyAlignment="1">
      <alignment horizontal="center"/>
    </xf>
    <xf numFmtId="10" fontId="120" fillId="0" borderId="0" xfId="0" applyNumberFormat="1" applyFont="1" applyFill="1" applyAlignment="1">
      <alignment horizontal="center"/>
    </xf>
    <xf numFmtId="10" fontId="19" fillId="0" borderId="0" xfId="0" applyNumberFormat="1" applyFont="1" applyFill="1"/>
    <xf numFmtId="171" fontId="19" fillId="0" borderId="0" xfId="0" applyNumberFormat="1" applyFont="1" applyFill="1"/>
    <xf numFmtId="0" fontId="122" fillId="0" borderId="0" xfId="4" quotePrefix="1" applyFont="1" applyAlignment="1">
      <alignment horizontal="right"/>
    </xf>
    <xf numFmtId="0" fontId="131" fillId="0" borderId="0" xfId="0" applyFont="1"/>
    <xf numFmtId="0" fontId="2" fillId="4" borderId="0" xfId="0" applyFont="1" applyFill="1" applyAlignment="1">
      <alignment horizontal="right"/>
    </xf>
    <xf numFmtId="0" fontId="2" fillId="4" borderId="4" xfId="0" applyFont="1" applyFill="1" applyBorder="1" applyAlignment="1">
      <alignment horizontal="right"/>
    </xf>
    <xf numFmtId="0" fontId="7" fillId="6" borderId="0" xfId="0" applyFont="1" applyFill="1" applyBorder="1" applyAlignment="1">
      <alignment horizontal="left" vertical="top" wrapText="1"/>
    </xf>
    <xf numFmtId="0" fontId="7" fillId="7" borderId="0" xfId="0" applyFont="1" applyFill="1" applyBorder="1" applyAlignment="1">
      <alignment horizontal="right" vertical="top" wrapText="1"/>
    </xf>
    <xf numFmtId="0" fontId="7" fillId="6" borderId="0" xfId="0" applyFont="1" applyFill="1" applyBorder="1" applyAlignment="1">
      <alignment horizontal="right" vertical="top" wrapText="1"/>
    </xf>
    <xf numFmtId="0" fontId="4" fillId="0" borderId="0" xfId="0" applyFont="1" applyAlignment="1">
      <alignment vertical="top" wrapText="1"/>
    </xf>
    <xf numFmtId="1" fontId="4" fillId="4" borderId="8" xfId="0" applyNumberFormat="1" applyFont="1" applyFill="1" applyBorder="1" applyAlignment="1">
      <alignment horizontal="left"/>
    </xf>
    <xf numFmtId="171" fontId="7" fillId="4" borderId="8" xfId="0" applyNumberFormat="1" applyFont="1" applyFill="1" applyBorder="1" applyAlignment="1">
      <alignment horizontal="right"/>
    </xf>
    <xf numFmtId="1" fontId="20" fillId="4" borderId="0" xfId="0" applyNumberFormat="1" applyFont="1" applyFill="1" applyBorder="1" applyAlignment="1">
      <alignment horizontal="left" vertical="center"/>
    </xf>
    <xf numFmtId="171" fontId="7" fillId="4" borderId="4" xfId="0" applyNumberFormat="1" applyFont="1" applyFill="1" applyBorder="1" applyAlignment="1">
      <alignment horizontal="right"/>
    </xf>
    <xf numFmtId="0" fontId="7" fillId="6" borderId="11" xfId="0" applyFont="1" applyFill="1" applyBorder="1" applyAlignment="1">
      <alignment horizontal="left" vertical="top" wrapText="1"/>
    </xf>
    <xf numFmtId="0" fontId="7" fillId="7" borderId="11" xfId="0" applyFont="1" applyFill="1" applyBorder="1" applyAlignment="1">
      <alignment horizontal="right" vertical="top" wrapText="1"/>
    </xf>
    <xf numFmtId="0" fontId="7" fillId="6" borderId="11" xfId="0" applyFont="1" applyFill="1" applyBorder="1" applyAlignment="1">
      <alignment horizontal="right" vertical="top" wrapText="1"/>
    </xf>
    <xf numFmtId="1" fontId="8" fillId="6" borderId="7" xfId="0" applyNumberFormat="1" applyFont="1" applyFill="1" applyBorder="1" applyAlignment="1">
      <alignment horizontal="left" vertical="center"/>
    </xf>
    <xf numFmtId="1" fontId="7" fillId="6" borderId="28" xfId="0" applyNumberFormat="1" applyFont="1" applyFill="1" applyBorder="1" applyAlignment="1">
      <alignment horizontal="left" wrapText="1"/>
    </xf>
    <xf numFmtId="170" fontId="7" fillId="7" borderId="28" xfId="0" applyNumberFormat="1" applyFont="1" applyFill="1" applyBorder="1" applyAlignment="1">
      <alignment horizontal="right" vertical="center"/>
    </xf>
    <xf numFmtId="170" fontId="7" fillId="6" borderId="28" xfId="0" applyNumberFormat="1" applyFont="1" applyFill="1" applyBorder="1" applyAlignment="1">
      <alignment horizontal="right" vertical="center"/>
    </xf>
    <xf numFmtId="1" fontId="4" fillId="4" borderId="0" xfId="0" applyNumberFormat="1" applyFont="1" applyFill="1" applyBorder="1" applyAlignment="1">
      <alignment horizontal="left"/>
    </xf>
    <xf numFmtId="0" fontId="4" fillId="0" borderId="0" xfId="0" quotePrefix="1" applyFont="1"/>
    <xf numFmtId="0" fontId="18" fillId="0" borderId="0" xfId="4" applyFont="1" applyFill="1" applyAlignment="1"/>
    <xf numFmtId="0" fontId="20" fillId="0" borderId="4" xfId="0" applyFont="1" applyFill="1" applyBorder="1" applyAlignment="1">
      <alignment vertical="top"/>
    </xf>
    <xf numFmtId="0" fontId="20" fillId="0" borderId="0" xfId="0" applyFont="1" applyFill="1" applyBorder="1" applyAlignment="1">
      <alignment vertical="top"/>
    </xf>
    <xf numFmtId="0" fontId="7" fillId="13" borderId="11" xfId="0" applyFont="1" applyFill="1" applyBorder="1" applyAlignment="1">
      <alignment vertical="center"/>
    </xf>
    <xf numFmtId="0" fontId="8" fillId="15" borderId="29" xfId="0" applyFont="1" applyFill="1" applyBorder="1" applyAlignment="1">
      <alignment horizontal="left" vertical="center"/>
    </xf>
    <xf numFmtId="0" fontId="4" fillId="15" borderId="0" xfId="0" applyFont="1" applyFill="1" applyAlignment="1">
      <alignment vertical="center"/>
    </xf>
    <xf numFmtId="0" fontId="7" fillId="7" borderId="30" xfId="0" applyFont="1" applyFill="1" applyBorder="1" applyAlignment="1">
      <alignment horizontal="right" vertical="center"/>
    </xf>
    <xf numFmtId="1" fontId="7" fillId="6" borderId="12" xfId="0" applyNumberFormat="1" applyFont="1" applyFill="1" applyBorder="1" applyAlignment="1">
      <alignment horizontal="left"/>
    </xf>
    <xf numFmtId="171" fontId="7" fillId="7" borderId="31" xfId="0" applyNumberFormat="1" applyFont="1" applyFill="1" applyBorder="1" applyAlignment="1">
      <alignment horizontal="right"/>
    </xf>
    <xf numFmtId="171" fontId="7" fillId="0" borderId="0" xfId="0" applyNumberFormat="1" applyFont="1" applyFill="1" applyBorder="1" applyAlignment="1">
      <alignment horizontal="right"/>
    </xf>
    <xf numFmtId="1" fontId="7" fillId="6" borderId="13" xfId="0" applyNumberFormat="1" applyFont="1" applyFill="1" applyBorder="1" applyAlignment="1">
      <alignment horizontal="left"/>
    </xf>
    <xf numFmtId="171" fontId="7" fillId="6" borderId="13" xfId="0" applyNumberFormat="1" applyFont="1" applyFill="1" applyBorder="1" applyAlignment="1">
      <alignment horizontal="right"/>
    </xf>
    <xf numFmtId="171" fontId="7" fillId="7" borderId="13" xfId="0" applyNumberFormat="1" applyFont="1" applyFill="1" applyBorder="1" applyAlignment="1">
      <alignment horizontal="right"/>
    </xf>
    <xf numFmtId="171" fontId="7" fillId="7" borderId="32" xfId="0" applyNumberFormat="1" applyFont="1" applyFill="1" applyBorder="1" applyAlignment="1">
      <alignment horizontal="right"/>
    </xf>
    <xf numFmtId="171" fontId="7" fillId="7" borderId="33" xfId="0" applyNumberFormat="1" applyFont="1" applyFill="1" applyBorder="1" applyAlignment="1">
      <alignment horizontal="right"/>
    </xf>
    <xf numFmtId="171" fontId="7" fillId="7" borderId="34" xfId="0" applyNumberFormat="1" applyFont="1" applyFill="1" applyBorder="1" applyAlignment="1">
      <alignment horizontal="right"/>
    </xf>
    <xf numFmtId="1" fontId="8" fillId="6" borderId="13" xfId="0" applyNumberFormat="1" applyFont="1" applyFill="1" applyBorder="1" applyAlignment="1">
      <alignment horizontal="left"/>
    </xf>
    <xf numFmtId="171" fontId="8" fillId="7" borderId="13" xfId="0" applyNumberFormat="1" applyFont="1" applyFill="1" applyBorder="1" applyAlignment="1">
      <alignment horizontal="right"/>
    </xf>
    <xf numFmtId="171" fontId="8" fillId="6" borderId="13" xfId="0" applyNumberFormat="1" applyFont="1" applyFill="1" applyBorder="1" applyAlignment="1">
      <alignment horizontal="right"/>
    </xf>
    <xf numFmtId="171" fontId="8" fillId="7" borderId="34" xfId="0" applyNumberFormat="1" applyFont="1" applyFill="1" applyBorder="1" applyAlignment="1">
      <alignment horizontal="right"/>
    </xf>
    <xf numFmtId="171" fontId="8" fillId="0" borderId="0" xfId="0" applyNumberFormat="1" applyFont="1" applyFill="1" applyBorder="1" applyAlignment="1">
      <alignment horizontal="right"/>
    </xf>
    <xf numFmtId="1" fontId="7" fillId="6" borderId="7" xfId="0" applyNumberFormat="1" applyFont="1" applyFill="1" applyBorder="1" applyAlignment="1">
      <alignment horizontal="left" vertical="center"/>
    </xf>
    <xf numFmtId="171" fontId="35" fillId="7" borderId="7" xfId="0" applyNumberFormat="1" applyFont="1" applyFill="1" applyBorder="1" applyAlignment="1">
      <alignment horizontal="right" vertical="center"/>
    </xf>
    <xf numFmtId="171" fontId="7" fillId="7" borderId="7" xfId="0" applyNumberFormat="1" applyFont="1" applyFill="1" applyBorder="1" applyAlignment="1">
      <alignment horizontal="right" vertical="center"/>
    </xf>
    <xf numFmtId="171" fontId="7" fillId="7" borderId="35" xfId="0" applyNumberFormat="1" applyFont="1" applyFill="1" applyBorder="1" applyAlignment="1">
      <alignment horizontal="right" vertical="center"/>
    </xf>
    <xf numFmtId="171" fontId="7" fillId="0" borderId="0" xfId="0" applyNumberFormat="1" applyFont="1" applyFill="1" applyBorder="1" applyAlignment="1">
      <alignment horizontal="right" vertical="center"/>
    </xf>
    <xf numFmtId="1" fontId="7" fillId="0" borderId="0" xfId="0" applyNumberFormat="1" applyFont="1" applyFill="1" applyBorder="1" applyAlignment="1">
      <alignment horizontal="left"/>
    </xf>
    <xf numFmtId="1" fontId="20" fillId="0" borderId="0" xfId="0" applyNumberFormat="1" applyFont="1" applyFill="1" applyBorder="1" applyAlignment="1">
      <alignment horizontal="left"/>
    </xf>
    <xf numFmtId="1" fontId="7" fillId="0" borderId="4" xfId="0" applyNumberFormat="1" applyFont="1" applyFill="1" applyBorder="1" applyAlignment="1">
      <alignment horizontal="left"/>
    </xf>
    <xf numFmtId="171" fontId="7" fillId="0" borderId="4" xfId="0" applyNumberFormat="1" applyFont="1" applyFill="1" applyBorder="1" applyAlignment="1">
      <alignment horizontal="right"/>
    </xf>
    <xf numFmtId="170" fontId="7" fillId="0" borderId="4" xfId="0" applyNumberFormat="1" applyFont="1" applyFill="1" applyBorder="1" applyAlignment="1">
      <alignment horizontal="right"/>
    </xf>
    <xf numFmtId="0" fontId="4" fillId="7" borderId="0" xfId="0" applyFont="1" applyFill="1" applyAlignment="1">
      <alignment horizontal="right"/>
    </xf>
    <xf numFmtId="0" fontId="4" fillId="7" borderId="0" xfId="0" applyFont="1" applyFill="1" applyBorder="1" applyAlignment="1">
      <alignment horizontal="right" vertical="center"/>
    </xf>
    <xf numFmtId="0" fontId="7" fillId="7" borderId="36" xfId="0" applyFont="1" applyFill="1" applyBorder="1" applyAlignment="1">
      <alignment horizontal="right" vertical="center"/>
    </xf>
    <xf numFmtId="0" fontId="4" fillId="7" borderId="4" xfId="0" applyFont="1" applyFill="1" applyBorder="1" applyAlignment="1">
      <alignment horizontal="right" vertical="top"/>
    </xf>
    <xf numFmtId="170" fontId="7" fillId="7" borderId="33" xfId="0" applyNumberFormat="1" applyFont="1" applyFill="1" applyBorder="1" applyAlignment="1">
      <alignment horizontal="right"/>
    </xf>
    <xf numFmtId="170" fontId="7" fillId="7" borderId="32" xfId="0" applyNumberFormat="1" applyFont="1" applyFill="1" applyBorder="1" applyAlignment="1">
      <alignment horizontal="right"/>
    </xf>
    <xf numFmtId="170" fontId="7" fillId="7" borderId="13" xfId="0" applyNumberFormat="1" applyFont="1" applyFill="1" applyBorder="1" applyAlignment="1">
      <alignment horizontal="right"/>
    </xf>
    <xf numFmtId="0" fontId="1" fillId="0" borderId="0" xfId="0" applyFont="1" applyBorder="1"/>
    <xf numFmtId="170" fontId="8" fillId="7" borderId="5" xfId="0" applyNumberFormat="1" applyFont="1" applyFill="1" applyBorder="1" applyAlignment="1">
      <alignment horizontal="right"/>
    </xf>
    <xf numFmtId="170" fontId="8" fillId="6" borderId="6" xfId="0" applyNumberFormat="1" applyFont="1" applyFill="1" applyBorder="1" applyAlignment="1">
      <alignment horizontal="right"/>
    </xf>
    <xf numFmtId="170" fontId="8" fillId="7" borderId="6" xfId="0" applyNumberFormat="1" applyFont="1" applyFill="1" applyBorder="1" applyAlignment="1">
      <alignment horizontal="right"/>
    </xf>
    <xf numFmtId="170" fontId="8" fillId="7" borderId="32" xfId="0" applyNumberFormat="1" applyFont="1" applyFill="1" applyBorder="1" applyAlignment="1">
      <alignment horizontal="right"/>
    </xf>
    <xf numFmtId="0" fontId="12" fillId="0" borderId="0" xfId="0" applyFont="1" applyBorder="1"/>
    <xf numFmtId="170" fontId="8" fillId="7" borderId="13" xfId="0" applyNumberFormat="1" applyFont="1" applyFill="1" applyBorder="1" applyAlignment="1">
      <alignment horizontal="right"/>
    </xf>
    <xf numFmtId="170" fontId="35" fillId="7" borderId="6" xfId="0" applyNumberFormat="1" applyFont="1" applyFill="1" applyBorder="1" applyAlignment="1">
      <alignment horizontal="right" vertical="center"/>
    </xf>
    <xf numFmtId="170" fontId="7" fillId="6" borderId="6" xfId="0" applyNumberFormat="1" applyFont="1" applyFill="1" applyBorder="1" applyAlignment="1">
      <alignment horizontal="right" vertical="center"/>
    </xf>
    <xf numFmtId="170" fontId="7" fillId="7" borderId="6" xfId="0" applyNumberFormat="1" applyFont="1" applyFill="1" applyBorder="1" applyAlignment="1">
      <alignment horizontal="right" vertical="center"/>
    </xf>
    <xf numFmtId="170" fontId="7" fillId="7" borderId="32" xfId="0" applyNumberFormat="1" applyFont="1" applyFill="1" applyBorder="1" applyAlignment="1">
      <alignment horizontal="right" vertical="center"/>
    </xf>
    <xf numFmtId="1" fontId="4" fillId="0" borderId="8" xfId="0" applyNumberFormat="1" applyFont="1" applyFill="1" applyBorder="1" applyAlignment="1">
      <alignment horizontal="left"/>
    </xf>
    <xf numFmtId="171" fontId="7" fillId="0" borderId="8" xfId="0" applyNumberFormat="1" applyFont="1" applyFill="1" applyBorder="1" applyAlignment="1">
      <alignment horizontal="right"/>
    </xf>
    <xf numFmtId="170" fontId="7" fillId="7" borderId="37" xfId="0" applyNumberFormat="1" applyFont="1" applyFill="1" applyBorder="1" applyAlignment="1">
      <alignment horizontal="right" vertical="center"/>
    </xf>
    <xf numFmtId="1" fontId="4" fillId="0" borderId="0" xfId="0" applyNumberFormat="1" applyFont="1" applyFill="1" applyBorder="1" applyAlignment="1">
      <alignment horizontal="left"/>
    </xf>
    <xf numFmtId="172" fontId="0" fillId="0" borderId="0" xfId="0" applyNumberFormat="1" applyFill="1"/>
    <xf numFmtId="0" fontId="4" fillId="0" borderId="0" xfId="0" applyFont="1" applyFill="1" applyAlignment="1">
      <alignment horizontal="right"/>
    </xf>
    <xf numFmtId="0" fontId="20" fillId="0" borderId="0" xfId="0" applyFont="1" applyFill="1" applyAlignment="1">
      <alignment horizontal="center" vertical="top"/>
    </xf>
    <xf numFmtId="0" fontId="7" fillId="6" borderId="11" xfId="0" applyFont="1" applyFill="1" applyBorder="1"/>
    <xf numFmtId="0" fontId="7" fillId="6" borderId="0" xfId="0" applyFont="1" applyFill="1" applyBorder="1"/>
    <xf numFmtId="0" fontId="7" fillId="6" borderId="4" xfId="0" applyFont="1" applyFill="1" applyBorder="1"/>
    <xf numFmtId="3" fontId="7" fillId="7" borderId="4" xfId="0" applyNumberFormat="1" applyFont="1" applyFill="1" applyBorder="1" applyAlignment="1">
      <alignment horizontal="right"/>
    </xf>
    <xf numFmtId="3" fontId="7" fillId="6" borderId="4" xfId="0" applyNumberFormat="1" applyFont="1" applyFill="1" applyBorder="1" applyAlignment="1">
      <alignment horizontal="right"/>
    </xf>
    <xf numFmtId="0" fontId="7" fillId="6" borderId="12" xfId="0" applyFont="1" applyFill="1" applyBorder="1"/>
    <xf numFmtId="0" fontId="7" fillId="6" borderId="6" xfId="0" applyFont="1" applyFill="1" applyBorder="1"/>
    <xf numFmtId="0" fontId="35" fillId="6" borderId="6" xfId="0" applyFont="1" applyFill="1" applyBorder="1"/>
    <xf numFmtId="3" fontId="51" fillId="7" borderId="46" xfId="0" applyNumberFormat="1" applyFont="1" applyFill="1" applyBorder="1" applyAlignment="1">
      <alignment horizontal="right"/>
    </xf>
    <xf numFmtId="170" fontId="35" fillId="6" borderId="12" xfId="0" applyNumberFormat="1" applyFont="1" applyFill="1" applyBorder="1" applyAlignment="1">
      <alignment horizontal="center"/>
    </xf>
    <xf numFmtId="172" fontId="35" fillId="7" borderId="6" xfId="0" applyNumberFormat="1" applyFont="1" applyFill="1" applyBorder="1" applyAlignment="1">
      <alignment horizontal="right"/>
    </xf>
    <xf numFmtId="0" fontId="7" fillId="6" borderId="0" xfId="0" applyFont="1" applyFill="1" applyBorder="1" applyAlignment="1">
      <alignment vertical="center"/>
    </xf>
    <xf numFmtId="171" fontId="7" fillId="7" borderId="0" xfId="0" applyNumberFormat="1" applyFont="1" applyFill="1" applyBorder="1" applyAlignment="1">
      <alignment horizontal="right" vertical="center"/>
    </xf>
    <xf numFmtId="171" fontId="7" fillId="6" borderId="0" xfId="0" applyNumberFormat="1" applyFont="1" applyFill="1" applyBorder="1" applyAlignment="1">
      <alignment horizontal="right" vertical="center"/>
    </xf>
    <xf numFmtId="0" fontId="4" fillId="4" borderId="0" xfId="0" applyFont="1" applyFill="1" applyBorder="1" applyAlignment="1" applyProtection="1">
      <alignment vertical="center"/>
    </xf>
    <xf numFmtId="0" fontId="122" fillId="0" borderId="0" xfId="0" applyFont="1" applyFill="1"/>
    <xf numFmtId="3" fontId="132" fillId="14" borderId="12" xfId="0" applyNumberFormat="1" applyFont="1" applyFill="1" applyBorder="1" applyAlignment="1">
      <alignment horizontal="right" vertical="center"/>
    </xf>
    <xf numFmtId="170" fontId="119" fillId="7" borderId="6" xfId="0" applyNumberFormat="1" applyFont="1" applyFill="1" applyBorder="1" applyAlignment="1">
      <alignment horizontal="center" vertical="center"/>
    </xf>
    <xf numFmtId="0" fontId="7" fillId="7" borderId="11" xfId="0" applyFont="1" applyFill="1" applyBorder="1" applyAlignment="1">
      <alignment horizontal="center" vertical="center"/>
    </xf>
    <xf numFmtId="0" fontId="122" fillId="4" borderId="0" xfId="0" applyFont="1" applyFill="1" applyBorder="1"/>
    <xf numFmtId="0" fontId="122" fillId="4" borderId="0" xfId="0" applyFont="1" applyFill="1" applyBorder="1" applyProtection="1"/>
    <xf numFmtId="0" fontId="7" fillId="14" borderId="11" xfId="0" applyFont="1" applyFill="1" applyBorder="1" applyAlignment="1">
      <alignment horizontal="right" vertical="center"/>
    </xf>
    <xf numFmtId="0" fontId="7" fillId="14" borderId="0" xfId="0" applyFont="1" applyFill="1" applyBorder="1" applyAlignment="1">
      <alignment horizontal="right" vertical="center"/>
    </xf>
    <xf numFmtId="0" fontId="7" fillId="14" borderId="4" xfId="0" applyFont="1" applyFill="1" applyBorder="1" applyAlignment="1">
      <alignment horizontal="right" vertical="top"/>
    </xf>
    <xf numFmtId="3" fontId="7" fillId="14" borderId="6" xfId="0" applyNumberFormat="1" applyFont="1" applyFill="1" applyBorder="1" applyAlignment="1">
      <alignment horizontal="right"/>
    </xf>
    <xf numFmtId="3" fontId="8" fillId="14" borderId="0" xfId="0" applyNumberFormat="1" applyFont="1" applyFill="1" applyBorder="1" applyAlignment="1">
      <alignment horizontal="right" vertical="center"/>
    </xf>
    <xf numFmtId="0" fontId="19" fillId="15" borderId="0" xfId="0" applyFont="1" applyFill="1" applyAlignment="1">
      <alignment horizontal="center" vertical="center"/>
    </xf>
    <xf numFmtId="0" fontId="35" fillId="6" borderId="16" xfId="0" applyFont="1" applyFill="1" applyBorder="1" applyAlignment="1">
      <alignment vertical="center"/>
    </xf>
    <xf numFmtId="3" fontId="35" fillId="7" borderId="16" xfId="0" applyNumberFormat="1" applyFont="1" applyFill="1" applyBorder="1" applyAlignment="1">
      <alignment vertical="center"/>
    </xf>
    <xf numFmtId="3" fontId="35" fillId="6" borderId="16" xfId="0" applyNumberFormat="1" applyFont="1" applyFill="1" applyBorder="1" applyAlignment="1">
      <alignment vertical="center"/>
    </xf>
    <xf numFmtId="170" fontId="35" fillId="0" borderId="0" xfId="0" applyNumberFormat="1" applyFont="1" applyFill="1" applyBorder="1" applyAlignment="1">
      <alignment vertical="center"/>
    </xf>
    <xf numFmtId="0" fontId="19" fillId="0" borderId="0" xfId="0" applyFont="1" applyFill="1" applyAlignment="1">
      <alignment horizontal="center" vertical="center"/>
    </xf>
    <xf numFmtId="0" fontId="8" fillId="6" borderId="3" xfId="0" applyFont="1" applyFill="1" applyBorder="1" applyAlignment="1">
      <alignment vertical="center"/>
    </xf>
    <xf numFmtId="3" fontId="8" fillId="7" borderId="3" xfId="0" applyNumberFormat="1" applyFont="1" applyFill="1" applyBorder="1" applyAlignment="1">
      <alignment vertical="center"/>
    </xf>
    <xf numFmtId="3" fontId="8" fillId="6" borderId="3" xfId="0" applyNumberFormat="1" applyFont="1" applyFill="1" applyBorder="1" applyAlignment="1">
      <alignment vertical="center"/>
    </xf>
    <xf numFmtId="0" fontId="0" fillId="15" borderId="0" xfId="0" applyFill="1"/>
    <xf numFmtId="0" fontId="32" fillId="15" borderId="0" xfId="0" applyFont="1" applyFill="1" applyAlignment="1">
      <alignment horizontal="right"/>
    </xf>
    <xf numFmtId="0" fontId="32" fillId="0" borderId="0" xfId="0" applyFont="1" applyFill="1" applyAlignment="1">
      <alignment horizontal="right"/>
    </xf>
    <xf numFmtId="170" fontId="7" fillId="14" borderId="11" xfId="0" applyNumberFormat="1" applyFont="1" applyFill="1" applyBorder="1" applyAlignment="1">
      <alignment horizontal="right"/>
    </xf>
    <xf numFmtId="170" fontId="7" fillId="14" borderId="0" xfId="0" applyNumberFormat="1" applyFont="1" applyFill="1" applyBorder="1" applyAlignment="1">
      <alignment horizontal="right"/>
    </xf>
    <xf numFmtId="170" fontId="7" fillId="14" borderId="4" xfId="0" applyNumberFormat="1" applyFont="1" applyFill="1" applyBorder="1" applyAlignment="1">
      <alignment horizontal="right" vertical="top"/>
    </xf>
    <xf numFmtId="170" fontId="7" fillId="14" borderId="5" xfId="0" applyNumberFormat="1" applyFont="1" applyFill="1" applyBorder="1" applyAlignment="1">
      <alignment vertical="center"/>
    </xf>
    <xf numFmtId="170" fontId="8" fillId="14" borderId="7" xfId="0" applyNumberFormat="1" applyFont="1" applyFill="1" applyBorder="1" applyAlignment="1">
      <alignment vertical="center"/>
    </xf>
    <xf numFmtId="170" fontId="7" fillId="14" borderId="16" xfId="0" applyNumberFormat="1" applyFont="1" applyFill="1" applyBorder="1" applyAlignment="1">
      <alignment vertical="center"/>
    </xf>
    <xf numFmtId="170" fontId="35" fillId="14" borderId="16" xfId="0" applyNumberFormat="1" applyFont="1" applyFill="1" applyBorder="1" applyAlignment="1">
      <alignment vertical="center"/>
    </xf>
    <xf numFmtId="170" fontId="51" fillId="6" borderId="0" xfId="0" applyNumberFormat="1" applyFont="1" applyFill="1" applyBorder="1" applyAlignment="1">
      <alignment horizontal="center" vertical="center"/>
    </xf>
    <xf numFmtId="0" fontId="0" fillId="0" borderId="4" xfId="0" applyFill="1" applyBorder="1" applyAlignment="1"/>
    <xf numFmtId="0" fontId="0" fillId="0" borderId="0" xfId="0" applyFill="1" applyBorder="1" applyAlignment="1"/>
    <xf numFmtId="0" fontId="8" fillId="13" borderId="30" xfId="0" applyFont="1" applyFill="1" applyBorder="1" applyAlignment="1">
      <alignment horizontal="left" vertical="top"/>
    </xf>
    <xf numFmtId="0" fontId="7" fillId="13" borderId="0" xfId="0" applyFont="1" applyFill="1" applyBorder="1" applyAlignment="1">
      <alignment horizontal="right" vertical="top"/>
    </xf>
    <xf numFmtId="0" fontId="7" fillId="13" borderId="0" xfId="0" applyFont="1" applyFill="1" applyBorder="1" applyAlignment="1">
      <alignment horizontal="right"/>
    </xf>
    <xf numFmtId="0" fontId="8" fillId="15" borderId="30" xfId="0" applyFont="1" applyFill="1" applyBorder="1" applyAlignment="1">
      <alignment horizontal="left" vertical="top"/>
    </xf>
    <xf numFmtId="0" fontId="7" fillId="15" borderId="0" xfId="0" applyFont="1" applyFill="1" applyBorder="1" applyAlignment="1">
      <alignment horizontal="right" vertical="top"/>
    </xf>
    <xf numFmtId="0" fontId="7" fillId="15" borderId="0" xfId="0" applyFont="1" applyFill="1" applyBorder="1" applyAlignment="1">
      <alignment horizontal="right"/>
    </xf>
    <xf numFmtId="0" fontId="8" fillId="6" borderId="30" xfId="0" applyFont="1" applyFill="1" applyBorder="1" applyAlignment="1">
      <alignment horizontal="left" vertical="top"/>
    </xf>
    <xf numFmtId="0" fontId="7" fillId="6" borderId="0" xfId="0" applyFont="1" applyFill="1" applyBorder="1" applyAlignment="1">
      <alignment horizontal="left" vertical="center"/>
    </xf>
    <xf numFmtId="0" fontId="7" fillId="6" borderId="30" xfId="0" applyFont="1" applyFill="1" applyBorder="1" applyAlignment="1">
      <alignment horizontal="right" vertical="center"/>
    </xf>
    <xf numFmtId="0" fontId="7" fillId="7" borderId="0" xfId="0" quotePrefix="1" applyFont="1" applyFill="1" applyBorder="1" applyAlignment="1">
      <alignment horizontal="right" vertical="center"/>
    </xf>
    <xf numFmtId="0" fontId="18" fillId="7" borderId="0" xfId="0" applyFont="1" applyFill="1" applyBorder="1" applyAlignment="1">
      <alignment horizontal="right" vertical="center"/>
    </xf>
    <xf numFmtId="0" fontId="18" fillId="6" borderId="0" xfId="0" applyFont="1" applyFill="1" applyBorder="1" applyAlignment="1">
      <alignment horizontal="right" vertical="center"/>
    </xf>
    <xf numFmtId="0" fontId="18" fillId="6" borderId="30" xfId="0" applyFont="1" applyFill="1" applyBorder="1" applyAlignment="1">
      <alignment horizontal="left" vertical="center"/>
    </xf>
    <xf numFmtId="1" fontId="7" fillId="6" borderId="38" xfId="0" applyNumberFormat="1" applyFont="1" applyFill="1" applyBorder="1" applyAlignment="1">
      <alignment horizontal="left"/>
    </xf>
    <xf numFmtId="3" fontId="7" fillId="7" borderId="38" xfId="0" applyNumberFormat="1" applyFont="1" applyFill="1" applyBorder="1" applyAlignment="1">
      <alignment horizontal="right"/>
    </xf>
    <xf numFmtId="170" fontId="7" fillId="6" borderId="39" xfId="0" applyNumberFormat="1" applyFont="1" applyFill="1" applyBorder="1" applyAlignment="1">
      <alignment horizontal="right"/>
    </xf>
    <xf numFmtId="170" fontId="7" fillId="7" borderId="38" xfId="0" applyNumberFormat="1" applyFont="1" applyFill="1" applyBorder="1" applyAlignment="1">
      <alignment horizontal="right"/>
    </xf>
    <xf numFmtId="170" fontId="7" fillId="6" borderId="38" xfId="0" applyNumberFormat="1" applyFont="1" applyFill="1" applyBorder="1" applyAlignment="1">
      <alignment horizontal="right"/>
    </xf>
    <xf numFmtId="170" fontId="7" fillId="6" borderId="40" xfId="0" applyNumberFormat="1" applyFont="1" applyFill="1" applyBorder="1" applyAlignment="1">
      <alignment horizontal="right"/>
    </xf>
    <xf numFmtId="170" fontId="7" fillId="7" borderId="41" xfId="0" applyNumberFormat="1" applyFont="1" applyFill="1" applyBorder="1" applyAlignment="1">
      <alignment horizontal="right"/>
    </xf>
    <xf numFmtId="170" fontId="7" fillId="6" borderId="41" xfId="0" applyNumberFormat="1" applyFont="1" applyFill="1" applyBorder="1" applyAlignment="1">
      <alignment horizontal="right"/>
    </xf>
    <xf numFmtId="170" fontId="7" fillId="6" borderId="54" xfId="0" applyNumberFormat="1" applyFont="1" applyFill="1" applyBorder="1" applyAlignment="1">
      <alignment horizontal="right"/>
    </xf>
    <xf numFmtId="170" fontId="7" fillId="6" borderId="46" xfId="0" applyNumberFormat="1" applyFont="1" applyFill="1" applyBorder="1" applyAlignment="1">
      <alignment horizontal="right"/>
    </xf>
    <xf numFmtId="170" fontId="8" fillId="6" borderId="42" xfId="0" applyNumberFormat="1" applyFont="1" applyFill="1" applyBorder="1" applyAlignment="1">
      <alignment horizontal="right" vertical="center"/>
    </xf>
    <xf numFmtId="170" fontId="8" fillId="7" borderId="5" xfId="0" applyNumberFormat="1" applyFont="1" applyFill="1" applyBorder="1" applyAlignment="1">
      <alignment horizontal="right" vertical="center"/>
    </xf>
    <xf numFmtId="170" fontId="8" fillId="6" borderId="3" xfId="0" applyNumberFormat="1" applyFont="1" applyFill="1" applyBorder="1" applyAlignment="1">
      <alignment horizontal="right" vertical="center"/>
    </xf>
    <xf numFmtId="0" fontId="19" fillId="0" borderId="0" xfId="0" applyFont="1" applyBorder="1" applyAlignment="1">
      <alignment vertical="center"/>
    </xf>
    <xf numFmtId="1" fontId="19" fillId="0" borderId="0" xfId="0" applyNumberFormat="1" applyFont="1" applyFill="1" applyBorder="1" applyAlignment="1">
      <alignment horizontal="left"/>
    </xf>
    <xf numFmtId="0" fontId="4" fillId="0" borderId="0" xfId="0" quotePrefix="1" applyFont="1" applyAlignment="1"/>
    <xf numFmtId="0" fontId="7" fillId="14" borderId="11" xfId="0" applyFont="1" applyFill="1" applyBorder="1" applyAlignment="1">
      <alignment horizontal="right"/>
    </xf>
    <xf numFmtId="4" fontId="7" fillId="6" borderId="5" xfId="0" applyNumberFormat="1" applyFont="1" applyFill="1" applyBorder="1" applyAlignment="1">
      <alignment horizontal="right"/>
    </xf>
    <xf numFmtId="4" fontId="7" fillId="7" borderId="5" xfId="0" applyNumberFormat="1" applyFont="1" applyFill="1" applyBorder="1" applyAlignment="1">
      <alignment horizontal="right"/>
    </xf>
    <xf numFmtId="4" fontId="7" fillId="7" borderId="12" xfId="0" applyNumberFormat="1" applyFont="1" applyFill="1" applyBorder="1" applyAlignment="1">
      <alignment horizontal="right"/>
    </xf>
    <xf numFmtId="2" fontId="8" fillId="6" borderId="0" xfId="0" applyNumberFormat="1" applyFont="1" applyFill="1" applyBorder="1" applyAlignment="1">
      <alignment horizontal="right" vertical="center"/>
    </xf>
    <xf numFmtId="170" fontId="8" fillId="7" borderId="0" xfId="0" applyNumberFormat="1" applyFont="1" applyFill="1" applyBorder="1" applyAlignment="1">
      <alignment horizontal="center" vertical="center"/>
    </xf>
    <xf numFmtId="2" fontId="8" fillId="7" borderId="0" xfId="0" applyNumberFormat="1" applyFont="1" applyFill="1" applyBorder="1" applyAlignment="1">
      <alignment horizontal="right" vertical="center"/>
    </xf>
    <xf numFmtId="0" fontId="20" fillId="0" borderId="0" xfId="0" applyFont="1" applyFill="1" applyAlignment="1">
      <alignment vertical="center"/>
    </xf>
    <xf numFmtId="0" fontId="2" fillId="4" borderId="0" xfId="0" applyFont="1" applyFill="1" applyAlignment="1">
      <alignment horizontal="center"/>
    </xf>
    <xf numFmtId="4" fontId="7" fillId="7" borderId="11" xfId="0" applyNumberFormat="1" applyFont="1" applyFill="1" applyBorder="1" applyAlignment="1">
      <alignment horizontal="right"/>
    </xf>
    <xf numFmtId="0" fontId="7" fillId="7" borderId="11" xfId="0" applyNumberFormat="1" applyFont="1" applyFill="1" applyBorder="1" applyAlignment="1">
      <alignment horizontal="center"/>
    </xf>
    <xf numFmtId="4" fontId="7" fillId="6" borderId="11" xfId="0" applyNumberFormat="1" applyFont="1" applyFill="1" applyBorder="1" applyAlignment="1">
      <alignment horizontal="right"/>
    </xf>
    <xf numFmtId="4" fontId="7" fillId="7" borderId="46" xfId="0" applyNumberFormat="1" applyFont="1" applyFill="1" applyBorder="1" applyAlignment="1">
      <alignment horizontal="right"/>
    </xf>
    <xf numFmtId="0" fontId="7" fillId="7" borderId="46" xfId="0" applyNumberFormat="1" applyFont="1" applyFill="1" applyBorder="1" applyAlignment="1">
      <alignment horizontal="center"/>
    </xf>
    <xf numFmtId="4" fontId="7" fillId="6" borderId="46" xfId="0" applyNumberFormat="1" applyFont="1" applyFill="1" applyBorder="1" applyAlignment="1">
      <alignment horizontal="right"/>
    </xf>
    <xf numFmtId="4" fontId="8" fillId="7" borderId="5" xfId="0" applyNumberFormat="1" applyFont="1" applyFill="1" applyBorder="1" applyAlignment="1">
      <alignment horizontal="right" vertical="center"/>
    </xf>
    <xf numFmtId="4" fontId="8" fillId="7" borderId="3" xfId="0" applyNumberFormat="1" applyFont="1" applyFill="1" applyBorder="1" applyAlignment="1">
      <alignment horizontal="center" vertical="center"/>
    </xf>
    <xf numFmtId="4" fontId="8" fillId="6" borderId="3" xfId="0" applyNumberFormat="1" applyFont="1" applyFill="1" applyBorder="1" applyAlignment="1">
      <alignment horizontal="right" vertical="center"/>
    </xf>
    <xf numFmtId="171" fontId="7" fillId="4" borderId="8" xfId="0" applyNumberFormat="1" applyFont="1" applyFill="1" applyBorder="1" applyAlignment="1">
      <alignment horizontal="center"/>
    </xf>
    <xf numFmtId="171" fontId="7" fillId="4" borderId="0" xfId="0" applyNumberFormat="1" applyFont="1" applyFill="1" applyBorder="1" applyAlignment="1">
      <alignment horizontal="center"/>
    </xf>
    <xf numFmtId="171" fontId="7" fillId="0" borderId="0" xfId="0" applyNumberFormat="1" applyFont="1" applyFill="1" applyBorder="1" applyAlignment="1">
      <alignment horizontal="center"/>
    </xf>
    <xf numFmtId="0" fontId="2" fillId="4" borderId="0" xfId="0" applyFont="1" applyFill="1" applyBorder="1" applyAlignment="1">
      <alignment horizontal="right"/>
    </xf>
    <xf numFmtId="0" fontId="8" fillId="13" borderId="0" xfId="0" applyFont="1" applyFill="1" applyBorder="1" applyAlignment="1">
      <alignment horizontal="left" vertical="center"/>
    </xf>
    <xf numFmtId="0" fontId="7" fillId="13" borderId="0" xfId="0" applyFont="1" applyFill="1" applyBorder="1" applyAlignment="1">
      <alignment horizontal="right" vertical="center"/>
    </xf>
    <xf numFmtId="0" fontId="7" fillId="13" borderId="0" xfId="0" applyFont="1" applyFill="1" applyBorder="1" applyAlignment="1">
      <alignment horizontal="left" vertical="center"/>
    </xf>
    <xf numFmtId="0" fontId="8" fillId="13" borderId="0" xfId="0" applyFont="1" applyFill="1" applyBorder="1" applyAlignment="1">
      <alignment horizontal="right" vertical="center"/>
    </xf>
    <xf numFmtId="0" fontId="7" fillId="15" borderId="0" xfId="0" applyFont="1" applyFill="1" applyBorder="1" applyAlignment="1">
      <alignment horizontal="left" vertical="center"/>
    </xf>
    <xf numFmtId="0" fontId="7" fillId="15" borderId="0" xfId="0" applyFont="1" applyFill="1" applyBorder="1" applyAlignment="1">
      <alignment horizontal="center" vertical="center"/>
    </xf>
    <xf numFmtId="0" fontId="8" fillId="15" borderId="0" xfId="0" applyFont="1" applyFill="1" applyBorder="1" applyAlignment="1">
      <alignment horizontal="right" vertical="center"/>
    </xf>
    <xf numFmtId="0" fontId="8" fillId="19" borderId="0" xfId="0" applyFont="1" applyFill="1" applyBorder="1" applyAlignment="1">
      <alignment horizontal="left" vertical="center"/>
    </xf>
    <xf numFmtId="0" fontId="8" fillId="19" borderId="0" xfId="0" applyFont="1" applyFill="1" applyBorder="1" applyAlignment="1">
      <alignment horizontal="right" vertical="center"/>
    </xf>
    <xf numFmtId="0" fontId="8" fillId="7" borderId="0" xfId="0" applyFont="1" applyFill="1" applyBorder="1" applyAlignment="1">
      <alignment horizontal="right" vertical="center" wrapText="1"/>
    </xf>
    <xf numFmtId="0" fontId="8" fillId="6" borderId="0" xfId="0" applyFont="1" applyFill="1" applyBorder="1" applyAlignment="1">
      <alignment horizontal="right" vertical="center"/>
    </xf>
    <xf numFmtId="0" fontId="8" fillId="19" borderId="30" xfId="0" applyFont="1" applyFill="1" applyBorder="1" applyAlignment="1">
      <alignment horizontal="left" vertical="center"/>
    </xf>
    <xf numFmtId="0" fontId="7" fillId="7" borderId="30" xfId="0" applyFont="1" applyFill="1" applyBorder="1" applyAlignment="1">
      <alignment horizontal="right"/>
    </xf>
    <xf numFmtId="0" fontId="7" fillId="7" borderId="30" xfId="0" applyFont="1" applyFill="1" applyBorder="1" applyAlignment="1">
      <alignment horizontal="right" vertical="top"/>
    </xf>
    <xf numFmtId="0" fontId="7" fillId="7" borderId="36" xfId="0" applyFont="1" applyFill="1" applyBorder="1" applyAlignment="1">
      <alignment horizontal="right" vertical="top"/>
    </xf>
    <xf numFmtId="171" fontId="7" fillId="7" borderId="5" xfId="0" quotePrefix="1" applyNumberFormat="1" applyFont="1" applyFill="1" applyBorder="1" applyAlignment="1">
      <alignment horizontal="right"/>
    </xf>
    <xf numFmtId="171" fontId="7" fillId="6" borderId="5" xfId="0" quotePrefix="1" applyNumberFormat="1" applyFont="1" applyFill="1" applyBorder="1" applyAlignment="1">
      <alignment horizontal="right"/>
    </xf>
    <xf numFmtId="171" fontId="7" fillId="7" borderId="33" xfId="0" quotePrefix="1" applyNumberFormat="1" applyFont="1" applyFill="1" applyBorder="1" applyAlignment="1">
      <alignment horizontal="right"/>
    </xf>
    <xf numFmtId="171" fontId="7" fillId="7" borderId="12" xfId="0" quotePrefix="1" applyNumberFormat="1" applyFont="1" applyFill="1" applyBorder="1" applyAlignment="1">
      <alignment horizontal="right"/>
    </xf>
    <xf numFmtId="171" fontId="35" fillId="7" borderId="12" xfId="0" quotePrefix="1" applyNumberFormat="1" applyFont="1" applyFill="1" applyBorder="1" applyAlignment="1">
      <alignment horizontal="right"/>
    </xf>
    <xf numFmtId="171" fontId="35" fillId="6" borderId="5" xfId="0" quotePrefix="1" applyNumberFormat="1" applyFont="1" applyFill="1" applyBorder="1" applyAlignment="1">
      <alignment horizontal="right"/>
    </xf>
    <xf numFmtId="171" fontId="7" fillId="7" borderId="31" xfId="0" quotePrefix="1" applyNumberFormat="1" applyFont="1" applyFill="1" applyBorder="1" applyAlignment="1">
      <alignment horizontal="right"/>
    </xf>
    <xf numFmtId="171" fontId="35" fillId="7" borderId="6" xfId="0" applyNumberFormat="1" applyFont="1" applyFill="1" applyBorder="1" applyAlignment="1">
      <alignment horizontal="right"/>
    </xf>
    <xf numFmtId="171" fontId="35" fillId="6" borderId="5" xfId="0" applyNumberFormat="1" applyFont="1" applyFill="1" applyBorder="1" applyAlignment="1">
      <alignment horizontal="right"/>
    </xf>
    <xf numFmtId="171" fontId="35" fillId="6" borderId="12" xfId="0" quotePrefix="1" applyNumberFormat="1" applyFont="1" applyFill="1" applyBorder="1" applyAlignment="1">
      <alignment horizontal="right"/>
    </xf>
    <xf numFmtId="171" fontId="7" fillId="7" borderId="11" xfId="0" quotePrefix="1" applyNumberFormat="1" applyFont="1" applyFill="1" applyBorder="1" applyAlignment="1">
      <alignment horizontal="right"/>
    </xf>
    <xf numFmtId="171" fontId="7" fillId="6" borderId="0" xfId="0" quotePrefix="1" applyNumberFormat="1" applyFont="1" applyFill="1" applyBorder="1" applyAlignment="1">
      <alignment horizontal="right"/>
    </xf>
    <xf numFmtId="171" fontId="7" fillId="7" borderId="29" xfId="0" quotePrefix="1" applyNumberFormat="1" applyFont="1" applyFill="1" applyBorder="1" applyAlignment="1">
      <alignment horizontal="right"/>
    </xf>
    <xf numFmtId="171" fontId="7" fillId="7" borderId="46" xfId="0" quotePrefix="1" applyNumberFormat="1" applyFont="1" applyFill="1" applyBorder="1" applyAlignment="1">
      <alignment horizontal="right"/>
    </xf>
    <xf numFmtId="171" fontId="7" fillId="7" borderId="46" xfId="0" applyNumberFormat="1" applyFont="1" applyFill="1" applyBorder="1" applyAlignment="1">
      <alignment horizontal="right"/>
    </xf>
    <xf numFmtId="171" fontId="7" fillId="6" borderId="46" xfId="0" quotePrefix="1" applyNumberFormat="1" applyFont="1" applyFill="1" applyBorder="1" applyAlignment="1">
      <alignment horizontal="right"/>
    </xf>
    <xf numFmtId="171" fontId="7" fillId="7" borderId="54" xfId="0" quotePrefix="1" applyNumberFormat="1" applyFont="1" applyFill="1" applyBorder="1" applyAlignment="1">
      <alignment horizontal="right"/>
    </xf>
    <xf numFmtId="171" fontId="8" fillId="7" borderId="5" xfId="0" quotePrefix="1" applyNumberFormat="1" applyFont="1" applyFill="1" applyBorder="1" applyAlignment="1">
      <alignment horizontal="right" vertical="center"/>
    </xf>
    <xf numFmtId="171" fontId="8" fillId="6" borderId="5" xfId="0" applyNumberFormat="1" applyFont="1" applyFill="1" applyBorder="1" applyAlignment="1">
      <alignment horizontal="right" vertical="center"/>
    </xf>
    <xf numFmtId="171" fontId="8" fillId="7" borderId="42" xfId="0" quotePrefix="1" applyNumberFormat="1" applyFont="1" applyFill="1" applyBorder="1" applyAlignment="1">
      <alignment horizontal="right" vertical="center"/>
    </xf>
    <xf numFmtId="0" fontId="12" fillId="0" borderId="0" xfId="0" applyFont="1" applyBorder="1" applyAlignment="1">
      <alignment vertical="center"/>
    </xf>
    <xf numFmtId="1" fontId="91" fillId="0" borderId="0" xfId="0" applyNumberFormat="1" applyFont="1" applyFill="1" applyBorder="1" applyAlignment="1">
      <alignment horizontal="left"/>
    </xf>
    <xf numFmtId="0" fontId="8" fillId="7" borderId="0" xfId="0" applyFont="1" applyFill="1" applyBorder="1" applyAlignment="1">
      <alignment horizontal="left"/>
    </xf>
    <xf numFmtId="0" fontId="8" fillId="7" borderId="30" xfId="0" applyFont="1" applyFill="1" applyBorder="1" applyAlignment="1">
      <alignment horizontal="left"/>
    </xf>
    <xf numFmtId="0" fontId="8" fillId="6" borderId="4" xfId="0" applyFont="1" applyFill="1" applyBorder="1" applyAlignment="1">
      <alignment horizontal="right"/>
    </xf>
    <xf numFmtId="0" fontId="8" fillId="7" borderId="0" xfId="0" applyFont="1" applyFill="1" applyBorder="1" applyAlignment="1">
      <alignment horizontal="right" wrapText="1"/>
    </xf>
    <xf numFmtId="0" fontId="8" fillId="6" borderId="0" xfId="0" applyFont="1" applyFill="1" applyBorder="1" applyAlignment="1">
      <alignment horizontal="right" wrapText="1"/>
    </xf>
    <xf numFmtId="0" fontId="8" fillId="7" borderId="36" xfId="0" applyFont="1" applyFill="1" applyBorder="1" applyAlignment="1">
      <alignment horizontal="left"/>
    </xf>
    <xf numFmtId="171" fontId="8" fillId="7" borderId="42" xfId="0" applyNumberFormat="1" applyFont="1" applyFill="1" applyBorder="1" applyAlignment="1">
      <alignment horizontal="right" vertical="center"/>
    </xf>
    <xf numFmtId="0" fontId="7" fillId="6" borderId="22" xfId="0" applyFont="1" applyFill="1" applyBorder="1" applyAlignment="1">
      <alignment horizontal="left" vertical="center"/>
    </xf>
    <xf numFmtId="0" fontId="7" fillId="7" borderId="22" xfId="0" applyFont="1" applyFill="1" applyBorder="1" applyAlignment="1">
      <alignment vertical="center"/>
    </xf>
    <xf numFmtId="0" fontId="7" fillId="6" borderId="22" xfId="0" applyFont="1" applyFill="1" applyBorder="1" applyAlignment="1">
      <alignment vertical="center"/>
    </xf>
    <xf numFmtId="1" fontId="7" fillId="4" borderId="43" xfId="0" applyNumberFormat="1" applyFont="1" applyFill="1" applyBorder="1" applyAlignment="1">
      <alignment horizontal="left"/>
    </xf>
    <xf numFmtId="0" fontId="4" fillId="4" borderId="43" xfId="0" applyFont="1" applyFill="1" applyBorder="1"/>
    <xf numFmtId="0" fontId="4" fillId="0" borderId="43" xfId="0" applyFont="1" applyBorder="1"/>
    <xf numFmtId="1" fontId="8" fillId="6" borderId="5" xfId="0" applyNumberFormat="1" applyFont="1" applyFill="1" applyBorder="1" applyAlignment="1">
      <alignment horizontal="left" vertical="center"/>
    </xf>
    <xf numFmtId="170" fontId="8" fillId="7" borderId="3" xfId="0" applyNumberFormat="1" applyFont="1" applyFill="1" applyBorder="1" applyAlignment="1">
      <alignment horizontal="right" vertical="center"/>
    </xf>
    <xf numFmtId="1" fontId="7" fillId="4" borderId="8" xfId="0" applyNumberFormat="1" applyFont="1" applyFill="1" applyBorder="1" applyAlignment="1">
      <alignment horizontal="left"/>
    </xf>
    <xf numFmtId="1" fontId="7" fillId="4" borderId="0" xfId="0" applyNumberFormat="1" applyFont="1" applyFill="1" applyBorder="1" applyAlignment="1">
      <alignment horizontal="left"/>
    </xf>
    <xf numFmtId="3" fontId="4" fillId="4" borderId="43" xfId="0" applyNumberFormat="1" applyFont="1" applyFill="1" applyBorder="1"/>
    <xf numFmtId="3" fontId="4" fillId="0" borderId="43" xfId="0" applyNumberFormat="1" applyFont="1" applyBorder="1"/>
    <xf numFmtId="1" fontId="8" fillId="6" borderId="16" xfId="0" applyNumberFormat="1" applyFont="1" applyFill="1" applyBorder="1" applyAlignment="1">
      <alignment horizontal="left" vertical="center"/>
    </xf>
    <xf numFmtId="3" fontId="8" fillId="7" borderId="16" xfId="0" applyNumberFormat="1" applyFont="1" applyFill="1" applyBorder="1" applyAlignment="1">
      <alignment horizontal="right" vertical="center"/>
    </xf>
    <xf numFmtId="3" fontId="8" fillId="6" borderId="16" xfId="0" applyNumberFormat="1" applyFont="1" applyFill="1" applyBorder="1" applyAlignment="1">
      <alignment horizontal="right" vertical="center"/>
    </xf>
    <xf numFmtId="3" fontId="8" fillId="7" borderId="3" xfId="0" applyNumberFormat="1" applyFont="1" applyFill="1" applyBorder="1" applyAlignment="1">
      <alignment horizontal="right" vertical="center"/>
    </xf>
    <xf numFmtId="0" fontId="7" fillId="6" borderId="5" xfId="0" applyNumberFormat="1" applyFont="1" applyFill="1" applyBorder="1" applyAlignment="1">
      <alignment horizontal="left"/>
    </xf>
    <xf numFmtId="0" fontId="7" fillId="6" borderId="6" xfId="0" applyNumberFormat="1" applyFont="1" applyFill="1" applyBorder="1" applyAlignment="1">
      <alignment horizontal="left"/>
    </xf>
    <xf numFmtId="171" fontId="35" fillId="6" borderId="6" xfId="0" applyNumberFormat="1" applyFont="1" applyFill="1" applyBorder="1" applyAlignment="1">
      <alignment horizontal="right"/>
    </xf>
    <xf numFmtId="1" fontId="33" fillId="0" borderId="0" xfId="0" applyNumberFormat="1" applyFont="1" applyFill="1" applyBorder="1" applyAlignment="1">
      <alignment horizontal="left"/>
    </xf>
    <xf numFmtId="0" fontId="41" fillId="0" borderId="0" xfId="0" applyFont="1" applyAlignment="1">
      <alignment vertical="center"/>
    </xf>
    <xf numFmtId="0" fontId="20" fillId="0" borderId="0" xfId="19" applyFont="1"/>
    <xf numFmtId="0" fontId="48" fillId="0" borderId="0" xfId="19"/>
    <xf numFmtId="0" fontId="92" fillId="0" borderId="0" xfId="19" applyFont="1" applyFill="1"/>
    <xf numFmtId="0" fontId="93" fillId="0" borderId="0" xfId="19" applyFont="1" applyFill="1"/>
    <xf numFmtId="0" fontId="93" fillId="0" borderId="0" xfId="19" applyFont="1"/>
    <xf numFmtId="0" fontId="48" fillId="0" borderId="0" xfId="19" applyFont="1"/>
    <xf numFmtId="0" fontId="48" fillId="0" borderId="3" xfId="19" applyBorder="1"/>
    <xf numFmtId="0" fontId="48" fillId="0" borderId="0" xfId="19" applyFill="1"/>
    <xf numFmtId="0" fontId="48" fillId="11" borderId="0" xfId="19" applyFill="1" applyBorder="1"/>
    <xf numFmtId="0" fontId="48" fillId="11" borderId="0" xfId="19" applyFont="1" applyFill="1" applyBorder="1"/>
    <xf numFmtId="0" fontId="19" fillId="11" borderId="0" xfId="19" applyFont="1" applyFill="1" applyBorder="1"/>
    <xf numFmtId="0" fontId="4" fillId="7" borderId="0" xfId="19" applyFont="1" applyFill="1" applyAlignment="1">
      <alignment horizontal="right"/>
    </xf>
    <xf numFmtId="0" fontId="4" fillId="6" borderId="0" xfId="19" applyFont="1" applyFill="1" applyAlignment="1">
      <alignment horizontal="right"/>
    </xf>
    <xf numFmtId="170" fontId="30" fillId="6" borderId="0" xfId="19" applyNumberFormat="1" applyFont="1" applyFill="1" applyBorder="1" applyAlignment="1">
      <alignment horizontal="center"/>
    </xf>
    <xf numFmtId="170" fontId="30" fillId="7" borderId="0" xfId="19" applyNumberFormat="1" applyFont="1" applyFill="1" applyBorder="1" applyAlignment="1">
      <alignment horizontal="center"/>
    </xf>
    <xf numFmtId="0" fontId="48" fillId="0" borderId="0" xfId="19" applyAlignment="1">
      <alignment horizontal="right"/>
    </xf>
    <xf numFmtId="2" fontId="48" fillId="11" borderId="0" xfId="19" applyNumberFormat="1" applyFill="1" applyBorder="1"/>
    <xf numFmtId="171" fontId="48" fillId="11" borderId="0" xfId="19" applyNumberFormat="1" applyFill="1" applyBorder="1" applyAlignment="1">
      <alignment horizontal="right"/>
    </xf>
    <xf numFmtId="0" fontId="4" fillId="11" borderId="0" xfId="19" applyFont="1" applyFill="1" applyBorder="1" applyAlignment="1">
      <alignment horizontal="right"/>
    </xf>
    <xf numFmtId="2" fontId="48" fillId="11" borderId="0" xfId="19" applyNumberFormat="1" applyFill="1" applyBorder="1" applyAlignment="1">
      <alignment horizontal="right"/>
    </xf>
    <xf numFmtId="2" fontId="48" fillId="0" borderId="0" xfId="19" applyNumberFormat="1" applyAlignment="1">
      <alignment horizontal="right"/>
    </xf>
    <xf numFmtId="0" fontId="19" fillId="7" borderId="0" xfId="19" applyFont="1" applyFill="1" applyBorder="1" applyAlignment="1">
      <alignment horizontal="left"/>
    </xf>
    <xf numFmtId="0" fontId="4" fillId="7" borderId="0" xfId="19" applyFont="1" applyFill="1" applyBorder="1" applyAlignment="1">
      <alignment horizontal="right"/>
    </xf>
    <xf numFmtId="0" fontId="19" fillId="6" borderId="0" xfId="19" applyFont="1" applyFill="1" applyAlignment="1">
      <alignment horizontal="center"/>
    </xf>
    <xf numFmtId="0" fontId="19" fillId="7" borderId="0" xfId="19" applyFont="1" applyFill="1" applyAlignment="1">
      <alignment horizontal="center"/>
    </xf>
    <xf numFmtId="0" fontId="19" fillId="14" borderId="0" xfId="19" applyFont="1" applyFill="1" applyAlignment="1">
      <alignment horizontal="center"/>
    </xf>
    <xf numFmtId="171" fontId="48" fillId="11" borderId="0" xfId="19" applyNumberFormat="1" applyFill="1" applyBorder="1"/>
    <xf numFmtId="0" fontId="19" fillId="11" borderId="0" xfId="19" applyFont="1" applyFill="1" applyBorder="1" applyAlignment="1">
      <alignment horizontal="center"/>
    </xf>
    <xf numFmtId="0" fontId="19" fillId="7" borderId="0" xfId="19" applyFont="1" applyFill="1" applyBorder="1"/>
    <xf numFmtId="0" fontId="4" fillId="6" borderId="0" xfId="19" applyFont="1" applyFill="1" applyBorder="1" applyAlignment="1">
      <alignment horizontal="center"/>
    </xf>
    <xf numFmtId="0" fontId="4" fillId="7" borderId="0" xfId="19" applyFont="1" applyFill="1" applyBorder="1" applyAlignment="1">
      <alignment horizontal="center"/>
    </xf>
    <xf numFmtId="170" fontId="30" fillId="6" borderId="0" xfId="19" applyNumberFormat="1" applyFont="1" applyFill="1" applyBorder="1" applyAlignment="1">
      <alignment horizontal="center" vertical="top"/>
    </xf>
    <xf numFmtId="170" fontId="30" fillId="7" borderId="0" xfId="19" applyNumberFormat="1" applyFont="1" applyFill="1" applyBorder="1" applyAlignment="1">
      <alignment horizontal="center" vertical="top"/>
    </xf>
    <xf numFmtId="0" fontId="94" fillId="11" borderId="0" xfId="19" applyFont="1" applyFill="1" applyBorder="1"/>
    <xf numFmtId="171" fontId="93" fillId="11" borderId="0" xfId="19" applyNumberFormat="1" applyFont="1" applyFill="1" applyBorder="1"/>
    <xf numFmtId="0" fontId="4" fillId="11" borderId="0" xfId="19" applyFont="1" applyFill="1" applyBorder="1" applyAlignment="1">
      <alignment horizontal="center"/>
    </xf>
    <xf numFmtId="171" fontId="93" fillId="0" borderId="0" xfId="19" applyNumberFormat="1" applyFont="1"/>
    <xf numFmtId="0" fontId="19" fillId="7" borderId="4" xfId="19" applyFont="1" applyFill="1" applyBorder="1"/>
    <xf numFmtId="0" fontId="4" fillId="7" borderId="4" xfId="19" applyFont="1" applyFill="1" applyBorder="1"/>
    <xf numFmtId="0" fontId="4" fillId="6" borderId="4" xfId="19" applyFont="1" applyFill="1" applyBorder="1"/>
    <xf numFmtId="0" fontId="4" fillId="11" borderId="0" xfId="19" applyFont="1" applyFill="1" applyBorder="1"/>
    <xf numFmtId="0" fontId="19" fillId="11" borderId="5" xfId="19" applyFont="1" applyFill="1" applyBorder="1"/>
    <xf numFmtId="0" fontId="4" fillId="11" borderId="5" xfId="19" applyFont="1" applyFill="1" applyBorder="1"/>
    <xf numFmtId="171" fontId="19" fillId="11" borderId="5" xfId="19" applyNumberFormat="1" applyFont="1" applyFill="1" applyBorder="1" applyAlignment="1">
      <alignment horizontal="left"/>
    </xf>
    <xf numFmtId="171" fontId="41" fillId="11" borderId="5" xfId="19" applyNumberFormat="1" applyFont="1" applyFill="1" applyBorder="1" applyAlignment="1">
      <alignment horizontal="left"/>
    </xf>
    <xf numFmtId="170" fontId="19" fillId="11" borderId="5" xfId="19" applyNumberFormat="1" applyFont="1" applyFill="1" applyBorder="1" applyAlignment="1">
      <alignment horizontal="left"/>
    </xf>
    <xf numFmtId="0" fontId="95" fillId="11" borderId="0" xfId="19" applyFont="1" applyFill="1" applyBorder="1"/>
    <xf numFmtId="2" fontId="95" fillId="11" borderId="0" xfId="19" applyNumberFormat="1" applyFont="1" applyFill="1" applyBorder="1"/>
    <xf numFmtId="170" fontId="19" fillId="11" borderId="0" xfId="19" applyNumberFormat="1" applyFont="1" applyFill="1" applyBorder="1" applyAlignment="1">
      <alignment horizontal="left"/>
    </xf>
    <xf numFmtId="0" fontId="41" fillId="7" borderId="6" xfId="19" applyFont="1" applyFill="1" applyBorder="1"/>
    <xf numFmtId="0" fontId="4" fillId="7" borderId="5" xfId="19" applyFont="1" applyFill="1" applyBorder="1"/>
    <xf numFmtId="0" fontId="19" fillId="7" borderId="5" xfId="19" applyFont="1" applyFill="1" applyBorder="1"/>
    <xf numFmtId="0" fontId="87" fillId="7" borderId="6" xfId="19" applyFont="1" applyFill="1" applyBorder="1"/>
    <xf numFmtId="171" fontId="19" fillId="6" borderId="6" xfId="19" applyNumberFormat="1" applyFont="1" applyFill="1" applyBorder="1"/>
    <xf numFmtId="171" fontId="19" fillId="7" borderId="6" xfId="19" applyNumberFormat="1" applyFont="1" applyFill="1" applyBorder="1"/>
    <xf numFmtId="171" fontId="41" fillId="7" borderId="6" xfId="19" applyNumberFormat="1" applyFont="1" applyFill="1" applyBorder="1"/>
    <xf numFmtId="171" fontId="41" fillId="7" borderId="6" xfId="19" applyNumberFormat="1" applyFont="1" applyFill="1" applyBorder="1" applyAlignment="1">
      <alignment horizontal="right"/>
    </xf>
    <xf numFmtId="171" fontId="19" fillId="6" borderId="6" xfId="19" applyNumberFormat="1" applyFont="1" applyFill="1" applyBorder="1" applyAlignment="1">
      <alignment horizontal="right"/>
    </xf>
    <xf numFmtId="171" fontId="19" fillId="7" borderId="6" xfId="19" applyNumberFormat="1" applyFont="1" applyFill="1" applyBorder="1" applyAlignment="1">
      <alignment horizontal="right"/>
    </xf>
    <xf numFmtId="2" fontId="95" fillId="0" borderId="0" xfId="19" applyNumberFormat="1" applyFont="1"/>
    <xf numFmtId="2" fontId="48" fillId="0" borderId="0" xfId="19" applyNumberFormat="1" applyFill="1" applyBorder="1"/>
    <xf numFmtId="170" fontId="4" fillId="11" borderId="0" xfId="19" applyNumberFormat="1" applyFont="1" applyFill="1" applyBorder="1"/>
    <xf numFmtId="0" fontId="95" fillId="0" borderId="0" xfId="19" applyFont="1"/>
    <xf numFmtId="0" fontId="19" fillId="7" borderId="6" xfId="19" applyFont="1" applyFill="1" applyBorder="1"/>
    <xf numFmtId="0" fontId="4" fillId="7" borderId="6" xfId="19" applyFont="1" applyFill="1" applyBorder="1"/>
    <xf numFmtId="171" fontId="19" fillId="6" borderId="6" xfId="19" applyNumberFormat="1" applyFont="1" applyFill="1" applyBorder="1" applyAlignment="1">
      <alignment horizontal="left"/>
    </xf>
    <xf numFmtId="171" fontId="19" fillId="7" borderId="6" xfId="19" applyNumberFormat="1" applyFont="1" applyFill="1" applyBorder="1" applyAlignment="1">
      <alignment horizontal="left"/>
    </xf>
    <xf numFmtId="171" fontId="41" fillId="7" borderId="6" xfId="19" applyNumberFormat="1" applyFont="1" applyFill="1" applyBorder="1" applyAlignment="1">
      <alignment horizontal="left"/>
    </xf>
    <xf numFmtId="0" fontId="48" fillId="0" borderId="0" xfId="19" applyFill="1" applyBorder="1"/>
    <xf numFmtId="2" fontId="95" fillId="0" borderId="0" xfId="19" applyNumberFormat="1" applyFont="1" applyFill="1" applyBorder="1"/>
    <xf numFmtId="0" fontId="19" fillId="7" borderId="12" xfId="19" applyFont="1" applyFill="1" applyBorder="1"/>
    <xf numFmtId="171" fontId="19" fillId="6" borderId="5" xfId="19" applyNumberFormat="1" applyFont="1" applyFill="1" applyBorder="1" applyAlignment="1">
      <alignment horizontal="center"/>
    </xf>
    <xf numFmtId="171" fontId="19" fillId="7" borderId="5" xfId="19" applyNumberFormat="1" applyFont="1" applyFill="1" applyBorder="1" applyAlignment="1">
      <alignment horizontal="center"/>
    </xf>
    <xf numFmtId="171" fontId="19" fillId="14" borderId="5" xfId="19" applyNumberFormat="1" applyFont="1" applyFill="1" applyBorder="1" applyAlignment="1">
      <alignment horizontal="center"/>
    </xf>
    <xf numFmtId="171" fontId="41" fillId="7" borderId="5" xfId="19" applyNumberFormat="1" applyFont="1" applyFill="1" applyBorder="1" applyAlignment="1">
      <alignment horizontal="center"/>
    </xf>
    <xf numFmtId="0" fontId="95" fillId="0" borderId="0" xfId="19" applyFont="1" applyFill="1"/>
    <xf numFmtId="0" fontId="18" fillId="7" borderId="6" xfId="19" applyFont="1" applyFill="1" applyBorder="1"/>
    <xf numFmtId="171" fontId="18" fillId="6" borderId="6" xfId="19" applyNumberFormat="1" applyFont="1" applyFill="1" applyBorder="1" applyAlignment="1">
      <alignment horizontal="right"/>
    </xf>
    <xf numFmtId="171" fontId="18" fillId="7" borderId="6" xfId="19" applyNumberFormat="1" applyFont="1" applyFill="1" applyBorder="1" applyAlignment="1">
      <alignment horizontal="right"/>
    </xf>
    <xf numFmtId="170" fontId="18" fillId="11" borderId="0" xfId="19" applyNumberFormat="1" applyFont="1" applyFill="1" applyBorder="1" applyAlignment="1">
      <alignment horizontal="center"/>
    </xf>
    <xf numFmtId="171" fontId="18" fillId="14" borderId="6" xfId="19" applyNumberFormat="1" applyFont="1" applyFill="1" applyBorder="1" applyAlignment="1">
      <alignment horizontal="right"/>
    </xf>
    <xf numFmtId="171" fontId="52" fillId="7" borderId="6" xfId="19" applyNumberFormat="1" applyFont="1" applyFill="1" applyBorder="1" applyAlignment="1">
      <alignment horizontal="right"/>
    </xf>
    <xf numFmtId="171" fontId="18" fillId="6" borderId="6" xfId="19" applyNumberFormat="1" applyFont="1" applyFill="1" applyBorder="1" applyAlignment="1">
      <alignment horizontal="center"/>
    </xf>
    <xf numFmtId="171" fontId="18" fillId="7" borderId="6" xfId="19" applyNumberFormat="1" applyFont="1" applyFill="1" applyBorder="1" applyAlignment="1">
      <alignment horizontal="center"/>
    </xf>
    <xf numFmtId="0" fontId="95" fillId="0" borderId="0" xfId="19" applyFont="1" applyFill="1" applyBorder="1"/>
    <xf numFmtId="171" fontId="48" fillId="0" borderId="0" xfId="19" applyNumberFormat="1" applyFill="1" applyBorder="1"/>
    <xf numFmtId="171" fontId="19" fillId="6" borderId="6" xfId="19" applyNumberFormat="1" applyFont="1" applyFill="1" applyBorder="1" applyAlignment="1">
      <alignment horizontal="center"/>
    </xf>
    <xf numFmtId="171" fontId="19" fillId="7" borderId="6" xfId="19" applyNumberFormat="1" applyFont="1" applyFill="1" applyBorder="1" applyAlignment="1">
      <alignment horizontal="center"/>
    </xf>
    <xf numFmtId="170" fontId="4" fillId="11" borderId="0" xfId="19" applyNumberFormat="1" applyFont="1" applyFill="1" applyBorder="1" applyAlignment="1">
      <alignment horizontal="center"/>
    </xf>
    <xf numFmtId="0" fontId="30" fillId="7" borderId="6" xfId="19" applyFont="1" applyFill="1" applyBorder="1"/>
    <xf numFmtId="171" fontId="4" fillId="6" borderId="6" xfId="19" applyNumberFormat="1" applyFont="1" applyFill="1" applyBorder="1"/>
    <xf numFmtId="171" fontId="4" fillId="7" borderId="6" xfId="19" applyNumberFormat="1" applyFont="1" applyFill="1" applyBorder="1"/>
    <xf numFmtId="171" fontId="41" fillId="6" borderId="6" xfId="19" applyNumberFormat="1" applyFont="1" applyFill="1" applyBorder="1" applyAlignment="1">
      <alignment horizontal="right"/>
    </xf>
    <xf numFmtId="0" fontId="16" fillId="7" borderId="6" xfId="19" applyFont="1" applyFill="1" applyBorder="1"/>
    <xf numFmtId="171" fontId="16" fillId="7" borderId="6" xfId="19" applyNumberFormat="1" applyFont="1" applyFill="1" applyBorder="1" applyAlignment="1">
      <alignment horizontal="center"/>
    </xf>
    <xf numFmtId="171" fontId="16" fillId="6" borderId="6" xfId="19" applyNumberFormat="1" applyFont="1" applyFill="1" applyBorder="1" applyAlignment="1">
      <alignment horizontal="center"/>
    </xf>
    <xf numFmtId="0" fontId="98" fillId="0" borderId="0" xfId="19" applyFont="1" applyFill="1"/>
    <xf numFmtId="0" fontId="93" fillId="0" borderId="0" xfId="19" applyFont="1" applyFill="1" applyBorder="1"/>
    <xf numFmtId="0" fontId="98" fillId="0" borderId="0" xfId="19" applyFont="1" applyFill="1" applyBorder="1"/>
    <xf numFmtId="0" fontId="93" fillId="11" borderId="0" xfId="19" applyFont="1" applyFill="1" applyBorder="1"/>
    <xf numFmtId="170" fontId="19" fillId="11" borderId="0" xfId="19" applyNumberFormat="1" applyFont="1" applyFill="1" applyBorder="1" applyAlignment="1">
      <alignment horizontal="center"/>
    </xf>
    <xf numFmtId="171" fontId="30" fillId="6" borderId="6" xfId="19" applyNumberFormat="1" applyFont="1" applyFill="1" applyBorder="1" applyAlignment="1">
      <alignment horizontal="right"/>
    </xf>
    <xf numFmtId="171" fontId="30" fillId="7" borderId="6" xfId="19" applyNumberFormat="1" applyFont="1" applyFill="1" applyBorder="1" applyAlignment="1">
      <alignment horizontal="right"/>
    </xf>
    <xf numFmtId="170" fontId="30" fillId="11" borderId="0" xfId="19" applyNumberFormat="1" applyFont="1" applyFill="1" applyBorder="1" applyAlignment="1">
      <alignment horizontal="right"/>
    </xf>
    <xf numFmtId="170" fontId="48" fillId="11" borderId="0" xfId="19" applyNumberFormat="1" applyFill="1" applyBorder="1"/>
    <xf numFmtId="171" fontId="30" fillId="15" borderId="6" xfId="19" applyNumberFormat="1" applyFont="1" applyFill="1" applyBorder="1" applyAlignment="1">
      <alignment horizontal="right"/>
    </xf>
    <xf numFmtId="171" fontId="93" fillId="0" borderId="0" xfId="19" applyNumberFormat="1" applyFont="1" applyFill="1" applyBorder="1"/>
    <xf numFmtId="171" fontId="30" fillId="6" borderId="6" xfId="19" applyNumberFormat="1" applyFont="1" applyFill="1" applyBorder="1"/>
    <xf numFmtId="171" fontId="30" fillId="7" borderId="6" xfId="19" applyNumberFormat="1" applyFont="1" applyFill="1" applyBorder="1"/>
    <xf numFmtId="171" fontId="30" fillId="15" borderId="6" xfId="19" applyNumberFormat="1" applyFont="1" applyFill="1" applyBorder="1"/>
    <xf numFmtId="170" fontId="30" fillId="11" borderId="0" xfId="19" applyNumberFormat="1" applyFont="1" applyFill="1" applyBorder="1"/>
    <xf numFmtId="174" fontId="30" fillId="0" borderId="6" xfId="19" applyNumberFormat="1" applyFont="1" applyFill="1" applyBorder="1"/>
    <xf numFmtId="171" fontId="4" fillId="6" borderId="6" xfId="19" applyNumberFormat="1" applyFont="1" applyFill="1" applyBorder="1" applyAlignment="1">
      <alignment horizontal="center"/>
    </xf>
    <xf numFmtId="171" fontId="4" fillId="7" borderId="6" xfId="19" applyNumberFormat="1" applyFont="1" applyFill="1" applyBorder="1" applyAlignment="1">
      <alignment horizontal="center"/>
    </xf>
    <xf numFmtId="171" fontId="52" fillId="14" borderId="6" xfId="19" applyNumberFormat="1" applyFont="1" applyFill="1" applyBorder="1" applyAlignment="1">
      <alignment horizontal="center"/>
    </xf>
    <xf numFmtId="171" fontId="16" fillId="6" borderId="6" xfId="19" applyNumberFormat="1" applyFont="1" applyFill="1" applyBorder="1" applyAlignment="1">
      <alignment horizontal="right"/>
    </xf>
    <xf numFmtId="171" fontId="16" fillId="7" borderId="6" xfId="19" applyNumberFormat="1" applyFont="1" applyFill="1" applyBorder="1" applyAlignment="1">
      <alignment horizontal="right"/>
    </xf>
    <xf numFmtId="0" fontId="98" fillId="0" borderId="0" xfId="19" applyFont="1"/>
    <xf numFmtId="2" fontId="98" fillId="0" borderId="0" xfId="19" applyNumberFormat="1" applyFont="1" applyFill="1" applyBorder="1"/>
    <xf numFmtId="0" fontId="98" fillId="11" borderId="0" xfId="19" applyFont="1" applyFill="1" applyBorder="1"/>
    <xf numFmtId="0" fontId="19" fillId="7" borderId="7" xfId="19" applyFont="1" applyFill="1" applyBorder="1"/>
    <xf numFmtId="0" fontId="30" fillId="7" borderId="7" xfId="19" applyFont="1" applyFill="1" applyBorder="1"/>
    <xf numFmtId="171" fontId="19" fillId="6" borderId="7" xfId="19" applyNumberFormat="1" applyFont="1" applyFill="1" applyBorder="1" applyAlignment="1">
      <alignment horizontal="left"/>
    </xf>
    <xf numFmtId="171" fontId="19" fillId="7" borderId="7" xfId="19" applyNumberFormat="1" applyFont="1" applyFill="1" applyBorder="1" applyAlignment="1">
      <alignment horizontal="left"/>
    </xf>
    <xf numFmtId="171" fontId="41" fillId="14" borderId="7" xfId="19" applyNumberFormat="1" applyFont="1" applyFill="1" applyBorder="1" applyAlignment="1">
      <alignment horizontal="left"/>
    </xf>
    <xf numFmtId="171" fontId="19" fillId="11" borderId="0" xfId="19" applyNumberFormat="1" applyFont="1" applyFill="1" applyBorder="1" applyAlignment="1">
      <alignment horizontal="left"/>
    </xf>
    <xf numFmtId="171" fontId="41" fillId="11" borderId="0" xfId="19" applyNumberFormat="1" applyFont="1" applyFill="1" applyBorder="1" applyAlignment="1">
      <alignment horizontal="left"/>
    </xf>
    <xf numFmtId="2" fontId="48" fillId="0" borderId="0" xfId="19" applyNumberFormat="1" applyFill="1" applyAlignment="1">
      <alignment horizontal="right"/>
    </xf>
    <xf numFmtId="0" fontId="18" fillId="7" borderId="12" xfId="19" applyFont="1" applyFill="1" applyBorder="1"/>
    <xf numFmtId="0" fontId="4" fillId="7" borderId="12" xfId="19" applyFont="1" applyFill="1" applyBorder="1"/>
    <xf numFmtId="171" fontId="4" fillId="6" borderId="12" xfId="19" applyNumberFormat="1" applyFont="1" applyFill="1" applyBorder="1" applyAlignment="1">
      <alignment horizontal="center"/>
    </xf>
    <xf numFmtId="171" fontId="4" fillId="7" borderId="12" xfId="19" applyNumberFormat="1" applyFont="1" applyFill="1" applyBorder="1" applyAlignment="1">
      <alignment horizontal="center"/>
    </xf>
    <xf numFmtId="171" fontId="18" fillId="7" borderId="12" xfId="19" applyNumberFormat="1" applyFont="1" applyFill="1" applyBorder="1" applyAlignment="1">
      <alignment horizontal="center"/>
    </xf>
    <xf numFmtId="171" fontId="18" fillId="6" borderId="12" xfId="19" applyNumberFormat="1" applyFont="1" applyFill="1" applyBorder="1" applyAlignment="1">
      <alignment horizontal="center"/>
    </xf>
    <xf numFmtId="171" fontId="52" fillId="14" borderId="12" xfId="19" applyNumberFormat="1" applyFont="1" applyFill="1" applyBorder="1" applyAlignment="1">
      <alignment horizontal="center"/>
    </xf>
    <xf numFmtId="0" fontId="18" fillId="0" borderId="0" xfId="19" applyFont="1" applyBorder="1"/>
    <xf numFmtId="0" fontId="48" fillId="0" borderId="0" xfId="19" applyBorder="1"/>
    <xf numFmtId="0" fontId="4" fillId="0" borderId="0" xfId="19" applyFont="1"/>
    <xf numFmtId="0" fontId="4" fillId="0" borderId="0" xfId="19" applyFont="1" applyBorder="1"/>
    <xf numFmtId="171" fontId="48" fillId="0" borderId="0" xfId="19" applyNumberFormat="1"/>
    <xf numFmtId="171" fontId="48" fillId="0" borderId="0" xfId="19" applyNumberFormat="1" applyFont="1"/>
    <xf numFmtId="0" fontId="4" fillId="0" borderId="0" xfId="19" applyFont="1" applyFill="1"/>
    <xf numFmtId="1" fontId="4" fillId="0" borderId="0" xfId="19" applyNumberFormat="1" applyFont="1" applyFill="1" applyBorder="1" applyAlignment="1">
      <alignment horizontal="left"/>
    </xf>
    <xf numFmtId="171" fontId="7" fillId="4" borderId="0" xfId="19" applyNumberFormat="1" applyFont="1" applyFill="1" applyBorder="1" applyAlignment="1">
      <alignment horizontal="right"/>
    </xf>
    <xf numFmtId="0" fontId="4" fillId="0" borderId="0" xfId="19" applyFont="1" applyFill="1" applyBorder="1"/>
    <xf numFmtId="1" fontId="4" fillId="4" borderId="0" xfId="19" applyNumberFormat="1" applyFont="1" applyFill="1" applyBorder="1" applyAlignment="1">
      <alignment horizontal="left"/>
    </xf>
    <xf numFmtId="0" fontId="100" fillId="0" borderId="0" xfId="19" applyFont="1" applyBorder="1"/>
    <xf numFmtId="0" fontId="101" fillId="0" borderId="0" xfId="19" applyFont="1" applyBorder="1"/>
    <xf numFmtId="0" fontId="102" fillId="0" borderId="0" xfId="19" applyFont="1" applyBorder="1"/>
    <xf numFmtId="0" fontId="48" fillId="0" borderId="0" xfId="19" applyFont="1" applyFill="1"/>
    <xf numFmtId="0" fontId="103" fillId="0" borderId="0" xfId="19" applyFont="1" applyFill="1" applyBorder="1"/>
    <xf numFmtId="0" fontId="19" fillId="0" borderId="0" xfId="19" applyFont="1" applyFill="1"/>
    <xf numFmtId="0" fontId="4" fillId="0" borderId="0" xfId="19" applyFont="1" applyFill="1" applyAlignment="1">
      <alignment horizontal="right"/>
    </xf>
    <xf numFmtId="0" fontId="8" fillId="0" borderId="0" xfId="19" applyFont="1" applyFill="1"/>
    <xf numFmtId="0" fontId="48" fillId="0" borderId="0" xfId="19" applyFill="1" applyAlignment="1">
      <alignment horizontal="center"/>
    </xf>
    <xf numFmtId="0" fontId="48" fillId="0" borderId="0" xfId="19" applyFill="1" applyAlignment="1">
      <alignment wrapText="1"/>
    </xf>
    <xf numFmtId="0" fontId="20" fillId="0" borderId="0" xfId="19" applyFont="1" applyFill="1"/>
    <xf numFmtId="3" fontId="4" fillId="0" borderId="0" xfId="19" applyNumberFormat="1" applyFont="1" applyFill="1"/>
    <xf numFmtId="170" fontId="7" fillId="0" borderId="0" xfId="19" applyNumberFormat="1" applyFont="1" applyFill="1"/>
    <xf numFmtId="9" fontId="93" fillId="0" borderId="0" xfId="19" applyNumberFormat="1" applyFont="1" applyFill="1" applyAlignment="1">
      <alignment horizontal="center"/>
    </xf>
    <xf numFmtId="0" fontId="93" fillId="0" borderId="0" xfId="19" quotePrefix="1" applyFont="1" applyFill="1"/>
    <xf numFmtId="0" fontId="19" fillId="0" borderId="0" xfId="19" applyFont="1" applyFill="1" applyAlignment="1">
      <alignment wrapText="1"/>
    </xf>
    <xf numFmtId="3" fontId="48" fillId="0" borderId="0" xfId="19" applyNumberFormat="1" applyFill="1"/>
    <xf numFmtId="3" fontId="7" fillId="0" borderId="0" xfId="19" applyNumberFormat="1" applyFont="1" applyFill="1"/>
    <xf numFmtId="3" fontId="93" fillId="0" borderId="0" xfId="19" applyNumberFormat="1" applyFont="1" applyFill="1" applyAlignment="1">
      <alignment horizontal="center"/>
    </xf>
    <xf numFmtId="0" fontId="4" fillId="0" borderId="0" xfId="19" applyFont="1" applyFill="1" applyAlignment="1">
      <alignment horizontal="center"/>
    </xf>
    <xf numFmtId="3" fontId="48" fillId="0" borderId="0" xfId="19" applyNumberFormat="1" applyFill="1" applyAlignment="1">
      <alignment horizontal="right"/>
    </xf>
    <xf numFmtId="0" fontId="48" fillId="11" borderId="0" xfId="19" applyFill="1"/>
    <xf numFmtId="2" fontId="48" fillId="0" borderId="0" xfId="19" applyNumberFormat="1" applyFill="1"/>
    <xf numFmtId="171" fontId="48" fillId="0" borderId="0" xfId="19" applyNumberFormat="1" applyFill="1"/>
    <xf numFmtId="171" fontId="7" fillId="0" borderId="0" xfId="19" applyNumberFormat="1" applyFont="1" applyFill="1"/>
    <xf numFmtId="0" fontId="104" fillId="0" borderId="0" xfId="19" applyFont="1" applyFill="1"/>
    <xf numFmtId="1" fontId="48" fillId="0" borderId="0" xfId="19" applyNumberFormat="1" applyFill="1"/>
    <xf numFmtId="170" fontId="48" fillId="0" borderId="0" xfId="19" applyNumberFormat="1" applyFill="1"/>
    <xf numFmtId="0" fontId="104" fillId="0" borderId="0" xfId="19" applyFont="1"/>
    <xf numFmtId="0" fontId="18" fillId="0" borderId="0" xfId="0" quotePrefix="1" applyFont="1" applyAlignment="1">
      <alignment horizontal="right"/>
    </xf>
    <xf numFmtId="2" fontId="18" fillId="0" borderId="0" xfId="4" quotePrefix="1" applyNumberFormat="1" applyFont="1" applyAlignment="1">
      <alignment horizontal="right"/>
    </xf>
    <xf numFmtId="0" fontId="8" fillId="0" borderId="0" xfId="4" applyFont="1"/>
    <xf numFmtId="0" fontId="7" fillId="0" borderId="0" xfId="4" applyFont="1"/>
    <xf numFmtId="0" fontId="41" fillId="0" borderId="44" xfId="4" applyFont="1" applyBorder="1" applyAlignment="1">
      <alignment vertical="top" wrapText="1"/>
    </xf>
    <xf numFmtId="0" fontId="41" fillId="0" borderId="19" xfId="4" applyFont="1" applyBorder="1" applyAlignment="1">
      <alignment vertical="top" wrapText="1"/>
    </xf>
    <xf numFmtId="0" fontId="41" fillId="0" borderId="20" xfId="4" applyFont="1" applyBorder="1" applyAlignment="1">
      <alignment horizontal="right" vertical="top" wrapText="1"/>
    </xf>
    <xf numFmtId="0" fontId="4" fillId="0" borderId="21" xfId="4" applyFont="1" applyBorder="1" applyAlignment="1">
      <alignment vertical="top" wrapText="1"/>
    </xf>
    <xf numFmtId="0" fontId="41" fillId="0" borderId="20" xfId="4" applyFont="1" applyBorder="1" applyAlignment="1">
      <alignment horizontal="justify" vertical="top" wrapText="1"/>
    </xf>
    <xf numFmtId="0" fontId="41" fillId="0" borderId="21" xfId="4" applyFont="1" applyBorder="1" applyAlignment="1">
      <alignment vertical="top" wrapText="1"/>
    </xf>
    <xf numFmtId="0" fontId="4" fillId="0" borderId="20" xfId="4" applyFont="1" applyBorder="1" applyAlignment="1">
      <alignment horizontal="justify" vertical="top" wrapText="1"/>
    </xf>
    <xf numFmtId="0" fontId="4" fillId="0" borderId="21" xfId="4" applyFont="1" applyBorder="1" applyAlignment="1">
      <alignment horizontal="justify" vertical="top" wrapText="1"/>
    </xf>
    <xf numFmtId="9" fontId="4" fillId="0" borderId="21" xfId="4" applyNumberFormat="1" applyFont="1" applyBorder="1" applyAlignment="1">
      <alignment horizontal="justify" vertical="top" wrapText="1"/>
    </xf>
    <xf numFmtId="0" fontId="4" fillId="0" borderId="0" xfId="4" applyFont="1" applyAlignment="1">
      <alignment horizontal="justify"/>
    </xf>
    <xf numFmtId="0" fontId="41" fillId="0" borderId="17" xfId="4" applyFont="1" applyBorder="1" applyAlignment="1">
      <alignment vertical="top" wrapText="1"/>
    </xf>
    <xf numFmtId="0" fontId="41" fillId="0" borderId="18" xfId="4" applyFont="1" applyBorder="1" applyAlignment="1">
      <alignment horizontal="right" vertical="top" wrapText="1"/>
    </xf>
    <xf numFmtId="0" fontId="4" fillId="0" borderId="19" xfId="4" applyFont="1" applyBorder="1" applyAlignment="1">
      <alignment vertical="top" wrapText="1"/>
    </xf>
    <xf numFmtId="9" fontId="41" fillId="6" borderId="21" xfId="4" applyNumberFormat="1" applyFont="1" applyFill="1" applyBorder="1" applyAlignment="1">
      <alignment horizontal="justify" vertical="top" wrapText="1"/>
    </xf>
    <xf numFmtId="0" fontId="4" fillId="0" borderId="2" xfId="4" applyFont="1" applyBorder="1" applyAlignment="1">
      <alignment vertical="top" wrapText="1"/>
    </xf>
    <xf numFmtId="0" fontId="4" fillId="0" borderId="24" xfId="4" applyFont="1" applyBorder="1" applyAlignment="1">
      <alignment vertical="top" wrapText="1"/>
    </xf>
    <xf numFmtId="0" fontId="41" fillId="6" borderId="15" xfId="4" applyFont="1" applyFill="1" applyBorder="1" applyAlignment="1">
      <alignment vertical="top" wrapText="1"/>
    </xf>
    <xf numFmtId="0" fontId="33" fillId="6" borderId="21" xfId="4" applyFont="1" applyFill="1" applyBorder="1" applyAlignment="1">
      <alignment vertical="top" wrapText="1"/>
    </xf>
    <xf numFmtId="0" fontId="4" fillId="0" borderId="21" xfId="4" applyFont="1" applyFill="1" applyBorder="1" applyAlignment="1">
      <alignment horizontal="right" vertical="top" wrapText="1"/>
    </xf>
    <xf numFmtId="0" fontId="41" fillId="6" borderId="21" xfId="4" applyFont="1" applyFill="1" applyBorder="1" applyAlignment="1">
      <alignment horizontal="right" vertical="top" wrapText="1"/>
    </xf>
    <xf numFmtId="0" fontId="41" fillId="0" borderId="17" xfId="4" applyFont="1" applyBorder="1" applyAlignment="1">
      <alignment horizontal="left" vertical="top" wrapText="1"/>
    </xf>
    <xf numFmtId="0" fontId="4" fillId="6" borderId="19" xfId="4" applyFont="1" applyFill="1" applyBorder="1" applyAlignment="1">
      <alignment vertical="top" wrapText="1"/>
    </xf>
    <xf numFmtId="0" fontId="41" fillId="0" borderId="15" xfId="4" applyFont="1" applyBorder="1" applyAlignment="1">
      <alignment vertical="top" wrapText="1"/>
    </xf>
    <xf numFmtId="0" fontId="4" fillId="0" borderId="21" xfId="4" applyFont="1" applyBorder="1" applyAlignment="1">
      <alignment horizontal="right" vertical="top" wrapText="1"/>
    </xf>
    <xf numFmtId="9" fontId="19" fillId="6" borderId="21" xfId="4" applyNumberFormat="1" applyFont="1" applyFill="1" applyBorder="1" applyAlignment="1">
      <alignment horizontal="justify" vertical="top" wrapText="1"/>
    </xf>
    <xf numFmtId="0" fontId="33" fillId="0" borderId="21" xfId="4" applyFont="1" applyBorder="1" applyAlignment="1">
      <alignment vertical="top" wrapText="1"/>
    </xf>
    <xf numFmtId="0" fontId="41" fillId="6" borderId="20" xfId="4" applyFont="1" applyFill="1" applyBorder="1" applyAlignment="1">
      <alignment horizontal="justify" vertical="top" wrapText="1"/>
    </xf>
    <xf numFmtId="0" fontId="41" fillId="6" borderId="19" xfId="4" applyFont="1" applyFill="1" applyBorder="1" applyAlignment="1">
      <alignment vertical="top" wrapText="1"/>
    </xf>
    <xf numFmtId="0" fontId="4" fillId="0" borderId="20" xfId="4" applyFont="1" applyFill="1" applyBorder="1" applyAlignment="1">
      <alignment horizontal="justify" vertical="top" wrapText="1"/>
    </xf>
    <xf numFmtId="9" fontId="4" fillId="0" borderId="21" xfId="4" applyNumberFormat="1" applyFont="1" applyFill="1" applyBorder="1" applyAlignment="1">
      <alignment horizontal="justify" vertical="top" wrapText="1"/>
    </xf>
    <xf numFmtId="0" fontId="33" fillId="0" borderId="19" xfId="4" applyFont="1" applyFill="1" applyBorder="1" applyAlignment="1">
      <alignment vertical="top" wrapText="1"/>
    </xf>
    <xf numFmtId="0" fontId="41" fillId="6" borderId="21" xfId="4" applyFont="1" applyFill="1" applyBorder="1" applyAlignment="1">
      <alignment vertical="top" wrapText="1"/>
    </xf>
    <xf numFmtId="0" fontId="41" fillId="0" borderId="21" xfId="4" applyFont="1" applyFill="1" applyBorder="1" applyAlignment="1">
      <alignment horizontal="right" vertical="top" wrapText="1"/>
    </xf>
    <xf numFmtId="0" fontId="18" fillId="0" borderId="0" xfId="4" applyFont="1" applyAlignment="1">
      <alignment horizontal="justify"/>
    </xf>
    <xf numFmtId="0" fontId="105" fillId="6" borderId="0" xfId="4" applyFont="1" applyFill="1"/>
    <xf numFmtId="0" fontId="2" fillId="0" borderId="0" xfId="4" applyFont="1"/>
    <xf numFmtId="0" fontId="105" fillId="0" borderId="44" xfId="4" applyFont="1" applyBorder="1" applyAlignment="1">
      <alignment horizontal="justify" vertical="top" wrapText="1"/>
    </xf>
    <xf numFmtId="0" fontId="19" fillId="6" borderId="20" xfId="4" applyFont="1" applyFill="1" applyBorder="1" applyAlignment="1">
      <alignment horizontal="justify" vertical="top" wrapText="1"/>
    </xf>
    <xf numFmtId="0" fontId="4" fillId="6" borderId="20" xfId="4" applyFont="1" applyFill="1" applyBorder="1" applyAlignment="1">
      <alignment horizontal="justify" vertical="top" wrapText="1"/>
    </xf>
    <xf numFmtId="0" fontId="19" fillId="0" borderId="21" xfId="4" applyFont="1" applyBorder="1" applyAlignment="1">
      <alignment horizontal="right" vertical="top" wrapText="1"/>
    </xf>
    <xf numFmtId="0" fontId="30" fillId="0" borderId="0" xfId="4" applyFont="1" applyAlignment="1">
      <alignment horizontal="justify"/>
    </xf>
    <xf numFmtId="0" fontId="122" fillId="0" borderId="0" xfId="0" applyFont="1" applyAlignment="1">
      <alignment horizontal="left"/>
    </xf>
    <xf numFmtId="0" fontId="4" fillId="12" borderId="45" xfId="0" applyFont="1" applyFill="1" applyBorder="1"/>
    <xf numFmtId="0" fontId="52" fillId="12" borderId="45" xfId="0" applyFont="1" applyFill="1" applyBorder="1"/>
    <xf numFmtId="3" fontId="132" fillId="7" borderId="6" xfId="0" applyNumberFormat="1" applyFont="1" applyFill="1" applyBorder="1" applyAlignment="1">
      <alignment horizontal="right" vertical="center"/>
    </xf>
    <xf numFmtId="0" fontId="122" fillId="13" borderId="22" xfId="10" applyFont="1" applyFill="1" applyBorder="1" applyAlignment="1">
      <alignment vertical="center"/>
    </xf>
    <xf numFmtId="0" fontId="4" fillId="12" borderId="0" xfId="0" applyFont="1" applyFill="1" applyBorder="1"/>
    <xf numFmtId="0" fontId="20" fillId="0" borderId="0" xfId="4" applyFont="1" applyAlignment="1">
      <alignment horizontal="left"/>
    </xf>
    <xf numFmtId="0" fontId="42" fillId="0" borderId="0" xfId="4" applyFont="1"/>
    <xf numFmtId="0" fontId="42" fillId="0" borderId="0" xfId="4" applyFont="1" applyAlignment="1">
      <alignment horizontal="center"/>
    </xf>
    <xf numFmtId="0" fontId="43" fillId="0" borderId="0" xfId="4" applyFont="1" applyAlignment="1">
      <alignment horizontal="center"/>
    </xf>
    <xf numFmtId="0" fontId="44" fillId="0" borderId="0" xfId="4" applyFont="1" applyFill="1" applyAlignment="1">
      <alignment horizontal="center"/>
    </xf>
    <xf numFmtId="0" fontId="44" fillId="0" borderId="0" xfId="4" applyFont="1" applyAlignment="1">
      <alignment horizontal="center"/>
    </xf>
    <xf numFmtId="0" fontId="45" fillId="5" borderId="0" xfId="4" applyFont="1" applyFill="1" applyAlignment="1">
      <alignment horizontal="center" wrapText="1" shrinkToFit="1"/>
    </xf>
    <xf numFmtId="0" fontId="45" fillId="0" borderId="0" xfId="4" applyFont="1" applyFill="1" applyAlignment="1">
      <alignment horizontal="left" wrapText="1" shrinkToFit="1"/>
    </xf>
    <xf numFmtId="0" fontId="42" fillId="0" borderId="4" xfId="4" applyFont="1" applyBorder="1"/>
    <xf numFmtId="0" fontId="43" fillId="0" borderId="4" xfId="4" applyFont="1" applyBorder="1" applyAlignment="1">
      <alignment horizontal="center" wrapText="1" shrinkToFit="1"/>
    </xf>
    <xf numFmtId="2" fontId="42" fillId="0" borderId="4" xfId="4" applyNumberFormat="1" applyFont="1" applyFill="1" applyBorder="1" applyAlignment="1">
      <alignment horizontal="center"/>
    </xf>
    <xf numFmtId="2" fontId="42" fillId="0" borderId="4" xfId="4" applyNumberFormat="1" applyFont="1" applyBorder="1" applyAlignment="1">
      <alignment horizontal="center"/>
    </xf>
    <xf numFmtId="0" fontId="42" fillId="0" borderId="4" xfId="4" quotePrefix="1" applyFont="1" applyBorder="1" applyAlignment="1">
      <alignment horizontal="center"/>
    </xf>
    <xf numFmtId="2" fontId="42" fillId="0" borderId="22" xfId="4" applyNumberFormat="1" applyFont="1" applyFill="1" applyBorder="1" applyAlignment="1">
      <alignment horizontal="center"/>
    </xf>
    <xf numFmtId="0" fontId="42" fillId="0" borderId="4" xfId="4" applyFont="1" applyBorder="1" applyAlignment="1">
      <alignment horizontal="center"/>
    </xf>
    <xf numFmtId="2" fontId="42" fillId="0" borderId="22" xfId="4" applyNumberFormat="1" applyFont="1" applyBorder="1" applyAlignment="1">
      <alignment horizontal="center"/>
    </xf>
    <xf numFmtId="0" fontId="42" fillId="0" borderId="22" xfId="4" applyFont="1" applyBorder="1" applyAlignment="1">
      <alignment horizontal="center"/>
    </xf>
    <xf numFmtId="0" fontId="42" fillId="0" borderId="22" xfId="4" quotePrefix="1" applyFont="1" applyFill="1" applyBorder="1" applyAlignment="1">
      <alignment horizontal="center"/>
    </xf>
    <xf numFmtId="0" fontId="42" fillId="0" borderId="22" xfId="4" applyFont="1" applyFill="1" applyBorder="1" applyAlignment="1">
      <alignment horizontal="center"/>
    </xf>
    <xf numFmtId="0" fontId="42" fillId="0" borderId="22" xfId="4" quotePrefix="1" applyFont="1" applyBorder="1" applyAlignment="1">
      <alignment horizontal="center"/>
    </xf>
    <xf numFmtId="2" fontId="42" fillId="0" borderId="0" xfId="4" applyNumberFormat="1" applyFont="1" applyFill="1" applyAlignment="1">
      <alignment horizontal="center"/>
    </xf>
    <xf numFmtId="0" fontId="42" fillId="0" borderId="4" xfId="4" quotePrefix="1" applyFont="1" applyFill="1" applyBorder="1" applyAlignment="1">
      <alignment horizontal="center"/>
    </xf>
    <xf numFmtId="0" fontId="42" fillId="0" borderId="4" xfId="4" applyFont="1" applyFill="1" applyBorder="1" applyAlignment="1">
      <alignment horizontal="center"/>
    </xf>
    <xf numFmtId="2" fontId="42" fillId="0" borderId="22" xfId="4" quotePrefix="1" applyNumberFormat="1" applyFont="1" applyFill="1" applyBorder="1" applyAlignment="1">
      <alignment horizontal="center"/>
    </xf>
    <xf numFmtId="0" fontId="42" fillId="0" borderId="11" xfId="4" applyFont="1" applyFill="1" applyBorder="1" applyAlignment="1">
      <alignment horizontal="center"/>
    </xf>
    <xf numFmtId="2" fontId="42" fillId="0" borderId="4" xfId="4" quotePrefix="1" applyNumberFormat="1" applyFont="1" applyFill="1" applyBorder="1" applyAlignment="1">
      <alignment horizontal="center"/>
    </xf>
    <xf numFmtId="2" fontId="42" fillId="0" borderId="22" xfId="4" quotePrefix="1" applyNumberFormat="1" applyFont="1" applyBorder="1" applyAlignment="1">
      <alignment horizontal="center"/>
    </xf>
    <xf numFmtId="2" fontId="42" fillId="0" borderId="0" xfId="4" applyNumberFormat="1" applyFont="1" applyFill="1" applyBorder="1" applyAlignment="1">
      <alignment horizontal="center"/>
    </xf>
    <xf numFmtId="0" fontId="42" fillId="0" borderId="0" xfId="4" quotePrefix="1" applyFont="1" applyFill="1" applyBorder="1" applyAlignment="1">
      <alignment horizontal="center"/>
    </xf>
    <xf numFmtId="0" fontId="43" fillId="6" borderId="0" xfId="4" applyFont="1" applyFill="1" applyAlignment="1">
      <alignment horizontal="center"/>
    </xf>
    <xf numFmtId="0" fontId="46" fillId="0" borderId="0" xfId="4" applyFont="1" applyFill="1" applyAlignment="1">
      <alignment horizontal="center"/>
    </xf>
    <xf numFmtId="0" fontId="42" fillId="0" borderId="0" xfId="4" applyFont="1" applyFill="1"/>
    <xf numFmtId="0" fontId="42" fillId="0" borderId="0" xfId="4" applyFont="1" applyFill="1" applyAlignment="1">
      <alignment horizontal="center"/>
    </xf>
    <xf numFmtId="0" fontId="4" fillId="0" borderId="0" xfId="4" applyAlignment="1">
      <alignment horizontal="center"/>
    </xf>
    <xf numFmtId="0" fontId="45" fillId="0" borderId="4" xfId="4" applyFont="1" applyBorder="1" applyAlignment="1">
      <alignment horizontal="center" wrapText="1" shrinkToFit="1"/>
    </xf>
    <xf numFmtId="0" fontId="4" fillId="0" borderId="4" xfId="4" applyBorder="1" applyAlignment="1">
      <alignment horizontal="center"/>
    </xf>
    <xf numFmtId="0" fontId="4" fillId="0" borderId="4" xfId="4" applyBorder="1"/>
    <xf numFmtId="2" fontId="4" fillId="0" borderId="4" xfId="4" applyNumberFormat="1" applyFont="1" applyFill="1" applyBorder="1" applyAlignment="1">
      <alignment horizontal="center"/>
    </xf>
    <xf numFmtId="0" fontId="4" fillId="0" borderId="0" xfId="4" applyFill="1"/>
    <xf numFmtId="0" fontId="4" fillId="0" borderId="22" xfId="4" applyFont="1" applyFill="1" applyBorder="1" applyAlignment="1">
      <alignment horizontal="center"/>
    </xf>
    <xf numFmtId="0" fontId="4" fillId="0" borderId="0" xfId="4" applyFont="1" applyFill="1"/>
    <xf numFmtId="0" fontId="4" fillId="0" borderId="4" xfId="4" applyFont="1" applyFill="1" applyBorder="1" applyAlignment="1">
      <alignment horizontal="center"/>
    </xf>
    <xf numFmtId="2" fontId="4" fillId="0" borderId="22" xfId="4" applyNumberFormat="1" applyFont="1" applyFill="1" applyBorder="1" applyAlignment="1">
      <alignment horizontal="center"/>
    </xf>
    <xf numFmtId="0" fontId="4" fillId="0" borderId="22" xfId="4" quotePrefix="1" applyFont="1" applyFill="1" applyBorder="1" applyAlignment="1">
      <alignment horizontal="center"/>
    </xf>
    <xf numFmtId="0" fontId="4" fillId="11" borderId="22" xfId="4" applyFont="1" applyFill="1" applyBorder="1" applyAlignment="1">
      <alignment horizontal="center"/>
    </xf>
    <xf numFmtId="0" fontId="4" fillId="0" borderId="4" xfId="4" quotePrefix="1" applyFont="1" applyFill="1" applyBorder="1" applyAlignment="1">
      <alignment horizontal="center"/>
    </xf>
    <xf numFmtId="0" fontId="4" fillId="11" borderId="4" xfId="4" quotePrefix="1" applyFont="1" applyFill="1" applyBorder="1" applyAlignment="1">
      <alignment horizontal="center"/>
    </xf>
    <xf numFmtId="0" fontId="4" fillId="20" borderId="4" xfId="4" quotePrefix="1" applyFont="1" applyFill="1" applyBorder="1" applyAlignment="1">
      <alignment horizontal="center"/>
    </xf>
    <xf numFmtId="2" fontId="4" fillId="0" borderId="4" xfId="4" quotePrefix="1" applyNumberFormat="1" applyFont="1" applyFill="1" applyBorder="1" applyAlignment="1">
      <alignment horizontal="center"/>
    </xf>
    <xf numFmtId="0" fontId="4" fillId="0" borderId="0" xfId="4" quotePrefix="1" applyFont="1" applyFill="1" applyBorder="1" applyAlignment="1">
      <alignment horizontal="center"/>
    </xf>
    <xf numFmtId="0" fontId="4" fillId="0" borderId="11" xfId="4" quotePrefix="1" applyFont="1" applyFill="1" applyBorder="1" applyAlignment="1">
      <alignment horizontal="center"/>
    </xf>
    <xf numFmtId="0" fontId="4" fillId="20" borderId="22" xfId="4" applyFont="1" applyFill="1" applyBorder="1" applyAlignment="1">
      <alignment horizontal="center"/>
    </xf>
    <xf numFmtId="2" fontId="4" fillId="0" borderId="22" xfId="4" applyNumberFormat="1" applyFill="1" applyBorder="1" applyAlignment="1">
      <alignment horizontal="center"/>
    </xf>
    <xf numFmtId="0" fontId="4" fillId="0" borderId="0" xfId="4" applyFont="1" applyFill="1" applyBorder="1" applyAlignment="1">
      <alignment horizontal="center"/>
    </xf>
    <xf numFmtId="0" fontId="41" fillId="20" borderId="22" xfId="4" applyFont="1" applyFill="1" applyBorder="1" applyAlignment="1">
      <alignment horizontal="center"/>
    </xf>
    <xf numFmtId="0" fontId="41" fillId="20" borderId="4" xfId="4" quotePrefix="1" applyFont="1" applyFill="1" applyBorder="1" applyAlignment="1">
      <alignment horizontal="center"/>
    </xf>
    <xf numFmtId="2" fontId="4" fillId="0" borderId="0" xfId="4" applyNumberFormat="1" applyFont="1" applyFill="1" applyBorder="1" applyAlignment="1">
      <alignment horizontal="center"/>
    </xf>
    <xf numFmtId="0" fontId="4" fillId="0" borderId="11" xfId="4" applyFont="1" applyFill="1" applyBorder="1" applyAlignment="1">
      <alignment horizontal="center"/>
    </xf>
    <xf numFmtId="0" fontId="4" fillId="11" borderId="11" xfId="4" applyFont="1" applyFill="1" applyBorder="1" applyAlignment="1">
      <alignment horizontal="center"/>
    </xf>
    <xf numFmtId="0" fontId="30" fillId="0" borderId="0" xfId="4" applyFont="1" applyFill="1"/>
    <xf numFmtId="2" fontId="4" fillId="0" borderId="0" xfId="4" applyNumberFormat="1" applyBorder="1" applyAlignment="1">
      <alignment horizontal="center"/>
    </xf>
    <xf numFmtId="0" fontId="4" fillId="0" borderId="0" xfId="4" applyBorder="1"/>
    <xf numFmtId="2" fontId="4" fillId="0" borderId="4" xfId="4" applyNumberFormat="1" applyBorder="1" applyAlignment="1">
      <alignment horizontal="center"/>
    </xf>
    <xf numFmtId="0" fontId="30" fillId="0" borderId="0" xfId="4" applyFont="1" applyAlignment="1">
      <alignment horizontal="left"/>
    </xf>
    <xf numFmtId="0" fontId="4" fillId="0" borderId="22" xfId="4" quotePrefix="1" applyBorder="1" applyAlignment="1">
      <alignment horizontal="center"/>
    </xf>
    <xf numFmtId="0" fontId="57" fillId="0" borderId="0" xfId="4" applyFont="1" applyAlignment="1">
      <alignment horizontal="left"/>
    </xf>
    <xf numFmtId="0" fontId="4" fillId="0" borderId="22" xfId="4" applyBorder="1" applyAlignment="1">
      <alignment horizontal="center"/>
    </xf>
    <xf numFmtId="0" fontId="114" fillId="0" borderId="0" xfId="4" applyFont="1" applyAlignment="1">
      <alignment horizontal="left"/>
    </xf>
    <xf numFmtId="0" fontId="4" fillId="0" borderId="0" xfId="4" applyBorder="1" applyAlignment="1">
      <alignment horizontal="center"/>
    </xf>
    <xf numFmtId="0" fontId="57" fillId="0" borderId="0" xfId="4" applyFont="1" applyFill="1"/>
    <xf numFmtId="0" fontId="20" fillId="0" borderId="0" xfId="4" applyFont="1" applyAlignment="1">
      <alignment textRotation="180"/>
    </xf>
    <xf numFmtId="0" fontId="39" fillId="0" borderId="0" xfId="4" applyFont="1" applyAlignment="1">
      <alignment horizontal="left" indent="3"/>
    </xf>
    <xf numFmtId="0" fontId="4" fillId="0" borderId="0" xfId="4" applyAlignment="1">
      <alignment vertical="center"/>
    </xf>
    <xf numFmtId="0" fontId="115" fillId="0" borderId="0" xfId="0" applyFont="1" applyAlignment="1">
      <alignment wrapText="1"/>
    </xf>
    <xf numFmtId="0" fontId="19" fillId="0" borderId="0" xfId="0" applyFont="1" applyAlignment="1">
      <alignment wrapText="1"/>
    </xf>
    <xf numFmtId="0" fontId="116" fillId="0" borderId="0" xfId="0" applyFont="1" applyAlignment="1">
      <alignment wrapText="1"/>
    </xf>
    <xf numFmtId="0" fontId="4" fillId="0" borderId="0" xfId="0" applyFont="1" applyAlignment="1">
      <alignment wrapText="1"/>
    </xf>
    <xf numFmtId="0" fontId="41" fillId="0" borderId="18" xfId="0" applyFont="1" applyBorder="1" applyAlignment="1">
      <alignment horizontal="justify" vertical="top" wrapText="1"/>
    </xf>
    <xf numFmtId="0" fontId="105" fillId="7" borderId="18" xfId="0" applyFont="1" applyFill="1" applyBorder="1" applyAlignment="1">
      <alignment vertical="top" wrapText="1"/>
    </xf>
    <xf numFmtId="0" fontId="105" fillId="6" borderId="18" xfId="0" applyFont="1" applyFill="1" applyBorder="1" applyAlignment="1">
      <alignment vertical="top" wrapText="1"/>
    </xf>
    <xf numFmtId="0" fontId="105" fillId="6" borderId="20" xfId="0" applyFont="1" applyFill="1" applyBorder="1" applyAlignment="1">
      <alignment vertical="top" wrapText="1"/>
    </xf>
    <xf numFmtId="0" fontId="16" fillId="10" borderId="20" xfId="0" applyFont="1" applyFill="1" applyBorder="1" applyAlignment="1">
      <alignment horizontal="justify" vertical="top" wrapText="1"/>
    </xf>
    <xf numFmtId="170" fontId="16" fillId="10" borderId="21" xfId="0" applyNumberFormat="1" applyFont="1" applyFill="1" applyBorder="1" applyAlignment="1">
      <alignment horizontal="justify" vertical="top" wrapText="1"/>
    </xf>
    <xf numFmtId="170" fontId="18" fillId="6" borderId="21" xfId="0" applyNumberFormat="1" applyFont="1" applyFill="1" applyBorder="1" applyAlignment="1">
      <alignment horizontal="justify" vertical="top" wrapText="1"/>
    </xf>
    <xf numFmtId="3" fontId="18" fillId="7" borderId="21" xfId="0" applyNumberFormat="1" applyFont="1" applyFill="1" applyBorder="1" applyAlignment="1">
      <alignment horizontal="justify" vertical="top" wrapText="1"/>
    </xf>
    <xf numFmtId="3" fontId="18" fillId="6" borderId="21" xfId="0" applyNumberFormat="1" applyFont="1" applyFill="1" applyBorder="1" applyAlignment="1">
      <alignment horizontal="justify" vertical="top" wrapText="1"/>
    </xf>
    <xf numFmtId="0" fontId="18" fillId="0" borderId="20" xfId="0" applyFont="1" applyBorder="1" applyAlignment="1">
      <alignment horizontal="justify" vertical="top" wrapText="1"/>
    </xf>
    <xf numFmtId="170" fontId="18" fillId="7" borderId="21" xfId="0" applyNumberFormat="1" applyFont="1" applyFill="1" applyBorder="1" applyAlignment="1">
      <alignment horizontal="justify" vertical="top" wrapText="1"/>
    </xf>
    <xf numFmtId="0" fontId="117" fillId="0" borderId="0" xfId="0" applyFont="1" applyBorder="1" applyAlignment="1">
      <alignment horizontal="justify" vertical="top" wrapText="1"/>
    </xf>
    <xf numFmtId="170" fontId="117" fillId="0" borderId="0" xfId="0" applyNumberFormat="1" applyFont="1" applyBorder="1" applyAlignment="1">
      <alignment horizontal="justify" vertical="top" wrapText="1"/>
    </xf>
    <xf numFmtId="3" fontId="117" fillId="0" borderId="0" xfId="0" applyNumberFormat="1" applyFont="1" applyBorder="1" applyAlignment="1">
      <alignment horizontal="justify" vertical="top" wrapText="1"/>
    </xf>
    <xf numFmtId="0" fontId="30" fillId="0" borderId="0" xfId="0" applyFont="1" applyFill="1" applyBorder="1" applyAlignment="1">
      <alignment vertical="top"/>
    </xf>
    <xf numFmtId="0" fontId="118" fillId="0" borderId="0" xfId="0" applyFont="1" applyFill="1" applyBorder="1" applyAlignment="1">
      <alignment horizontal="justify" vertical="top"/>
    </xf>
    <xf numFmtId="0" fontId="30" fillId="0" borderId="0" xfId="0" quotePrefix="1" applyFont="1"/>
    <xf numFmtId="0" fontId="30" fillId="4" borderId="0" xfId="0" applyFont="1" applyFill="1"/>
    <xf numFmtId="0" fontId="19" fillId="3" borderId="0" xfId="0" applyFont="1" applyFill="1"/>
    <xf numFmtId="0" fontId="4" fillId="20" borderId="4" xfId="4" applyFill="1" applyBorder="1"/>
    <xf numFmtId="3" fontId="122" fillId="13" borderId="5" xfId="0" applyNumberFormat="1" applyFont="1" applyFill="1" applyBorder="1" applyAlignment="1">
      <alignment horizontal="right" vertical="center"/>
    </xf>
    <xf numFmtId="3" fontId="122" fillId="6" borderId="6" xfId="0" applyNumberFormat="1" applyFont="1" applyFill="1" applyBorder="1" applyAlignment="1">
      <alignment horizontal="right" vertical="center"/>
    </xf>
    <xf numFmtId="0" fontId="32" fillId="21" borderId="0" xfId="0" applyFont="1" applyFill="1" applyAlignment="1">
      <alignment horizontal="center"/>
    </xf>
    <xf numFmtId="0" fontId="0" fillId="21" borderId="0" xfId="0" applyFont="1" applyFill="1" applyAlignment="1">
      <alignment horizontal="center"/>
    </xf>
    <xf numFmtId="0" fontId="19" fillId="0" borderId="4" xfId="26" applyFont="1" applyBorder="1" applyAlignment="1">
      <alignment horizontal="center" vertical="center"/>
    </xf>
    <xf numFmtId="0" fontId="19" fillId="0" borderId="43" xfId="26" applyFont="1" applyBorder="1" applyAlignment="1">
      <alignment horizontal="center" vertical="center"/>
    </xf>
    <xf numFmtId="0" fontId="41" fillId="0" borderId="25" xfId="4" applyFont="1" applyBorder="1" applyAlignment="1">
      <alignment horizontal="justify" vertical="top" wrapText="1"/>
    </xf>
    <xf numFmtId="0" fontId="41" fillId="0" borderId="20" xfId="4" applyFont="1" applyBorder="1" applyAlignment="1">
      <alignment horizontal="justify" vertical="top" wrapText="1"/>
    </xf>
    <xf numFmtId="0" fontId="41" fillId="0" borderId="25" xfId="4" applyFont="1" applyBorder="1" applyAlignment="1">
      <alignment vertical="top" wrapText="1"/>
    </xf>
    <xf numFmtId="0" fontId="41" fillId="0" borderId="20" xfId="4" applyFont="1" applyBorder="1" applyAlignment="1">
      <alignment vertical="top" wrapText="1"/>
    </xf>
    <xf numFmtId="0" fontId="8" fillId="0" borderId="0" xfId="0" applyFont="1" applyAlignment="1">
      <alignment wrapText="1"/>
    </xf>
    <xf numFmtId="0" fontId="41" fillId="0" borderId="44" xfId="0" applyFont="1" applyFill="1" applyBorder="1" applyAlignment="1">
      <alignment horizontal="justify" vertical="top" wrapText="1"/>
    </xf>
    <xf numFmtId="0" fontId="4" fillId="0" borderId="22" xfId="0" applyFont="1" applyFill="1" applyBorder="1" applyAlignment="1">
      <alignment vertical="top" wrapText="1"/>
    </xf>
    <xf numFmtId="0" fontId="4" fillId="0" borderId="19" xfId="0" applyFont="1" applyFill="1" applyBorder="1" applyAlignment="1">
      <alignment vertical="top" wrapText="1"/>
    </xf>
    <xf numFmtId="0" fontId="41" fillId="0" borderId="44" xfId="0" applyFont="1" applyBorder="1" applyAlignment="1">
      <alignment horizontal="justify" vertical="top" wrapText="1"/>
    </xf>
    <xf numFmtId="0" fontId="4" fillId="0" borderId="22" xfId="0" applyFont="1" applyBorder="1" applyAlignment="1">
      <alignment vertical="top" wrapText="1"/>
    </xf>
    <xf numFmtId="0" fontId="105" fillId="0" borderId="44" xfId="0" applyFont="1" applyBorder="1" applyAlignment="1">
      <alignment horizontal="justify" vertical="top" wrapText="1"/>
    </xf>
    <xf numFmtId="0" fontId="18" fillId="0" borderId="19" xfId="0" applyFont="1" applyBorder="1" applyAlignment="1">
      <alignment vertical="top" wrapText="1"/>
    </xf>
    <xf numFmtId="0" fontId="18" fillId="0" borderId="22" xfId="0" applyFont="1" applyBorder="1" applyAlignment="1">
      <alignment vertical="top" wrapText="1"/>
    </xf>
    <xf numFmtId="0" fontId="105" fillId="7" borderId="44" xfId="0" applyFont="1" applyFill="1" applyBorder="1" applyAlignment="1">
      <alignment vertical="top" wrapText="1"/>
    </xf>
    <xf numFmtId="0" fontId="18" fillId="7" borderId="19" xfId="0" applyFont="1" applyFill="1" applyBorder="1" applyAlignment="1">
      <alignment vertical="top" wrapText="1"/>
    </xf>
    <xf numFmtId="0" fontId="105" fillId="6" borderId="44" xfId="0" applyFont="1" applyFill="1" applyBorder="1" applyAlignment="1">
      <alignment vertical="top" wrapText="1"/>
    </xf>
    <xf numFmtId="0" fontId="18" fillId="6" borderId="19" xfId="0" applyFont="1" applyFill="1" applyBorder="1" applyAlignment="1">
      <alignment vertical="top" wrapText="1"/>
    </xf>
    <xf numFmtId="0" fontId="20" fillId="0" borderId="4" xfId="0" applyFont="1" applyBorder="1" applyAlignment="1">
      <alignment vertical="top" wrapText="1"/>
    </xf>
    <xf numFmtId="0" fontId="0" fillId="0" borderId="4" xfId="0" applyBorder="1" applyAlignment="1">
      <alignment wrapText="1"/>
    </xf>
    <xf numFmtId="0" fontId="20" fillId="4" borderId="4" xfId="0" applyFont="1" applyFill="1" applyBorder="1" applyAlignment="1">
      <alignment vertical="top" wrapText="1"/>
    </xf>
    <xf numFmtId="3" fontId="7" fillId="13" borderId="11" xfId="0" applyNumberFormat="1" applyFont="1" applyFill="1" applyBorder="1" applyAlignment="1">
      <alignment horizontal="center" vertical="center"/>
    </xf>
    <xf numFmtId="0" fontId="0" fillId="0" borderId="11" xfId="0" applyBorder="1" applyAlignment="1">
      <alignment horizontal="center" vertical="center"/>
    </xf>
    <xf numFmtId="3" fontId="7" fillId="15" borderId="11" xfId="0" applyNumberFormat="1" applyFont="1" applyFill="1" applyBorder="1" applyAlignment="1">
      <alignment horizontal="center" vertical="center"/>
    </xf>
    <xf numFmtId="0" fontId="0" fillId="0" borderId="4" xfId="0" applyBorder="1" applyAlignment="1"/>
    <xf numFmtId="0" fontId="124" fillId="0" borderId="0" xfId="0" applyFont="1" applyAlignment="1">
      <alignment wrapText="1"/>
    </xf>
    <xf numFmtId="0" fontId="0" fillId="0" borderId="0" xfId="0" applyAlignment="1">
      <alignment wrapText="1"/>
    </xf>
    <xf numFmtId="0" fontId="7" fillId="7" borderId="11" xfId="0" applyFont="1" applyFill="1" applyBorder="1" applyAlignment="1">
      <alignment horizontal="center" vertical="center"/>
    </xf>
    <xf numFmtId="0" fontId="0" fillId="0" borderId="0" xfId="0" applyBorder="1" applyAlignment="1">
      <alignment wrapText="1"/>
    </xf>
    <xf numFmtId="0" fontId="8" fillId="7" borderId="11" xfId="0" applyNumberFormat="1" applyFont="1" applyFill="1" applyBorder="1" applyAlignment="1">
      <alignment horizontal="left" vertical="center"/>
    </xf>
    <xf numFmtId="0" fontId="8" fillId="7" borderId="0" xfId="0" applyFont="1" applyFill="1" applyBorder="1" applyAlignment="1">
      <alignment horizontal="left" vertical="center"/>
    </xf>
    <xf numFmtId="0" fontId="20" fillId="0" borderId="0" xfId="0" applyFont="1" applyBorder="1" applyAlignment="1">
      <alignment horizontal="left" vertical="top" wrapText="1"/>
    </xf>
    <xf numFmtId="0" fontId="4" fillId="0" borderId="0" xfId="0" applyFont="1" applyAlignment="1">
      <alignment horizontal="left" wrapText="1"/>
    </xf>
    <xf numFmtId="0" fontId="68" fillId="0" borderId="0" xfId="0" applyFont="1" applyAlignment="1">
      <alignment horizontal="left" vertical="top" wrapText="1"/>
    </xf>
    <xf numFmtId="0" fontId="0" fillId="0" borderId="0" xfId="0" applyAlignment="1">
      <alignment vertical="top" wrapText="1"/>
    </xf>
    <xf numFmtId="0" fontId="120" fillId="0" borderId="0" xfId="0" applyFont="1" applyAlignment="1">
      <alignment horizontal="left" wrapText="1"/>
    </xf>
    <xf numFmtId="0" fontId="130" fillId="0" borderId="0" xfId="0" applyFont="1" applyAlignment="1">
      <alignment wrapText="1"/>
    </xf>
    <xf numFmtId="0" fontId="18" fillId="13" borderId="11" xfId="0" applyFont="1" applyFill="1" applyBorder="1" applyAlignment="1">
      <alignment horizontal="center" vertical="center"/>
    </xf>
    <xf numFmtId="0" fontId="18" fillId="15" borderId="11" xfId="0" applyFont="1" applyFill="1" applyBorder="1" applyAlignment="1">
      <alignment horizontal="center" vertical="center"/>
    </xf>
    <xf numFmtId="0" fontId="0" fillId="15" borderId="11" xfId="0" applyFont="1" applyFill="1" applyBorder="1" applyAlignment="1">
      <alignment horizontal="center" vertical="center"/>
    </xf>
    <xf numFmtId="0" fontId="0" fillId="13" borderId="11" xfId="0" applyFont="1" applyFill="1" applyBorder="1" applyAlignment="1">
      <alignment horizontal="center" vertical="center"/>
    </xf>
    <xf numFmtId="3" fontId="20" fillId="0" borderId="4" xfId="0" applyNumberFormat="1" applyFont="1" applyBorder="1" applyAlignment="1">
      <alignment horizontal="left" vertical="top" wrapText="1"/>
    </xf>
    <xf numFmtId="0" fontId="2" fillId="0" borderId="4" xfId="0" applyFont="1" applyBorder="1" applyAlignment="1">
      <alignment wrapText="1"/>
    </xf>
    <xf numFmtId="0" fontId="0" fillId="0" borderId="0" xfId="0" applyFont="1" applyAlignment="1">
      <alignment wrapText="1"/>
    </xf>
    <xf numFmtId="0" fontId="20" fillId="0" borderId="0" xfId="0" applyFont="1" applyBorder="1" applyAlignment="1">
      <alignment vertical="top" wrapText="1"/>
    </xf>
    <xf numFmtId="0" fontId="31" fillId="0" borderId="0" xfId="0" applyFont="1" applyBorder="1" applyAlignment="1">
      <alignment vertical="top" wrapText="1"/>
    </xf>
    <xf numFmtId="0" fontId="20" fillId="0" borderId="0" xfId="0" applyFont="1" applyAlignment="1">
      <alignment wrapText="1"/>
    </xf>
    <xf numFmtId="3" fontId="20" fillId="4" borderId="4" xfId="0" applyNumberFormat="1" applyFont="1" applyFill="1" applyBorder="1" applyAlignment="1">
      <alignment horizontal="left" vertical="top" wrapText="1"/>
    </xf>
    <xf numFmtId="0" fontId="7" fillId="22" borderId="11" xfId="0" applyFont="1" applyFill="1" applyBorder="1" applyAlignment="1">
      <alignment horizontal="left"/>
    </xf>
    <xf numFmtId="0" fontId="0" fillId="0" borderId="11" xfId="0" applyBorder="1" applyAlignment="1"/>
  </cellXfs>
  <cellStyles count="31">
    <cellStyle name="Hyperlink" xfId="1" xr:uid="{C66063FD-15C3-0641-8B1A-28D8A9C860DF}"/>
    <cellStyle name="Lien hypertexte 2" xfId="3" xr:uid="{B61F8A02-BF49-0540-950B-1C8BB69D2CFC}"/>
    <cellStyle name="Link" xfId="2" builtinId="8"/>
    <cellStyle name="Normal 10" xfId="4" xr:uid="{AB4CE1A9-5A4F-7042-8EA3-A21327A9DA0E}"/>
    <cellStyle name="Normal 11" xfId="5" xr:uid="{32D87743-BE20-E448-A8FB-3A3CD7F69D24}"/>
    <cellStyle name="Normal 12" xfId="6" xr:uid="{E6BDA7AF-D383-6541-BA20-9BE88A77DCB3}"/>
    <cellStyle name="Normal 13" xfId="7" xr:uid="{E147B973-8A53-924C-B847-B35AA5429E91}"/>
    <cellStyle name="Normal 14" xfId="8" xr:uid="{0FEB60EF-701F-4A41-8B0E-72E5E8680DF5}"/>
    <cellStyle name="Normal 15" xfId="9" xr:uid="{720424D9-0B1B-E44B-8C62-7CA18687FEE4}"/>
    <cellStyle name="Normal 16" xfId="10" xr:uid="{252BAB55-DED2-604E-A58A-910141360CE8}"/>
    <cellStyle name="Normal 2" xfId="11" xr:uid="{4ED587F5-94A4-C649-91B3-7622F335B765}"/>
    <cellStyle name="Normal 2 2" xfId="12" xr:uid="{5E55942A-B193-564A-838C-1C9CF6654DCA}"/>
    <cellStyle name="Normal 2 3" xfId="13" xr:uid="{367B813E-CE24-934B-B62D-3EDA9D691254}"/>
    <cellStyle name="Normal 2 4" xfId="14" xr:uid="{7347F493-73FD-2C48-B18C-512873000776}"/>
    <cellStyle name="Normal 3" xfId="15" xr:uid="{BB84F6D3-57CD-0546-A3AE-EB5C629ACC4E}"/>
    <cellStyle name="Normal 4" xfId="16" xr:uid="{6A3FDAA5-AFAF-E148-AC06-7BF764CB7AF6}"/>
    <cellStyle name="Normal 5" xfId="17" xr:uid="{B9065DFD-4101-974C-A13F-3D1F82682B7E}"/>
    <cellStyle name="Normal 6" xfId="18" xr:uid="{39984732-3B9B-B147-ACA7-62FDB606DC7A}"/>
    <cellStyle name="Normal 7" xfId="19" xr:uid="{E7DEF8EA-1259-F14D-BDEC-44EE4C3EA68A}"/>
    <cellStyle name="Normal 8" xfId="20" xr:uid="{1942B1D0-8522-EF45-A0C3-AE2362BCBD7D}"/>
    <cellStyle name="Normal 9" xfId="21" xr:uid="{BE7A5510-43AF-364C-BA39-9CEBA787CD17}"/>
    <cellStyle name="Normal 9 2" xfId="22" xr:uid="{A6D92C52-89C1-894C-9BDE-06548EAF2805}"/>
    <cellStyle name="Normal_KV_liste T11" xfId="23" xr:uid="{CF43591D-04D4-8141-AFF9-2E6160EBB274}"/>
    <cellStyle name="Normal_KV_liste T8" xfId="24" xr:uid="{CF741503-EB5E-0548-9E85-D59133F0C07F}"/>
    <cellStyle name="Normal_KV_T_2006_all_220807_d_sans liaisons" xfId="25" xr:uid="{2DCC7911-3C39-ED4C-AB34-A1331040A61D}"/>
    <cellStyle name="Normal_KV0_5 annexe A_09fd" xfId="26" xr:uid="{81EFEE69-8767-D84A-B374-A80001536D0B}"/>
    <cellStyle name="Normal_KV5_Aufsichtsdaten_2004_formate_310505" xfId="27" xr:uid="{2D989DFC-A860-0F46-BDFA-0BAC9B5D4FB7}"/>
    <cellStyle name="Normal_modif EF1_112_d_241104" xfId="28" xr:uid="{0A9FBF20-9005-C14B-B212-23B2A94ECDEA}"/>
    <cellStyle name="Normal_PV1_2002_f" xfId="29" xr:uid="{B4ACBA26-72AF-D540-8926-473F0318A321}"/>
    <cellStyle name="Standard" xfId="0" builtinId="0"/>
    <cellStyle name="xxx" xfId="30" xr:uid="{D6837BA3-94E7-1144-9D46-42C8FEBA1702}"/>
  </cellStyles>
  <dxfs count="28">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sharedStrings" Target="sharedString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sheetMetadata" Target="metadata.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theme" Target="theme/theme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styles" Target="style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'901d'!$D$5</c:f>
              <c:strCache>
                <c:ptCount val="1"/>
                <c:pt idx="0">
                  <c:v>FMH 3</c:v>
                </c:pt>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'901d'!$A$8:$A$34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'901d'!$D$8:$D$34</c:f>
              <c:numCache>
                <c:formatCode>#,##0</c:formatCode>
                <c:ptCount val="27"/>
                <c:pt idx="0">
                  <c:v>2360</c:v>
                </c:pt>
                <c:pt idx="1">
                  <c:v>1264</c:v>
                </c:pt>
                <c:pt idx="2">
                  <c:v>327</c:v>
                </c:pt>
                <c:pt idx="3">
                  <c:v>12</c:v>
                </c:pt>
                <c:pt idx="4">
                  <c:v>98</c:v>
                </c:pt>
                <c:pt idx="5">
                  <c:v>14</c:v>
                </c:pt>
                <c:pt idx="6">
                  <c:v>26</c:v>
                </c:pt>
                <c:pt idx="7">
                  <c:v>25</c:v>
                </c:pt>
                <c:pt idx="8">
                  <c:v>141</c:v>
                </c:pt>
                <c:pt idx="9">
                  <c:v>222</c:v>
                </c:pt>
                <c:pt idx="10">
                  <c:v>210</c:v>
                </c:pt>
                <c:pt idx="11">
                  <c:v>566</c:v>
                </c:pt>
                <c:pt idx="12">
                  <c:v>394</c:v>
                </c:pt>
                <c:pt idx="13">
                  <c:v>76</c:v>
                </c:pt>
                <c:pt idx="14">
                  <c:v>39</c:v>
                </c:pt>
                <c:pt idx="15">
                  <c:v>6</c:v>
                </c:pt>
                <c:pt idx="16">
                  <c:v>510</c:v>
                </c:pt>
                <c:pt idx="17">
                  <c:v>151</c:v>
                </c:pt>
                <c:pt idx="18">
                  <c:v>611</c:v>
                </c:pt>
                <c:pt idx="19">
                  <c:v>218</c:v>
                </c:pt>
                <c:pt idx="20">
                  <c:v>410</c:v>
                </c:pt>
                <c:pt idx="21">
                  <c:v>1164</c:v>
                </c:pt>
                <c:pt idx="22">
                  <c:v>264</c:v>
                </c:pt>
                <c:pt idx="23">
                  <c:v>195</c:v>
                </c:pt>
                <c:pt idx="24">
                  <c:v>1234</c:v>
                </c:pt>
                <c:pt idx="25">
                  <c:v>52</c:v>
                </c:pt>
                <c:pt idx="26">
                  <c:v>10589</c:v>
                </c:pt>
              </c:numCache>
            </c:numRef>
          </c:val>
          <c:smooth val="0"/>
          <c:extLst>
            <c:ext xmlns:c16="http://schemas.microsoft.com/office/drawing/2014/chart" uri="{C3380CC4-5D6E-409C-BE32-E72D297353CC}">
              <c16:uniqueId val="{00000000-6AD6-9F43-9C7A-AB55A958C299}"/>
            </c:ext>
          </c:extLst>
        </c:ser>
        <c:dLbls>
          <c:showLegendKey val="0"/>
          <c:showVal val="0"/>
          <c:showCatName val="0"/>
          <c:showSerName val="0"/>
          <c:showPercent val="0"/>
          <c:showBubbleSize val="0"/>
        </c:dLbls>
        <c:marker val="1"/>
        <c:smooth val="0"/>
        <c:axId val="273632224"/>
        <c:axId val="1"/>
      </c:lineChart>
      <c:lineChart>
        <c:grouping val="standard"/>
        <c:varyColors val="0"/>
        <c:ser>
          <c:idx val="0"/>
          <c:order val="1"/>
          <c:tx>
            <c:strRef>
              <c:f>'901d'!$G$5</c:f>
              <c:strCache>
                <c:ptCount val="1"/>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'901d'!$A$8:$A$34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'901d'!$G$8:$G$34</c:f>
              <c:numCache>
                <c:formatCode>#,##0</c:formatCode>
                <c:ptCount val="27"/>
                <c:pt idx="0">
                  <c:v>228</c:v>
                </c:pt>
                <c:pt idx="1">
                  <c:v>170</c:v>
                </c:pt>
                <c:pt idx="2">
                  <c:v>37</c:v>
                </c:pt>
                <c:pt idx="3">
                  <c:v>2</c:v>
                </c:pt>
                <c:pt idx="4">
                  <c:v>13</c:v>
                </c:pt>
                <c:pt idx="5">
                  <c:v>3</c:v>
                </c:pt>
                <c:pt idx="6">
                  <c:v>3</c:v>
                </c:pt>
                <c:pt idx="7">
                  <c:v>2</c:v>
                </c:pt>
                <c:pt idx="8">
                  <c:v>15</c:v>
                </c:pt>
                <c:pt idx="9">
                  <c:v>68</c:v>
                </c:pt>
                <c:pt idx="10">
                  <c:v>27</c:v>
                </c:pt>
                <c:pt idx="11">
                  <c:v>75</c:v>
                </c:pt>
                <c:pt idx="12">
                  <c:v>48</c:v>
                </c:pt>
                <c:pt idx="13">
                  <c:v>13</c:v>
                </c:pt>
                <c:pt idx="14">
                  <c:v>5</c:v>
                </c:pt>
                <c:pt idx="15">
                  <c:v>1</c:v>
                </c:pt>
                <c:pt idx="16">
                  <c:v>55</c:v>
                </c:pt>
                <c:pt idx="17">
                  <c:v>43</c:v>
                </c:pt>
                <c:pt idx="18">
                  <c:v>118</c:v>
                </c:pt>
                <c:pt idx="19">
                  <c:v>25</c:v>
                </c:pt>
                <c:pt idx="20">
                  <c:v>191</c:v>
                </c:pt>
                <c:pt idx="21">
                  <c:v>247</c:v>
                </c:pt>
                <c:pt idx="22">
                  <c:v>114</c:v>
                </c:pt>
                <c:pt idx="23">
                  <c:v>55</c:v>
                </c:pt>
                <c:pt idx="24">
                  <c:v>167</c:v>
                </c:pt>
                <c:pt idx="25">
                  <c:v>19</c:v>
                </c:pt>
                <c:pt idx="26">
                  <c:v>1744</c:v>
                </c:pt>
              </c:numCache>
            </c:numRef>
          </c:val>
          <c:smooth val="0"/>
          <c:extLst>
            <c:ext xmlns:c16="http://schemas.microsoft.com/office/drawing/2014/chart" uri="{C3380CC4-5D6E-409C-BE32-E72D297353CC}">
              <c16:uniqueId val="{00000001-6AD6-9F43-9C7A-AB55A958C299}"/>
            </c:ext>
          </c:extLst>
        </c:ser>
        <c:dLbls>
          <c:showLegendKey val="0"/>
          <c:showVal val="0"/>
          <c:showCatName val="0"/>
          <c:showSerName val="0"/>
          <c:showPercent val="0"/>
          <c:showBubbleSize val="0"/>
        </c:dLbls>
        <c:marker val="1"/>
        <c:smooth val="0"/>
        <c:axId val="3"/>
        <c:axId val="4"/>
      </c:lineChart>
      <c:catAx>
        <c:axId val="27363222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1"/>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273632224"/>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845"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'901d'!$D$5</c:f>
              <c:strCache>
                <c:ptCount val="1"/>
                <c:pt idx="0">
                  <c:v>FMH 3</c:v>
                </c:pt>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'901d'!$A$8:$A$34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'901d'!$D$8:$D$34</c:f>
              <c:numCache>
                <c:formatCode>#,##0</c:formatCode>
                <c:ptCount val="27"/>
                <c:pt idx="0">
                  <c:v>2360</c:v>
                </c:pt>
                <c:pt idx="1">
                  <c:v>1264</c:v>
                </c:pt>
                <c:pt idx="2">
                  <c:v>327</c:v>
                </c:pt>
                <c:pt idx="3">
                  <c:v>12</c:v>
                </c:pt>
                <c:pt idx="4">
                  <c:v>98</c:v>
                </c:pt>
                <c:pt idx="5">
                  <c:v>14</c:v>
                </c:pt>
                <c:pt idx="6">
                  <c:v>26</c:v>
                </c:pt>
                <c:pt idx="7">
                  <c:v>25</c:v>
                </c:pt>
                <c:pt idx="8">
                  <c:v>141</c:v>
                </c:pt>
                <c:pt idx="9">
                  <c:v>222</c:v>
                </c:pt>
                <c:pt idx="10">
                  <c:v>210</c:v>
                </c:pt>
                <c:pt idx="11">
                  <c:v>566</c:v>
                </c:pt>
                <c:pt idx="12">
                  <c:v>394</c:v>
                </c:pt>
                <c:pt idx="13">
                  <c:v>76</c:v>
                </c:pt>
                <c:pt idx="14">
                  <c:v>39</c:v>
                </c:pt>
                <c:pt idx="15">
                  <c:v>6</c:v>
                </c:pt>
                <c:pt idx="16">
                  <c:v>510</c:v>
                </c:pt>
                <c:pt idx="17">
                  <c:v>151</c:v>
                </c:pt>
                <c:pt idx="18">
                  <c:v>611</c:v>
                </c:pt>
                <c:pt idx="19">
                  <c:v>218</c:v>
                </c:pt>
                <c:pt idx="20">
                  <c:v>410</c:v>
                </c:pt>
                <c:pt idx="21">
                  <c:v>1164</c:v>
                </c:pt>
                <c:pt idx="22">
                  <c:v>264</c:v>
                </c:pt>
                <c:pt idx="23">
                  <c:v>195</c:v>
                </c:pt>
                <c:pt idx="24">
                  <c:v>1234</c:v>
                </c:pt>
                <c:pt idx="25">
                  <c:v>52</c:v>
                </c:pt>
                <c:pt idx="26">
                  <c:v>10589</c:v>
                </c:pt>
              </c:numCache>
            </c:numRef>
          </c:val>
          <c:smooth val="0"/>
          <c:extLst>
            <c:ext xmlns:c16="http://schemas.microsoft.com/office/drawing/2014/chart" uri="{C3380CC4-5D6E-409C-BE32-E72D297353CC}">
              <c16:uniqueId val="{00000000-2236-6C40-97D6-3C41B5556C6E}"/>
            </c:ext>
          </c:extLst>
        </c:ser>
        <c:dLbls>
          <c:showLegendKey val="0"/>
          <c:showVal val="0"/>
          <c:showCatName val="0"/>
          <c:showSerName val="0"/>
          <c:showPercent val="0"/>
          <c:showBubbleSize val="0"/>
        </c:dLbls>
        <c:marker val="1"/>
        <c:smooth val="0"/>
        <c:axId val="2052401103"/>
        <c:axId val="1"/>
      </c:lineChart>
      <c:lineChart>
        <c:grouping val="standard"/>
        <c:varyColors val="0"/>
        <c:ser>
          <c:idx val="0"/>
          <c:order val="1"/>
          <c:tx>
            <c:strRef>
              <c:f>'901d'!$G$5</c:f>
              <c:strCache>
                <c:ptCount val="1"/>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'901d'!$A$8:$A$34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'901d'!$G$8:$G$34</c:f>
              <c:numCache>
                <c:formatCode>#,##0</c:formatCode>
                <c:ptCount val="27"/>
                <c:pt idx="0">
                  <c:v>228</c:v>
                </c:pt>
                <c:pt idx="1">
                  <c:v>170</c:v>
                </c:pt>
                <c:pt idx="2">
                  <c:v>37</c:v>
                </c:pt>
                <c:pt idx="3">
                  <c:v>2</c:v>
                </c:pt>
                <c:pt idx="4">
                  <c:v>13</c:v>
                </c:pt>
                <c:pt idx="5">
                  <c:v>3</c:v>
                </c:pt>
                <c:pt idx="6">
                  <c:v>3</c:v>
                </c:pt>
                <c:pt idx="7">
                  <c:v>2</c:v>
                </c:pt>
                <c:pt idx="8">
                  <c:v>15</c:v>
                </c:pt>
                <c:pt idx="9">
                  <c:v>68</c:v>
                </c:pt>
                <c:pt idx="10">
                  <c:v>27</c:v>
                </c:pt>
                <c:pt idx="11">
                  <c:v>75</c:v>
                </c:pt>
                <c:pt idx="12">
                  <c:v>48</c:v>
                </c:pt>
                <c:pt idx="13">
                  <c:v>13</c:v>
                </c:pt>
                <c:pt idx="14">
                  <c:v>5</c:v>
                </c:pt>
                <c:pt idx="15">
                  <c:v>1</c:v>
                </c:pt>
                <c:pt idx="16">
                  <c:v>55</c:v>
                </c:pt>
                <c:pt idx="17">
                  <c:v>43</c:v>
                </c:pt>
                <c:pt idx="18">
                  <c:v>118</c:v>
                </c:pt>
                <c:pt idx="19">
                  <c:v>25</c:v>
                </c:pt>
                <c:pt idx="20">
                  <c:v>191</c:v>
                </c:pt>
                <c:pt idx="21">
                  <c:v>247</c:v>
                </c:pt>
                <c:pt idx="22">
                  <c:v>114</c:v>
                </c:pt>
                <c:pt idx="23">
                  <c:v>55</c:v>
                </c:pt>
                <c:pt idx="24">
                  <c:v>167</c:v>
                </c:pt>
                <c:pt idx="25">
                  <c:v>19</c:v>
                </c:pt>
                <c:pt idx="26">
                  <c:v>1744</c:v>
                </c:pt>
              </c:numCache>
            </c:numRef>
          </c:val>
          <c:smooth val="0"/>
          <c:extLst>
            <c:ext xmlns:c16="http://schemas.microsoft.com/office/drawing/2014/chart" uri="{C3380CC4-5D6E-409C-BE32-E72D297353CC}">
              <c16:uniqueId val="{00000001-2236-6C40-97D6-3C41B5556C6E}"/>
            </c:ext>
          </c:extLst>
        </c:ser>
        <c:dLbls>
          <c:showLegendKey val="0"/>
          <c:showVal val="0"/>
          <c:showCatName val="0"/>
          <c:showSerName val="0"/>
          <c:showPercent val="0"/>
          <c:showBubbleSize val="0"/>
        </c:dLbls>
        <c:marker val="1"/>
        <c:smooth val="0"/>
        <c:axId val="3"/>
        <c:axId val="4"/>
      </c:lineChart>
      <c:catAx>
        <c:axId val="205240110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25"/>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2052401103"/>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845"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631825</xdr:colOff>
      <xdr:row>2</xdr:row>
      <xdr:rowOff>304800</xdr:rowOff>
    </xdr:from>
    <xdr:to>
      <xdr:col>7</xdr:col>
      <xdr:colOff>130295</xdr:colOff>
      <xdr:row>7</xdr:row>
      <xdr:rowOff>274320</xdr:rowOff>
    </xdr:to>
    <xdr:sp macro="" textlink="">
      <xdr:nvSpPr>
        <xdr:cNvPr id="2" name="AutoShape 1">
          <a:extLst>
            <a:ext uri="{FF2B5EF4-FFF2-40B4-BE49-F238E27FC236}">
              <a16:creationId xmlns:a16="http://schemas.microsoft.com/office/drawing/2014/main" id="{8591D3BF-BCEF-AAB6-A011-62DC73A64E14}"/>
            </a:ext>
          </a:extLst>
        </xdr:cNvPr>
        <xdr:cNvSpPr>
          <a:spLocks noChangeArrowheads="1"/>
        </xdr:cNvSpPr>
      </xdr:nvSpPr>
      <xdr:spPr bwMode="auto">
        <a:xfrm>
          <a:off x="3629025" y="739140"/>
          <a:ext cx="2868926" cy="1036320"/>
        </a:xfrm>
        <a:prstGeom prst="wedgeRectCallout">
          <a:avLst>
            <a:gd name="adj1" fmla="val -96905"/>
            <a:gd name="adj2" fmla="val 157906"/>
          </a:avLst>
        </a:prstGeom>
        <a:solidFill>
          <a:srgbClr val="E3E3E3"/>
        </a:solidFill>
        <a:ln w="9525">
          <a:solidFill>
            <a:srgbClr val="000000"/>
          </a:solidFill>
          <a:miter lim="800000"/>
          <a:headEnd/>
          <a:tailEnd/>
        </a:ln>
      </xdr:spPr>
      <xdr:txBody>
        <a:bodyPr vertOverflow="clip" wrap="square" lIns="36576" tIns="27432" rIns="0" bIns="0" anchor="t" upright="1"/>
        <a:lstStyle/>
        <a:p>
          <a:pPr algn="l" rtl="0">
            <a:defRPr sz="1000"/>
          </a:pPr>
          <a:r>
            <a:rPr lang="en-US" sz="900" b="0" i="0" u="none" strike="noStrike" baseline="0">
              <a:solidFill>
                <a:srgbClr val="000000"/>
              </a:solidFill>
              <a:latin typeface="55 Helvetica Roman"/>
            </a:rPr>
            <a:t>La partie tableaux sous forme Excel n'est disponible qu'en allemand.</a:t>
          </a:r>
        </a:p>
        <a:p>
          <a:pPr algn="l" rtl="0">
            <a:defRPr sz="1000"/>
          </a:pPr>
          <a:r>
            <a:rPr lang="en-US" sz="900" b="0" i="0" u="none" strike="noStrike" baseline="0">
              <a:solidFill>
                <a:srgbClr val="000000"/>
              </a:solidFill>
              <a:latin typeface="55 Helvetica Roman"/>
            </a:rPr>
            <a:t>La version française est disponible dans la version complète 2013 sous forme PDF publiée ultérieurement (~ juillet 2015). Il est aussi possible de se référer à la publication PDF 2012 contenant tous les tableaux en français .</a:t>
          </a:r>
        </a:p>
      </xdr:txBody>
    </xdr:sp>
    <xdr:clientData/>
  </xdr:twoCellAnchor>
  <xdr:twoCellAnchor>
    <xdr:from>
      <xdr:col>0</xdr:col>
      <xdr:colOff>215900</xdr:colOff>
      <xdr:row>68</xdr:row>
      <xdr:rowOff>114300</xdr:rowOff>
    </xdr:from>
    <xdr:to>
      <xdr:col>2</xdr:col>
      <xdr:colOff>558800</xdr:colOff>
      <xdr:row>72</xdr:row>
      <xdr:rowOff>101600</xdr:rowOff>
    </xdr:to>
    <xdr:pic>
      <xdr:nvPicPr>
        <xdr:cNvPr id="123610" name="Picture 3" descr="Logo_CMYK_pos">
          <a:extLst>
            <a:ext uri="{FF2B5EF4-FFF2-40B4-BE49-F238E27FC236}">
              <a16:creationId xmlns:a16="http://schemas.microsoft.com/office/drawing/2014/main" id="{861C1106-86B1-4342-AA8C-2029496E30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5900" y="12954000"/>
          <a:ext cx="21463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256540</xdr:colOff>
      <xdr:row>2</xdr:row>
      <xdr:rowOff>220980</xdr:rowOff>
    </xdr:from>
    <xdr:to>
      <xdr:col>10</xdr:col>
      <xdr:colOff>744219</xdr:colOff>
      <xdr:row>8</xdr:row>
      <xdr:rowOff>22860</xdr:rowOff>
    </xdr:to>
    <xdr:sp macro="" textlink="">
      <xdr:nvSpPr>
        <xdr:cNvPr id="4" name="AutoShape 1">
          <a:extLst>
            <a:ext uri="{FF2B5EF4-FFF2-40B4-BE49-F238E27FC236}">
              <a16:creationId xmlns:a16="http://schemas.microsoft.com/office/drawing/2014/main" id="{412FA4EC-D9DA-87F0-1C63-85CBBCA67F84}"/>
            </a:ext>
          </a:extLst>
        </xdr:cNvPr>
        <xdr:cNvSpPr>
          <a:spLocks noChangeArrowheads="1"/>
        </xdr:cNvSpPr>
      </xdr:nvSpPr>
      <xdr:spPr bwMode="auto">
        <a:xfrm>
          <a:off x="7452360" y="655320"/>
          <a:ext cx="2019299" cy="1264920"/>
        </a:xfrm>
        <a:prstGeom prst="wedgeRectCallout">
          <a:avLst>
            <a:gd name="adj1" fmla="val 206"/>
            <a:gd name="adj2" fmla="val 50318"/>
          </a:avLst>
        </a:prstGeom>
        <a:solidFill>
          <a:srgbClr val="FFC000"/>
        </a:solidFill>
        <a:ln w="9525">
          <a:solidFill>
            <a:srgbClr val="000000"/>
          </a:solidFill>
          <a:miter lim="800000"/>
          <a:headEnd/>
          <a:tailEnd/>
        </a:ln>
      </xdr:spPr>
      <xdr:txBody>
        <a:bodyPr vertOverflow="clip" wrap="square" lIns="36576" tIns="27432" rIns="0" bIns="0" anchor="t" upright="1"/>
        <a:lstStyle/>
        <a:p>
          <a:r>
            <a:rPr lang="fr-CH" sz="800">
              <a:latin typeface="+mn-lt"/>
              <a:ea typeface="+mn-ea"/>
              <a:cs typeface="+mn-cs"/>
            </a:rPr>
            <a:t>Document réalisé avec Excel 2013, enregistré dans le format XLS compatible aussi selon l’éditeur du logiciel avec Excel 97-2003. Dans la pratique on constate cependant qu’une pleine compatibilité d’affichage à l’écran ou lors de l’impression n’est pas toujours garantie en cas d’utilisation d’une version de tableur autre que celle utilisée pour la création du document. </a:t>
          </a:r>
          <a:endParaRPr lang="en-US" sz="800">
            <a:latin typeface="+mn-lt"/>
            <a:ea typeface="+mn-ea"/>
            <a:cs typeface="+mn-cs"/>
          </a:endParaRPr>
        </a:p>
      </xdr:txBody>
    </xdr:sp>
    <xdr:clientData/>
  </xdr:twoCellAnchor>
  <xdr:twoCellAnchor>
    <xdr:from>
      <xdr:col>8</xdr:col>
      <xdr:colOff>269875</xdr:colOff>
      <xdr:row>9</xdr:row>
      <xdr:rowOff>83820</xdr:rowOff>
    </xdr:from>
    <xdr:to>
      <xdr:col>10</xdr:col>
      <xdr:colOff>764536</xdr:colOff>
      <xdr:row>14</xdr:row>
      <xdr:rowOff>53340</xdr:rowOff>
    </xdr:to>
    <xdr:sp macro="" textlink="">
      <xdr:nvSpPr>
        <xdr:cNvPr id="5" name="AutoShape 1">
          <a:extLst>
            <a:ext uri="{FF2B5EF4-FFF2-40B4-BE49-F238E27FC236}">
              <a16:creationId xmlns:a16="http://schemas.microsoft.com/office/drawing/2014/main" id="{4BFD01FA-3407-0B8F-3BD6-2E2C8B53A6D7}"/>
            </a:ext>
          </a:extLst>
        </xdr:cNvPr>
        <xdr:cNvSpPr>
          <a:spLocks noChangeArrowheads="1"/>
        </xdr:cNvSpPr>
      </xdr:nvSpPr>
      <xdr:spPr bwMode="auto">
        <a:xfrm>
          <a:off x="7465695" y="2118360"/>
          <a:ext cx="2013585" cy="1303020"/>
        </a:xfrm>
        <a:prstGeom prst="wedgeRectCallout">
          <a:avLst>
            <a:gd name="adj1" fmla="val 206"/>
            <a:gd name="adj2" fmla="val 50318"/>
          </a:avLst>
        </a:prstGeom>
        <a:solidFill>
          <a:srgbClr val="FFC000"/>
        </a:solidFill>
        <a:ln w="9525">
          <a:solidFill>
            <a:srgbClr val="000000"/>
          </a:solidFill>
          <a:miter lim="800000"/>
          <a:headEnd/>
          <a:tailEnd/>
        </a:ln>
      </xdr:spPr>
      <xdr:txBody>
        <a:bodyPr vertOverflow="clip" wrap="square" lIns="36576" tIns="27432" rIns="0" bIns="0" anchor="t" upright="1"/>
        <a:lstStyle/>
        <a:p>
          <a:r>
            <a:rPr lang="de-CH" sz="800">
              <a:latin typeface="+mn-lt"/>
              <a:ea typeface="+mn-ea"/>
              <a:cs typeface="+mn-cs"/>
            </a:rPr>
            <a:t>Das Dokument wurde erstellt mit Excel 2013 und im Format XLS gespeichert, das gemäss Angaben des Softwareherstellers kompatibel mit Excel 97-2003 ist. Die Praxis zeigt allerdings, dass eine volle Kompatibilität bei der Bildschirmdarstellung oder dem Druck nicht immer gewährleistet ist, falls die Version des Tabellenprogramms von derjenigen des zum Aufbau verwendeten abweicht. </a:t>
          </a:r>
          <a:endParaRPr lang="en-US" sz="800" b="0" i="0" u="none" strike="noStrike" baseline="0">
            <a:solidFill>
              <a:srgbClr val="000000"/>
            </a:solidFill>
            <a:latin typeface="55 Helvetica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53</xdr:row>
      <xdr:rowOff>0</xdr:rowOff>
    </xdr:from>
    <xdr:to>
      <xdr:col>11</xdr:col>
      <xdr:colOff>0</xdr:colOff>
      <xdr:row>53</xdr:row>
      <xdr:rowOff>0</xdr:rowOff>
    </xdr:to>
    <xdr:graphicFrame macro="">
      <xdr:nvGraphicFramePr>
        <xdr:cNvPr id="141495" name="Chart 1">
          <a:extLst>
            <a:ext uri="{FF2B5EF4-FFF2-40B4-BE49-F238E27FC236}">
              <a16:creationId xmlns:a16="http://schemas.microsoft.com/office/drawing/2014/main" id="{F4CE5720-4E81-4B3C-AC58-DC0EC7FAE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53</xdr:row>
      <xdr:rowOff>0</xdr:rowOff>
    </xdr:from>
    <xdr:to>
      <xdr:col>12</xdr:col>
      <xdr:colOff>0</xdr:colOff>
      <xdr:row>53</xdr:row>
      <xdr:rowOff>0</xdr:rowOff>
    </xdr:to>
    <xdr:graphicFrame macro="">
      <xdr:nvGraphicFramePr>
        <xdr:cNvPr id="141496" name="Chart 2">
          <a:extLst>
            <a:ext uri="{FF2B5EF4-FFF2-40B4-BE49-F238E27FC236}">
              <a16:creationId xmlns:a16="http://schemas.microsoft.com/office/drawing/2014/main" id="{43765E31-0BDE-6645-E6A7-0EB3373BE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0.xml.rels><?xml version="1.0" encoding="UTF-8" standalone="yes"?>
<Relationships xmlns="http://schemas.openxmlformats.org/package/2006/relationships"><Relationship Id="rId1" Type="http://schemas.openxmlformats.org/officeDocument/2006/relationships/hyperlink" Target="http://www.versichererreport.finma.ch/reportportal/%20%20Rubrik%20Schadenversicherer%20/%20Direktes%20Schweizergesch&#228;ft%20/%20Krankenversicherung." TargetMode="Externa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4.xml.rels><?xml version="1.0" encoding="UTF-8" standalone="yes"?>
<Relationships xmlns="http://schemas.openxmlformats.org/package/2006/relationships"><Relationship Id="rId1" Type="http://schemas.openxmlformats.org/officeDocument/2006/relationships/hyperlink" Target="http://www.kvg.org/ra/default.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7DB62-9764-8B4D-8E2C-E4CD4C6B07EF}">
  <sheetPr>
    <pageSetUpPr fitToPage="1"/>
  </sheetPr>
  <dimension ref="A1:M79"/>
  <sheetViews>
    <sheetView tabSelected="1" zoomScaleNormal="100" workbookViewId="0">
      <selection activeCell="A3" sqref="A3"/>
    </sheetView>
  </sheetViews>
  <sheetFormatPr baseColWidth="10" defaultColWidth="11.3984375" defaultRowHeight="13"/>
  <cols>
    <col min="1" max="1" width="16.59765625" style="3" customWidth="1"/>
    <col min="2" max="2" width="11.796875" style="3" customWidth="1"/>
    <col min="3" max="3" width="14.3984375" style="3" customWidth="1"/>
    <col min="4" max="6" width="11.796875" style="3" customWidth="1"/>
    <col min="7" max="7" width="14.19921875" style="3" customWidth="1"/>
    <col min="8" max="9" width="11.796875" style="3" customWidth="1"/>
    <col min="10" max="10" width="9.796875" style="3" customWidth="1"/>
    <col min="11" max="11" width="12.19921875" style="3" customWidth="1"/>
    <col min="12" max="16384" width="11.3984375" style="3"/>
  </cols>
  <sheetData>
    <row r="1" spans="1:13" s="1" customFormat="1" ht="7.25" customHeight="1">
      <c r="A1"/>
      <c r="B1"/>
      <c r="C1"/>
      <c r="D1"/>
      <c r="E1"/>
      <c r="F1"/>
      <c r="G1"/>
      <c r="H1"/>
      <c r="I1"/>
    </row>
    <row r="2" spans="1:13" ht="27" customHeight="1">
      <c r="A2" s="2" t="s">
        <v>0</v>
      </c>
      <c r="B2"/>
      <c r="C2"/>
      <c r="D2"/>
      <c r="E2"/>
      <c r="F2"/>
      <c r="G2"/>
      <c r="H2"/>
      <c r="I2"/>
    </row>
    <row r="3" spans="1:13" ht="27" customHeight="1">
      <c r="A3" s="4"/>
      <c r="B3"/>
      <c r="C3"/>
      <c r="D3"/>
      <c r="E3"/>
      <c r="F3"/>
      <c r="G3"/>
      <c r="H3"/>
      <c r="I3"/>
    </row>
    <row r="4" spans="1:13" ht="15" customHeight="1">
      <c r="A4" s="5" t="s">
        <v>1</v>
      </c>
      <c r="B4"/>
      <c r="C4"/>
      <c r="D4"/>
      <c r="E4"/>
      <c r="F4"/>
      <c r="G4"/>
      <c r="H4"/>
      <c r="I4"/>
    </row>
    <row r="5" spans="1:13" ht="17.25" customHeight="1">
      <c r="A5"/>
      <c r="B5"/>
      <c r="C5"/>
      <c r="D5"/>
      <c r="E5"/>
      <c r="F5"/>
      <c r="G5"/>
      <c r="H5"/>
      <c r="I5"/>
    </row>
    <row r="6" spans="1:13" ht="15.75" customHeight="1">
      <c r="B6"/>
      <c r="C6"/>
      <c r="D6"/>
      <c r="E6"/>
      <c r="F6"/>
      <c r="G6"/>
      <c r="H6"/>
      <c r="I6"/>
      <c r="J6" s="6"/>
    </row>
    <row r="7" spans="1:13" ht="9.75" customHeight="1">
      <c r="A7"/>
      <c r="B7"/>
      <c r="C7"/>
      <c r="D7"/>
      <c r="E7"/>
      <c r="F7"/>
      <c r="G7"/>
      <c r="H7"/>
      <c r="I7"/>
      <c r="J7" s="6"/>
    </row>
    <row r="8" spans="1:13" ht="31.5" customHeight="1">
      <c r="A8" s="7" t="s">
        <v>2</v>
      </c>
      <c r="B8"/>
      <c r="C8"/>
      <c r="D8"/>
      <c r="E8"/>
      <c r="F8"/>
      <c r="G8"/>
      <c r="H8"/>
      <c r="I8"/>
    </row>
    <row r="9" spans="1:13" ht="11.25" customHeight="1">
      <c r="B9"/>
      <c r="C9"/>
      <c r="D9"/>
      <c r="E9"/>
      <c r="F9"/>
      <c r="G9"/>
      <c r="H9"/>
      <c r="I9"/>
      <c r="K9" s="8"/>
      <c r="L9" s="8"/>
      <c r="M9" s="8"/>
    </row>
    <row r="10" spans="1:13" ht="20" customHeight="1">
      <c r="A10" s="5" t="s">
        <v>3</v>
      </c>
      <c r="B10"/>
      <c r="C10"/>
      <c r="D10"/>
      <c r="E10"/>
      <c r="F10"/>
      <c r="G10"/>
      <c r="H10"/>
      <c r="I10"/>
    </row>
    <row r="11" spans="1:13" ht="20" customHeight="1">
      <c r="A11" s="5"/>
      <c r="B11"/>
      <c r="C11"/>
      <c r="D11"/>
      <c r="E11"/>
      <c r="F11"/>
      <c r="G11" s="9" t="s">
        <v>4</v>
      </c>
      <c r="H11" s="10"/>
      <c r="I11"/>
    </row>
    <row r="12" spans="1:13" ht="20" customHeight="1">
      <c r="A12"/>
      <c r="B12"/>
      <c r="C12"/>
      <c r="D12"/>
      <c r="E12"/>
      <c r="F12"/>
      <c r="G12"/>
      <c r="H12"/>
      <c r="I12"/>
    </row>
    <row r="13" spans="1:13" ht="20.25" customHeight="1">
      <c r="A13"/>
      <c r="B13"/>
      <c r="C13"/>
      <c r="D13"/>
      <c r="E13"/>
      <c r="I13"/>
    </row>
    <row r="14" spans="1:13" ht="26.25" customHeight="1">
      <c r="A14" s="11" t="s">
        <v>5</v>
      </c>
      <c r="B14" s="12"/>
      <c r="C14" s="12"/>
      <c r="D14" s="13"/>
      <c r="E14" s="13"/>
      <c r="G14" s="14" t="s">
        <v>2668</v>
      </c>
      <c r="H14" s="12"/>
      <c r="I14"/>
    </row>
    <row r="15" spans="1:13" s="17" customFormat="1" ht="8.25" customHeight="1">
      <c r="A15" s="15"/>
      <c r="B15" s="16"/>
      <c r="C15" s="16"/>
      <c r="G15" s="18"/>
      <c r="H15" s="16"/>
      <c r="I15" s="16"/>
    </row>
    <row r="16" spans="1:13" ht="15" customHeight="1">
      <c r="A16" s="19" t="s">
        <v>6</v>
      </c>
      <c r="B16"/>
      <c r="C16"/>
      <c r="D16"/>
      <c r="E16"/>
      <c r="F16"/>
      <c r="G16"/>
      <c r="H16"/>
      <c r="I16"/>
    </row>
    <row r="17" spans="1:13" s="17" customFormat="1" ht="5.25" customHeight="1">
      <c r="A17" s="16"/>
      <c r="B17" s="16"/>
      <c r="C17" s="16"/>
      <c r="D17" s="16"/>
      <c r="E17" s="16"/>
      <c r="F17" s="16"/>
      <c r="G17" s="16"/>
      <c r="H17" s="16"/>
      <c r="I17" s="16"/>
    </row>
    <row r="18" spans="1:13" ht="17.25" customHeight="1">
      <c r="A18" s="20" t="s">
        <v>1000</v>
      </c>
      <c r="B18" s="21"/>
      <c r="C18" s="22"/>
      <c r="D18" s="23"/>
      <c r="E18" s="20" t="s">
        <v>1911</v>
      </c>
      <c r="F18" s="21"/>
      <c r="G18" s="21"/>
      <c r="H18" s="17"/>
      <c r="I18" s="24"/>
      <c r="J18" s="17"/>
      <c r="K18" s="17"/>
    </row>
    <row r="19" spans="1:13" ht="15" customHeight="1">
      <c r="A19" s="20" t="s">
        <v>999</v>
      </c>
      <c r="B19" s="21"/>
      <c r="C19" s="21"/>
      <c r="D19" s="25"/>
      <c r="E19" s="20" t="s">
        <v>2003</v>
      </c>
      <c r="F19" s="21"/>
      <c r="G19" s="21"/>
      <c r="H19" s="17"/>
      <c r="I19" s="26"/>
      <c r="J19" s="17"/>
      <c r="K19" s="17"/>
    </row>
    <row r="20" spans="1:13" ht="15" customHeight="1">
      <c r="A20" s="20" t="s">
        <v>717</v>
      </c>
      <c r="B20" s="27"/>
      <c r="C20" s="27"/>
      <c r="D20" s="28"/>
      <c r="E20" s="20" t="s">
        <v>2048</v>
      </c>
      <c r="F20" s="21"/>
      <c r="G20" s="21"/>
      <c r="H20" s="17"/>
      <c r="I20" s="26"/>
      <c r="J20" s="17"/>
      <c r="K20" s="17"/>
    </row>
    <row r="21" spans="1:13">
      <c r="A21" s="20" t="s">
        <v>998</v>
      </c>
      <c r="B21" s="21"/>
      <c r="C21" s="27"/>
      <c r="D21" s="28"/>
      <c r="E21" s="20" t="s">
        <v>2198</v>
      </c>
      <c r="F21" s="27"/>
      <c r="G21" s="27"/>
      <c r="H21" s="17"/>
      <c r="I21" s="29" t="s">
        <v>7</v>
      </c>
      <c r="J21" s="30"/>
      <c r="K21" s="30"/>
    </row>
    <row r="22" spans="1:13">
      <c r="A22" s="20" t="s">
        <v>1001</v>
      </c>
      <c r="B22" s="21"/>
      <c r="C22" s="27"/>
      <c r="D22" s="28"/>
      <c r="E22" s="20" t="s">
        <v>2584</v>
      </c>
      <c r="F22" s="27"/>
      <c r="G22" s="27"/>
      <c r="H22" s="17"/>
      <c r="I22" s="30" t="s">
        <v>8</v>
      </c>
      <c r="J22" s="30"/>
      <c r="K22" s="30"/>
    </row>
    <row r="23" spans="1:13">
      <c r="A23" s="20" t="s">
        <v>1086</v>
      </c>
      <c r="B23" s="21"/>
      <c r="C23" s="27"/>
      <c r="D23" s="28"/>
      <c r="E23" s="20" t="s">
        <v>2666</v>
      </c>
      <c r="F23" s="27"/>
      <c r="G23" s="27"/>
      <c r="H23" s="17"/>
      <c r="I23" s="31" t="s">
        <v>9</v>
      </c>
      <c r="J23" s="32"/>
      <c r="K23" s="32"/>
    </row>
    <row r="24" spans="1:13">
      <c r="A24" s="20" t="s">
        <v>1216</v>
      </c>
      <c r="B24" s="21"/>
      <c r="C24" s="27"/>
      <c r="D24" s="28"/>
      <c r="E24" s="20"/>
      <c r="F24" s="33"/>
      <c r="G24" s="27"/>
      <c r="H24" s="17"/>
    </row>
    <row r="25" spans="1:13">
      <c r="A25" s="20" t="s">
        <v>1805</v>
      </c>
      <c r="B25" s="21"/>
      <c r="C25" s="27"/>
      <c r="D25" s="28"/>
      <c r="E25" s="20"/>
      <c r="F25" s="27"/>
      <c r="G25" s="27"/>
      <c r="H25" s="17"/>
    </row>
    <row r="26" spans="1:13">
      <c r="A26" s="20" t="s">
        <v>1806</v>
      </c>
      <c r="B26" s="21"/>
      <c r="C26" s="27"/>
      <c r="D26" s="28"/>
      <c r="E26" s="20"/>
      <c r="F26" s="27"/>
      <c r="G26" s="27"/>
      <c r="H26" s="17"/>
    </row>
    <row r="27" spans="1:13">
      <c r="A27" s="20" t="s">
        <v>1871</v>
      </c>
      <c r="B27" s="21"/>
      <c r="C27" s="33"/>
      <c r="D27" s="28"/>
      <c r="E27" s="33"/>
      <c r="F27" s="27"/>
      <c r="G27" s="27"/>
      <c r="H27" s="17"/>
    </row>
    <row r="28" spans="1:13" ht="16">
      <c r="A28" s="34"/>
      <c r="B28" s="35"/>
      <c r="C28" s="36"/>
      <c r="I28" s="37" t="s">
        <v>2583</v>
      </c>
      <c r="J28" s="38"/>
      <c r="K28" s="38"/>
    </row>
    <row r="29" spans="1:13" ht="16">
      <c r="A29" s="34"/>
      <c r="I29" s="39"/>
      <c r="J29" s="40"/>
      <c r="K29" s="41"/>
      <c r="L29" s="17"/>
      <c r="M29" s="17"/>
    </row>
    <row r="30" spans="1:13" ht="16">
      <c r="A30" s="34"/>
      <c r="I30" s="42"/>
      <c r="J30" s="43"/>
      <c r="K30" s="43"/>
    </row>
    <row r="31" spans="1:13" ht="15">
      <c r="A31" s="44" t="s">
        <v>10</v>
      </c>
      <c r="B31" s="45"/>
      <c r="C31" s="17"/>
      <c r="D31" s="17"/>
      <c r="E31" s="17"/>
      <c r="F31" s="17"/>
      <c r="G31" s="46"/>
    </row>
    <row r="32" spans="1:13">
      <c r="A32" s="47" t="s">
        <v>1910</v>
      </c>
      <c r="B32" s="48"/>
      <c r="C32" s="49"/>
      <c r="D32" s="47" t="s">
        <v>2612</v>
      </c>
      <c r="E32" s="50"/>
      <c r="F32" s="49"/>
      <c r="G32" s="47"/>
      <c r="H32" s="51"/>
      <c r="I32" s="17"/>
      <c r="J32" s="47"/>
      <c r="K32" s="52"/>
    </row>
    <row r="33" spans="1:11">
      <c r="A33" s="47" t="s">
        <v>1909</v>
      </c>
      <c r="B33" s="48"/>
      <c r="C33" s="49"/>
      <c r="D33" s="47" t="s">
        <v>2667</v>
      </c>
      <c r="E33" s="48"/>
      <c r="F33" s="49"/>
      <c r="G33" s="47"/>
      <c r="H33" s="52"/>
      <c r="I33" s="17"/>
      <c r="J33" s="47"/>
      <c r="K33" s="52"/>
    </row>
    <row r="34" spans="1:11">
      <c r="A34" s="47" t="s">
        <v>2235</v>
      </c>
      <c r="B34" s="48"/>
      <c r="C34" s="49"/>
      <c r="D34" s="47" t="s">
        <v>2669</v>
      </c>
      <c r="E34" s="48"/>
      <c r="F34" s="49"/>
      <c r="G34" s="47"/>
      <c r="H34" s="52"/>
      <c r="I34" s="17"/>
      <c r="J34" s="47"/>
      <c r="K34" s="52"/>
    </row>
    <row r="35" spans="1:11">
      <c r="A35" s="53"/>
      <c r="B35" s="54"/>
      <c r="C35" s="17"/>
      <c r="D35" s="53"/>
      <c r="E35" s="54"/>
      <c r="G35" s="55"/>
      <c r="H35" s="53"/>
      <c r="I35" s="17"/>
      <c r="J35" s="55"/>
      <c r="K35" s="54"/>
    </row>
    <row r="36" spans="1:11" ht="16">
      <c r="A36" s="34"/>
    </row>
    <row r="37" spans="1:11" ht="16">
      <c r="A37" s="34" t="s">
        <v>11</v>
      </c>
      <c r="B37" s="56" t="s">
        <v>12</v>
      </c>
      <c r="C37" s="1989" t="s">
        <v>13</v>
      </c>
      <c r="D37" s="1990"/>
      <c r="J37" s="57"/>
    </row>
    <row r="38" spans="1:11" ht="16">
      <c r="A38" s="58"/>
      <c r="B38" s="36"/>
      <c r="C38" s="36"/>
    </row>
    <row r="39" spans="1:11" ht="14">
      <c r="A39" s="59" t="s">
        <v>14</v>
      </c>
      <c r="B39" s="60" t="s">
        <v>15</v>
      </c>
      <c r="C39" s="61" t="s">
        <v>16</v>
      </c>
      <c r="D39" s="62"/>
      <c r="E39" s="62"/>
      <c r="F39" s="62"/>
      <c r="G39" s="62"/>
      <c r="H39" s="62"/>
      <c r="I39" s="62"/>
      <c r="J39" s="62"/>
      <c r="K39" s="64"/>
    </row>
    <row r="40" spans="1:11" ht="14">
      <c r="A40" s="59" t="s">
        <v>17</v>
      </c>
      <c r="B40" s="60" t="s">
        <v>18</v>
      </c>
      <c r="C40" s="61" t="s">
        <v>19</v>
      </c>
      <c r="D40" s="62"/>
      <c r="E40" s="62"/>
      <c r="F40" s="62"/>
      <c r="G40" s="62"/>
      <c r="H40" s="62"/>
      <c r="I40" s="62"/>
      <c r="J40" s="62"/>
      <c r="K40" s="64"/>
    </row>
    <row r="41" spans="1:11" ht="14">
      <c r="A41" s="59" t="s">
        <v>20</v>
      </c>
      <c r="B41" s="60" t="s">
        <v>21</v>
      </c>
      <c r="C41" s="61" t="s">
        <v>22</v>
      </c>
      <c r="D41" s="62"/>
      <c r="E41" s="62"/>
      <c r="F41" s="62"/>
      <c r="G41" s="62"/>
      <c r="H41" s="62"/>
      <c r="I41" s="62"/>
      <c r="J41" s="62"/>
      <c r="K41" s="64"/>
    </row>
    <row r="42" spans="1:11" ht="14">
      <c r="A42" s="59" t="s">
        <v>23</v>
      </c>
      <c r="B42" s="60" t="s">
        <v>24</v>
      </c>
      <c r="C42" s="61" t="s">
        <v>25</v>
      </c>
      <c r="D42" s="62"/>
      <c r="E42" s="62"/>
      <c r="F42" s="62"/>
      <c r="G42" s="62"/>
      <c r="H42" s="62"/>
      <c r="I42" s="62"/>
      <c r="J42" s="62"/>
      <c r="K42" s="64"/>
    </row>
    <row r="43" spans="1:11" ht="14">
      <c r="A43" s="59" t="s">
        <v>26</v>
      </c>
      <c r="B43" s="783" t="s">
        <v>2096</v>
      </c>
      <c r="C43" s="61" t="s">
        <v>27</v>
      </c>
      <c r="D43" s="62"/>
      <c r="E43" s="1885"/>
      <c r="F43" s="1885"/>
      <c r="G43" s="1885"/>
      <c r="H43" s="1886"/>
      <c r="I43" s="784"/>
      <c r="J43" s="785" t="s">
        <v>1217</v>
      </c>
      <c r="K43" s="64"/>
    </row>
    <row r="44" spans="1:11" ht="14">
      <c r="A44" s="59" t="s">
        <v>28</v>
      </c>
      <c r="B44" s="60" t="s">
        <v>29</v>
      </c>
      <c r="C44" s="61" t="s">
        <v>30</v>
      </c>
      <c r="D44" s="62"/>
      <c r="E44" s="62"/>
      <c r="F44" s="62"/>
      <c r="G44" s="62"/>
      <c r="H44" s="62"/>
      <c r="I44" s="62"/>
      <c r="J44" s="62"/>
      <c r="K44" s="64"/>
    </row>
    <row r="45" spans="1:11" ht="14">
      <c r="A45" s="59" t="s">
        <v>31</v>
      </c>
      <c r="B45" s="60" t="s">
        <v>32</v>
      </c>
      <c r="C45" s="61" t="s">
        <v>33</v>
      </c>
      <c r="D45" s="62"/>
      <c r="E45" s="62"/>
      <c r="F45" s="62"/>
      <c r="G45" s="62"/>
      <c r="H45" s="62"/>
      <c r="I45" s="62"/>
      <c r="J45" s="62"/>
      <c r="K45" s="64"/>
    </row>
    <row r="46" spans="1:11" ht="14">
      <c r="A46" s="59" t="s">
        <v>34</v>
      </c>
      <c r="B46" s="60" t="s">
        <v>35</v>
      </c>
      <c r="C46" s="61" t="s">
        <v>36</v>
      </c>
      <c r="D46" s="62"/>
      <c r="E46" s="62"/>
      <c r="F46" s="62"/>
      <c r="G46" s="62"/>
      <c r="H46" s="62"/>
      <c r="I46" s="62"/>
      <c r="J46" s="62"/>
      <c r="K46" s="64"/>
    </row>
    <row r="47" spans="1:11" ht="14">
      <c r="A47" s="59" t="s">
        <v>37</v>
      </c>
      <c r="B47" s="60" t="s">
        <v>38</v>
      </c>
      <c r="C47" s="61" t="s">
        <v>39</v>
      </c>
      <c r="D47" s="62"/>
      <c r="E47" s="62"/>
      <c r="F47" s="62"/>
      <c r="G47" s="62"/>
      <c r="H47" s="62"/>
      <c r="I47" s="62"/>
      <c r="J47" s="62"/>
      <c r="K47" s="64"/>
    </row>
    <row r="48" spans="1:11" ht="14">
      <c r="A48" s="59" t="s">
        <v>40</v>
      </c>
      <c r="B48" s="60" t="s">
        <v>41</v>
      </c>
      <c r="C48" s="61" t="s">
        <v>42</v>
      </c>
      <c r="D48" s="62"/>
      <c r="E48" s="1889"/>
      <c r="F48" s="1889"/>
      <c r="G48" s="1889"/>
      <c r="H48" s="1889"/>
      <c r="I48" s="1889"/>
      <c r="J48" s="785"/>
      <c r="K48" s="64"/>
    </row>
    <row r="49" spans="1:11" ht="14">
      <c r="A49" s="59" t="s">
        <v>43</v>
      </c>
      <c r="B49" s="60" t="s">
        <v>44</v>
      </c>
      <c r="C49" s="61" t="s">
        <v>45</v>
      </c>
      <c r="D49" s="62"/>
      <c r="E49" s="62"/>
      <c r="F49" s="62"/>
      <c r="G49" s="62"/>
      <c r="H49" s="62"/>
      <c r="I49" s="62"/>
      <c r="J49" s="62"/>
      <c r="K49" s="64"/>
    </row>
    <row r="50" spans="1:11" ht="14">
      <c r="A50" s="59" t="s">
        <v>46</v>
      </c>
      <c r="B50" s="60" t="s">
        <v>47</v>
      </c>
      <c r="C50" s="61" t="s">
        <v>48</v>
      </c>
      <c r="D50" s="62"/>
      <c r="E50" s="62"/>
      <c r="F50" s="62"/>
      <c r="G50" s="62"/>
      <c r="H50" s="62"/>
      <c r="I50" s="62"/>
      <c r="J50" s="62"/>
      <c r="K50" s="64"/>
    </row>
    <row r="51" spans="1:11" ht="16.25" customHeight="1">
      <c r="A51" s="65" t="s">
        <v>49</v>
      </c>
      <c r="B51" s="66" t="s">
        <v>50</v>
      </c>
      <c r="C51" s="66"/>
      <c r="D51" s="66"/>
      <c r="E51" s="62"/>
      <c r="F51" s="62"/>
      <c r="G51" s="62"/>
      <c r="H51" s="62"/>
      <c r="I51" s="62"/>
      <c r="J51" s="62"/>
      <c r="K51" s="64"/>
    </row>
    <row r="52" spans="1:11" ht="14.5" customHeight="1">
      <c r="A52" s="65" t="s">
        <v>51</v>
      </c>
      <c r="B52" s="66" t="s">
        <v>52</v>
      </c>
      <c r="C52" s="66"/>
      <c r="D52" s="66"/>
      <c r="E52" s="62"/>
      <c r="F52" s="62"/>
      <c r="G52" s="62"/>
      <c r="H52" s="62"/>
      <c r="I52" s="62"/>
      <c r="J52" s="62"/>
      <c r="K52" s="64"/>
    </row>
    <row r="53" spans="1:11" s="68" customFormat="1" ht="14.5" customHeight="1">
      <c r="A53" s="65" t="s">
        <v>53</v>
      </c>
      <c r="B53" s="66" t="s">
        <v>54</v>
      </c>
      <c r="C53" s="70"/>
      <c r="D53" s="70"/>
      <c r="E53" s="71"/>
      <c r="F53" s="71"/>
      <c r="G53" s="71"/>
      <c r="H53" s="71"/>
      <c r="I53" s="71"/>
      <c r="J53" s="71"/>
      <c r="K53" s="67"/>
    </row>
    <row r="54" spans="1:11" s="68" customFormat="1" ht="14.5" hidden="1" customHeight="1">
      <c r="A54" s="69" t="s">
        <v>55</v>
      </c>
      <c r="B54" s="70" t="s">
        <v>56</v>
      </c>
      <c r="C54" s="70"/>
      <c r="D54" s="70"/>
      <c r="E54" s="71"/>
      <c r="F54" s="71"/>
      <c r="G54" s="71"/>
      <c r="H54" s="71"/>
      <c r="I54" s="71"/>
      <c r="J54" s="71"/>
      <c r="K54" s="67"/>
    </row>
    <row r="55" spans="1:11" s="68" customFormat="1" ht="13.25" customHeight="1">
      <c r="A55" s="65" t="s">
        <v>57</v>
      </c>
      <c r="B55" s="66" t="s">
        <v>58</v>
      </c>
      <c r="C55" s="70"/>
      <c r="D55" s="70"/>
      <c r="E55" s="71"/>
      <c r="F55" s="71"/>
      <c r="G55" s="71"/>
      <c r="H55" s="71"/>
      <c r="I55" s="71"/>
      <c r="J55" s="71"/>
      <c r="K55" s="67"/>
    </row>
    <row r="56" spans="1:11" ht="14.5" customHeight="1">
      <c r="A56" s="65" t="s">
        <v>2615</v>
      </c>
      <c r="B56" s="66" t="s">
        <v>2617</v>
      </c>
      <c r="C56" s="66"/>
      <c r="D56" s="66"/>
      <c r="E56" s="62"/>
      <c r="F56" s="62"/>
      <c r="G56" s="62"/>
      <c r="H56" s="62"/>
      <c r="I56" s="62"/>
      <c r="J56" s="62"/>
      <c r="K56" s="64"/>
    </row>
    <row r="57" spans="1:11" ht="21" customHeight="1"/>
    <row r="58" spans="1:11">
      <c r="A58" s="72"/>
      <c r="B58" s="72"/>
      <c r="C58" s="72"/>
      <c r="D58" s="72"/>
      <c r="E58" s="72"/>
      <c r="F58" s="72"/>
      <c r="G58" s="72"/>
      <c r="H58" s="72"/>
      <c r="I58" s="72"/>
      <c r="J58" s="72"/>
    </row>
    <row r="59" spans="1:11" ht="15.5" customHeight="1"/>
    <row r="60" spans="1:11" ht="14.25" customHeight="1">
      <c r="A60" s="73" t="s">
        <v>59</v>
      </c>
      <c r="B60"/>
      <c r="C60"/>
      <c r="D60"/>
      <c r="E60"/>
      <c r="F60"/>
      <c r="G60"/>
      <c r="H60"/>
      <c r="I60"/>
    </row>
    <row r="61" spans="1:11" ht="17.5" customHeight="1">
      <c r="A61" s="1"/>
      <c r="B61"/>
      <c r="C61"/>
      <c r="D61"/>
      <c r="E61"/>
      <c r="F61"/>
      <c r="G61"/>
      <c r="H61"/>
      <c r="I61"/>
    </row>
    <row r="62" spans="1:11">
      <c r="A62" s="72"/>
      <c r="B62" s="72"/>
      <c r="C62" s="72"/>
      <c r="D62" s="72"/>
      <c r="E62" s="72"/>
      <c r="F62" s="72"/>
      <c r="G62" s="72"/>
      <c r="H62" s="72"/>
      <c r="I62" s="72"/>
      <c r="J62" s="72"/>
    </row>
    <row r="63" spans="1:11" ht="14.5" customHeight="1"/>
    <row r="64" spans="1:11" ht="14">
      <c r="A64" s="74" t="s">
        <v>60</v>
      </c>
    </row>
    <row r="65" spans="1:12" ht="16">
      <c r="A65" s="75"/>
    </row>
    <row r="67" spans="1:12" ht="14">
      <c r="A67" s="76" t="s">
        <v>61</v>
      </c>
      <c r="D67" s="77" t="s">
        <v>572</v>
      </c>
    </row>
    <row r="68" spans="1:12" ht="14">
      <c r="D68" s="78" t="s">
        <v>2592</v>
      </c>
      <c r="L68" s="79"/>
    </row>
    <row r="69" spans="1:12">
      <c r="D69" s="78" t="s">
        <v>2591</v>
      </c>
      <c r="L69" s="80"/>
    </row>
    <row r="70" spans="1:12">
      <c r="J70" s="81"/>
      <c r="L70" s="82"/>
    </row>
    <row r="71" spans="1:12">
      <c r="D71" s="77" t="s">
        <v>573</v>
      </c>
      <c r="L71" s="82"/>
    </row>
    <row r="72" spans="1:12">
      <c r="D72" s="78" t="s">
        <v>2589</v>
      </c>
    </row>
    <row r="73" spans="1:12">
      <c r="D73" s="78" t="s">
        <v>2590</v>
      </c>
    </row>
    <row r="75" spans="1:12" ht="14">
      <c r="L75" s="79"/>
    </row>
    <row r="76" spans="1:12">
      <c r="L76" s="80"/>
    </row>
    <row r="77" spans="1:12">
      <c r="L77" s="83"/>
    </row>
    <row r="78" spans="1:12">
      <c r="L78" s="84"/>
    </row>
    <row r="79" spans="1:12">
      <c r="L79" s="84"/>
    </row>
  </sheetData>
  <mergeCells count="1">
    <mergeCell ref="C37:D37"/>
  </mergeCells>
  <pageMargins left="0.24" right="0.17" top="0.35" bottom="0.27559055118110237" header="0.2" footer="0.19685039370078741"/>
  <pageSetup paperSize="9" scale="74"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511F1-63EE-9A47-9B5F-A71FAEE9B41F}">
  <sheetPr>
    <pageSetUpPr fitToPage="1"/>
  </sheetPr>
  <dimension ref="A1:N48"/>
  <sheetViews>
    <sheetView workbookViewId="0">
      <selection activeCell="M34" sqref="M34"/>
    </sheetView>
  </sheetViews>
  <sheetFormatPr baseColWidth="10" defaultColWidth="11.59765625" defaultRowHeight="13"/>
  <cols>
    <col min="1" max="1" width="28" style="393" customWidth="1"/>
    <col min="2" max="2" width="15.796875" style="393" customWidth="1"/>
    <col min="3" max="16384" width="11.59765625" style="393"/>
  </cols>
  <sheetData>
    <row r="1" spans="1:14" ht="69">
      <c r="N1" s="1960" t="s">
        <v>62</v>
      </c>
    </row>
    <row r="3" spans="1:14">
      <c r="A3" s="1961"/>
      <c r="B3" s="399"/>
    </row>
    <row r="9" spans="1:14" ht="18">
      <c r="A9" s="86"/>
      <c r="B9" s="87"/>
      <c r="C9" s="87"/>
      <c r="D9" s="87"/>
      <c r="E9" s="87"/>
      <c r="F9" s="87"/>
      <c r="G9" s="87"/>
      <c r="H9" s="87"/>
      <c r="I9" s="87"/>
      <c r="J9" s="87"/>
      <c r="K9" s="87"/>
    </row>
    <row r="10" spans="1:14">
      <c r="A10" s="88"/>
      <c r="B10" s="88"/>
      <c r="C10" s="88"/>
      <c r="D10" s="88"/>
      <c r="E10" s="88"/>
      <c r="F10" s="88"/>
      <c r="G10" s="88"/>
      <c r="H10" s="88"/>
      <c r="I10" s="88"/>
      <c r="J10" s="88"/>
      <c r="K10" s="88"/>
    </row>
    <row r="11" spans="1:14">
      <c r="A11" s="89" t="s">
        <v>63</v>
      </c>
      <c r="B11" s="88"/>
      <c r="C11" s="88"/>
      <c r="D11" s="88"/>
      <c r="E11" s="88"/>
      <c r="F11" s="88"/>
      <c r="G11" s="88"/>
      <c r="H11" s="88"/>
      <c r="I11" s="88"/>
      <c r="J11" s="88"/>
      <c r="K11" s="88"/>
    </row>
    <row r="12" spans="1:14" ht="21.5" customHeight="1" thickBot="1">
      <c r="A12" s="90"/>
      <c r="B12" s="91"/>
      <c r="C12" s="91"/>
      <c r="D12" s="91"/>
      <c r="E12" s="91"/>
      <c r="F12" s="91"/>
      <c r="G12" s="91"/>
      <c r="H12" s="91"/>
      <c r="I12" s="91"/>
      <c r="J12" s="91"/>
      <c r="K12" s="91"/>
    </row>
    <row r="13" spans="1:14" s="1962" customFormat="1" ht="23.5" customHeight="1">
      <c r="A13" s="92"/>
      <c r="B13" s="92"/>
      <c r="C13" s="1991" t="s">
        <v>64</v>
      </c>
      <c r="D13" s="1991"/>
      <c r="E13" s="1991"/>
      <c r="F13" s="1991"/>
      <c r="G13" s="1991"/>
      <c r="H13" s="92"/>
      <c r="I13" s="1992" t="s">
        <v>2628</v>
      </c>
      <c r="J13" s="1992"/>
      <c r="K13" s="1992"/>
    </row>
    <row r="14" spans="1:14">
      <c r="A14" s="87"/>
      <c r="B14" s="87" t="s">
        <v>65</v>
      </c>
      <c r="C14" s="93" t="s">
        <v>66</v>
      </c>
      <c r="D14" s="93" t="s">
        <v>67</v>
      </c>
      <c r="E14" s="93" t="s">
        <v>68</v>
      </c>
      <c r="F14" s="93" t="s">
        <v>68</v>
      </c>
      <c r="G14" s="93" t="s">
        <v>69</v>
      </c>
      <c r="H14" s="93"/>
      <c r="I14" s="93" t="s">
        <v>68</v>
      </c>
      <c r="J14" s="93" t="s">
        <v>67</v>
      </c>
      <c r="K14" s="93" t="s">
        <v>69</v>
      </c>
    </row>
    <row r="15" spans="1:14">
      <c r="A15" s="94"/>
      <c r="B15" s="94"/>
      <c r="C15" s="95"/>
      <c r="D15" s="95"/>
      <c r="E15" s="95"/>
      <c r="F15" s="95" t="s">
        <v>67</v>
      </c>
      <c r="G15" s="95"/>
      <c r="H15" s="95"/>
      <c r="I15" s="95"/>
      <c r="J15" s="95"/>
      <c r="K15" s="95"/>
    </row>
    <row r="16" spans="1:14">
      <c r="A16" s="88" t="s">
        <v>70</v>
      </c>
      <c r="B16" s="88" t="s">
        <v>71</v>
      </c>
      <c r="C16" s="96">
        <v>2.06</v>
      </c>
      <c r="D16" s="96">
        <v>2.04</v>
      </c>
      <c r="E16" s="96" t="s">
        <v>72</v>
      </c>
      <c r="F16" s="96"/>
      <c r="G16" s="96" t="s">
        <v>73</v>
      </c>
      <c r="H16" s="96"/>
      <c r="I16" s="96" t="s">
        <v>74</v>
      </c>
      <c r="J16" s="97"/>
      <c r="K16" s="97">
        <v>2.16</v>
      </c>
    </row>
    <row r="17" spans="1:11">
      <c r="A17" s="88"/>
      <c r="B17" s="88" t="s">
        <v>75</v>
      </c>
      <c r="C17" s="88"/>
      <c r="D17" s="96">
        <v>2.0499999999999998</v>
      </c>
      <c r="E17" s="96" t="s">
        <v>76</v>
      </c>
      <c r="F17" s="96"/>
      <c r="G17" s="96" t="s">
        <v>77</v>
      </c>
      <c r="H17" s="96"/>
      <c r="I17" s="96" t="s">
        <v>78</v>
      </c>
      <c r="J17" s="98">
        <v>2.25</v>
      </c>
      <c r="K17" s="97">
        <v>2.1800000000000002</v>
      </c>
    </row>
    <row r="18" spans="1:11">
      <c r="A18" s="87" t="s">
        <v>79</v>
      </c>
      <c r="B18" s="87" t="s">
        <v>71</v>
      </c>
      <c r="C18" s="99">
        <v>2.11</v>
      </c>
      <c r="D18" s="99" t="s">
        <v>80</v>
      </c>
      <c r="E18" s="99"/>
      <c r="F18" s="99"/>
      <c r="G18" s="99"/>
      <c r="H18" s="99"/>
      <c r="I18" s="99" t="s">
        <v>81</v>
      </c>
      <c r="J18" s="93"/>
      <c r="K18" s="93"/>
    </row>
    <row r="19" spans="1:11">
      <c r="A19" s="88"/>
      <c r="B19" s="88" t="s">
        <v>75</v>
      </c>
      <c r="C19" s="88"/>
      <c r="D19" s="96" t="s">
        <v>82</v>
      </c>
      <c r="E19" s="96" t="s">
        <v>83</v>
      </c>
      <c r="F19" s="96"/>
      <c r="G19" s="96"/>
      <c r="H19" s="96"/>
      <c r="I19" s="96" t="s">
        <v>84</v>
      </c>
      <c r="J19" s="98">
        <v>2.2599999999999998</v>
      </c>
      <c r="K19" s="97"/>
    </row>
    <row r="20" spans="1:11">
      <c r="A20" s="88" t="s">
        <v>85</v>
      </c>
      <c r="B20" s="88" t="s">
        <v>71</v>
      </c>
      <c r="C20" s="96">
        <v>2.09</v>
      </c>
      <c r="D20" s="96" t="s">
        <v>86</v>
      </c>
      <c r="E20" s="96"/>
      <c r="F20" s="96"/>
      <c r="G20" s="88"/>
      <c r="H20" s="88"/>
      <c r="I20" s="96" t="s">
        <v>87</v>
      </c>
      <c r="J20" s="97"/>
      <c r="K20" s="88"/>
    </row>
    <row r="21" spans="1:11">
      <c r="A21" s="94"/>
      <c r="B21" s="94" t="s">
        <v>75</v>
      </c>
      <c r="C21" s="94"/>
      <c r="D21" s="100" t="s">
        <v>88</v>
      </c>
      <c r="E21" s="100" t="s">
        <v>89</v>
      </c>
      <c r="F21" s="100"/>
      <c r="G21" s="94"/>
      <c r="H21" s="94"/>
      <c r="I21" s="100" t="s">
        <v>90</v>
      </c>
      <c r="J21" s="95">
        <v>2.0299999999999998</v>
      </c>
      <c r="K21" s="94"/>
    </row>
    <row r="22" spans="1:11">
      <c r="A22" s="87" t="s">
        <v>91</v>
      </c>
      <c r="B22" s="87" t="s">
        <v>71</v>
      </c>
      <c r="C22" s="99" t="s">
        <v>92</v>
      </c>
      <c r="D22" s="99" t="s">
        <v>93</v>
      </c>
      <c r="E22" s="99" t="s">
        <v>94</v>
      </c>
      <c r="F22" s="99"/>
      <c r="G22" s="99"/>
      <c r="H22" s="99"/>
      <c r="I22" s="99" t="s">
        <v>95</v>
      </c>
      <c r="J22" s="93"/>
      <c r="K22" s="93"/>
    </row>
    <row r="23" spans="1:11">
      <c r="A23" s="87"/>
      <c r="B23" s="87" t="s">
        <v>75</v>
      </c>
      <c r="C23" s="99"/>
      <c r="D23" s="99" t="s">
        <v>96</v>
      </c>
      <c r="E23" s="99" t="s">
        <v>97</v>
      </c>
      <c r="F23" s="99"/>
      <c r="G23" s="99"/>
      <c r="H23" s="99"/>
      <c r="I23" s="99" t="s">
        <v>98</v>
      </c>
      <c r="J23" s="93">
        <v>3.08</v>
      </c>
      <c r="K23" s="93"/>
    </row>
    <row r="24" spans="1:11">
      <c r="A24" s="94" t="s">
        <v>99</v>
      </c>
      <c r="B24" s="94" t="s">
        <v>100</v>
      </c>
      <c r="C24" s="100"/>
      <c r="D24" s="100" t="s">
        <v>101</v>
      </c>
      <c r="E24" s="100"/>
      <c r="F24" s="100"/>
      <c r="G24" s="100"/>
      <c r="H24" s="100"/>
      <c r="I24" s="100" t="s">
        <v>102</v>
      </c>
      <c r="J24" s="95"/>
      <c r="K24" s="95"/>
    </row>
    <row r="25" spans="1:11">
      <c r="A25" s="87" t="s">
        <v>103</v>
      </c>
      <c r="B25" s="87" t="s">
        <v>104</v>
      </c>
      <c r="C25" s="99" t="s">
        <v>105</v>
      </c>
      <c r="D25" s="99" t="s">
        <v>106</v>
      </c>
      <c r="E25" s="99" t="s">
        <v>107</v>
      </c>
      <c r="F25" s="99" t="s">
        <v>108</v>
      </c>
      <c r="G25" s="99"/>
      <c r="H25" s="99"/>
      <c r="I25" s="99"/>
      <c r="J25" s="93"/>
      <c r="K25" s="93"/>
    </row>
    <row r="26" spans="1:11" ht="14" thickBot="1">
      <c r="A26" s="91"/>
      <c r="B26" s="91" t="s">
        <v>109</v>
      </c>
      <c r="C26" s="101"/>
      <c r="D26" s="102" t="s">
        <v>110</v>
      </c>
      <c r="E26" s="102" t="s">
        <v>111</v>
      </c>
      <c r="F26" s="102"/>
      <c r="G26" s="102"/>
      <c r="H26" s="102"/>
      <c r="I26" s="102" t="s">
        <v>112</v>
      </c>
      <c r="J26" s="103">
        <v>11.18</v>
      </c>
      <c r="K26" s="103"/>
    </row>
    <row r="27" spans="1:11">
      <c r="A27" s="87"/>
      <c r="B27" s="87"/>
      <c r="C27" s="87"/>
      <c r="D27" s="87"/>
      <c r="E27" s="87"/>
      <c r="F27" s="87"/>
      <c r="G27" s="87"/>
      <c r="H27" s="87"/>
      <c r="I27" s="87"/>
      <c r="J27" s="87"/>
      <c r="K27" s="87"/>
    </row>
    <row r="28" spans="1:11">
      <c r="A28" s="104" t="s">
        <v>113</v>
      </c>
      <c r="B28" s="87"/>
      <c r="C28" s="87"/>
      <c r="D28" s="87"/>
      <c r="E28" s="87"/>
      <c r="F28" s="87"/>
      <c r="G28" s="87"/>
      <c r="H28" s="87"/>
      <c r="I28" s="87"/>
      <c r="J28" s="87"/>
      <c r="K28" s="87"/>
    </row>
    <row r="29" spans="1:11">
      <c r="A29" s="87" t="s">
        <v>70</v>
      </c>
      <c r="B29" s="87" t="s">
        <v>114</v>
      </c>
      <c r="C29" s="87"/>
      <c r="D29" s="87"/>
      <c r="E29" s="87"/>
      <c r="F29" s="87"/>
      <c r="G29" s="87"/>
      <c r="H29" s="87"/>
      <c r="I29" s="87"/>
      <c r="J29" s="87"/>
      <c r="K29" s="87"/>
    </row>
    <row r="30" spans="1:11">
      <c r="A30" s="87" t="s">
        <v>79</v>
      </c>
      <c r="B30" s="87" t="s">
        <v>115</v>
      </c>
      <c r="C30" s="87"/>
      <c r="D30" s="87"/>
      <c r="E30" s="87"/>
      <c r="F30" s="87"/>
      <c r="G30" s="87"/>
      <c r="H30" s="87"/>
      <c r="I30" s="87"/>
      <c r="J30" s="87"/>
      <c r="K30" s="87"/>
    </row>
    <row r="31" spans="1:11">
      <c r="A31" s="87"/>
      <c r="B31" s="87" t="s">
        <v>116</v>
      </c>
      <c r="C31" s="87"/>
      <c r="D31" s="87"/>
      <c r="E31" s="87"/>
      <c r="F31" s="87"/>
      <c r="G31" s="87"/>
      <c r="H31" s="87"/>
      <c r="I31" s="87"/>
      <c r="J31" s="87"/>
      <c r="K31" s="87"/>
    </row>
    <row r="32" spans="1:11">
      <c r="A32" s="87" t="s">
        <v>91</v>
      </c>
      <c r="B32" s="87" t="s">
        <v>117</v>
      </c>
      <c r="C32" s="87"/>
      <c r="D32" s="87"/>
      <c r="E32" s="87"/>
      <c r="F32" s="87"/>
      <c r="G32" s="87"/>
      <c r="H32" s="87"/>
      <c r="I32" s="87"/>
      <c r="J32" s="87"/>
      <c r="K32" s="87"/>
    </row>
    <row r="33" spans="1:11">
      <c r="A33" s="87" t="s">
        <v>99</v>
      </c>
      <c r="B33" s="87" t="s">
        <v>118</v>
      </c>
      <c r="C33" s="87"/>
      <c r="D33" s="87"/>
      <c r="E33" s="87"/>
      <c r="F33" s="87"/>
      <c r="G33" s="87"/>
      <c r="H33" s="87"/>
      <c r="I33" s="87"/>
      <c r="J33" s="87"/>
      <c r="K33" s="87"/>
    </row>
    <row r="34" spans="1:11">
      <c r="A34" s="87"/>
      <c r="B34" s="87"/>
      <c r="C34" s="87"/>
      <c r="D34" s="87"/>
      <c r="E34" s="87"/>
      <c r="F34" s="87"/>
      <c r="G34" s="87"/>
      <c r="H34" s="87"/>
      <c r="I34" s="87"/>
      <c r="J34" s="87"/>
      <c r="K34" s="87"/>
    </row>
    <row r="35" spans="1:11">
      <c r="A35" s="104" t="s">
        <v>119</v>
      </c>
      <c r="B35" s="87"/>
      <c r="C35" s="87"/>
      <c r="D35" s="87"/>
      <c r="E35" s="87"/>
      <c r="F35" s="87"/>
      <c r="G35" s="87"/>
      <c r="H35" s="87"/>
      <c r="I35" s="87"/>
      <c r="J35" s="87"/>
      <c r="K35" s="87"/>
    </row>
    <row r="36" spans="1:11">
      <c r="A36" s="87" t="s">
        <v>120</v>
      </c>
      <c r="B36" s="87" t="s">
        <v>121</v>
      </c>
      <c r="C36" s="87"/>
      <c r="D36" s="87"/>
      <c r="E36" s="87"/>
      <c r="F36" s="87"/>
      <c r="G36" s="87"/>
      <c r="H36" s="87"/>
      <c r="I36" s="87"/>
      <c r="J36" s="87"/>
      <c r="K36" s="87"/>
    </row>
    <row r="37" spans="1:11">
      <c r="A37" s="87" t="s">
        <v>122</v>
      </c>
      <c r="B37" s="87" t="s">
        <v>123</v>
      </c>
      <c r="C37" s="87"/>
      <c r="D37" s="87"/>
      <c r="E37" s="87"/>
      <c r="F37" s="87"/>
      <c r="G37" s="87"/>
      <c r="H37" s="87"/>
      <c r="I37" s="87"/>
      <c r="J37" s="87"/>
      <c r="K37" s="87"/>
    </row>
    <row r="38" spans="1:11">
      <c r="A38" s="87" t="s">
        <v>69</v>
      </c>
      <c r="B38" s="87" t="s">
        <v>124</v>
      </c>
      <c r="C38" s="87"/>
      <c r="D38" s="87"/>
      <c r="E38" s="87"/>
      <c r="F38" s="87"/>
      <c r="G38" s="87"/>
      <c r="H38" s="87"/>
      <c r="I38" s="87"/>
      <c r="J38" s="87"/>
      <c r="K38" s="87"/>
    </row>
    <row r="39" spans="1:11">
      <c r="A39" s="87"/>
      <c r="B39" s="87"/>
      <c r="C39" s="87"/>
      <c r="D39" s="87"/>
      <c r="E39" s="87"/>
      <c r="F39" s="87"/>
      <c r="G39" s="87"/>
      <c r="H39" s="87"/>
      <c r="I39" s="87"/>
      <c r="J39" s="87"/>
      <c r="K39" s="87"/>
    </row>
    <row r="40" spans="1:11">
      <c r="A40" s="104" t="s">
        <v>125</v>
      </c>
      <c r="B40" s="87"/>
      <c r="C40" s="87"/>
      <c r="D40" s="87"/>
      <c r="E40" s="87"/>
      <c r="F40" s="87"/>
      <c r="G40" s="87"/>
      <c r="H40" s="87"/>
      <c r="I40" s="87"/>
      <c r="J40" s="87"/>
      <c r="K40" s="87"/>
    </row>
    <row r="41" spans="1:11">
      <c r="A41" s="105">
        <v>1.01</v>
      </c>
      <c r="B41" s="106" t="s">
        <v>126</v>
      </c>
      <c r="C41" s="87"/>
      <c r="D41" s="87"/>
      <c r="E41" s="87"/>
      <c r="F41" s="87"/>
      <c r="G41" s="87"/>
      <c r="H41" s="87"/>
      <c r="I41" s="87"/>
      <c r="J41" s="87"/>
      <c r="K41" s="87"/>
    </row>
    <row r="42" spans="1:11">
      <c r="A42" s="105">
        <v>1.02</v>
      </c>
      <c r="B42" s="106" t="s">
        <v>127</v>
      </c>
      <c r="C42" s="87"/>
      <c r="D42" s="87"/>
      <c r="E42" s="87"/>
      <c r="F42" s="87"/>
      <c r="G42" s="87"/>
      <c r="H42" s="87"/>
      <c r="I42" s="87"/>
      <c r="J42" s="87"/>
      <c r="K42" s="87"/>
    </row>
    <row r="43" spans="1:11">
      <c r="A43" s="107" t="s">
        <v>2629</v>
      </c>
      <c r="B43" s="106" t="s">
        <v>128</v>
      </c>
      <c r="C43" s="87"/>
      <c r="D43" s="87"/>
      <c r="E43" s="87"/>
      <c r="F43" s="87"/>
      <c r="G43" s="87"/>
      <c r="H43" s="87"/>
      <c r="I43" s="87"/>
      <c r="J43" s="87"/>
      <c r="K43" s="87"/>
    </row>
    <row r="44" spans="1:11">
      <c r="A44" s="108" t="s">
        <v>2630</v>
      </c>
      <c r="B44" s="106" t="s">
        <v>129</v>
      </c>
      <c r="C44" s="87"/>
      <c r="D44" s="87"/>
      <c r="E44" s="87"/>
      <c r="F44" s="87"/>
      <c r="G44" s="87"/>
      <c r="H44" s="87"/>
      <c r="I44" s="87"/>
      <c r="J44" s="87"/>
      <c r="K44" s="87"/>
    </row>
    <row r="45" spans="1:11">
      <c r="A45" s="105" t="s">
        <v>2631</v>
      </c>
      <c r="B45" s="106" t="s">
        <v>130</v>
      </c>
      <c r="C45" s="87"/>
      <c r="D45" s="87"/>
      <c r="E45" s="87"/>
      <c r="F45" s="87"/>
      <c r="G45" s="87"/>
      <c r="H45" s="87"/>
      <c r="I45" s="87"/>
      <c r="J45" s="87"/>
      <c r="K45" s="87"/>
    </row>
    <row r="46" spans="1:11">
      <c r="A46" s="105">
        <v>8.0299999999999994</v>
      </c>
      <c r="B46" s="106" t="s">
        <v>131</v>
      </c>
      <c r="C46" s="87"/>
      <c r="D46" s="87"/>
      <c r="E46" s="87"/>
      <c r="F46" s="87"/>
      <c r="G46" s="87"/>
      <c r="H46" s="87"/>
      <c r="I46" s="87"/>
      <c r="J46" s="87"/>
      <c r="K46" s="87"/>
    </row>
    <row r="47" spans="1:11">
      <c r="A47" s="105" t="s">
        <v>2632</v>
      </c>
      <c r="B47" s="106" t="s">
        <v>132</v>
      </c>
      <c r="C47" s="87"/>
      <c r="D47" s="87"/>
      <c r="E47" s="87"/>
      <c r="F47" s="87"/>
      <c r="G47" s="87"/>
      <c r="H47" s="87"/>
      <c r="I47" s="87"/>
      <c r="J47" s="87"/>
      <c r="K47" s="87"/>
    </row>
    <row r="48" spans="1:11">
      <c r="A48" s="107" t="s">
        <v>133</v>
      </c>
      <c r="B48" s="106" t="s">
        <v>134</v>
      </c>
      <c r="C48" s="87"/>
      <c r="D48" s="87"/>
      <c r="E48" s="87"/>
      <c r="F48" s="87"/>
      <c r="G48" s="87"/>
      <c r="H48" s="87"/>
      <c r="I48" s="87"/>
      <c r="J48" s="87"/>
      <c r="K48" s="87"/>
    </row>
  </sheetData>
  <mergeCells count="2">
    <mergeCell ref="C13:G13"/>
    <mergeCell ref="I13:K13"/>
  </mergeCells>
  <pageMargins left="0.42" right="0.53" top="0.49" bottom="0.52" header="0.35" footer="0.33"/>
  <pageSetup paperSize="9" scale="75"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C003-0ECF-FA4A-BF05-FB30C27732C0}">
  <sheetPr>
    <pageSetUpPr fitToPage="1"/>
  </sheetPr>
  <dimension ref="A1:M82"/>
  <sheetViews>
    <sheetView workbookViewId="0">
      <selection activeCell="A2" sqref="A2"/>
    </sheetView>
  </sheetViews>
  <sheetFormatPr baseColWidth="10" defaultColWidth="11.59765625" defaultRowHeight="13"/>
  <cols>
    <col min="1" max="1" width="11.59765625" style="393"/>
    <col min="2" max="2" width="10.3984375" style="1923" customWidth="1"/>
    <col min="3" max="3" width="4.3984375" style="393" customWidth="1"/>
    <col min="4" max="4" width="11.59765625" style="393"/>
    <col min="5" max="5" width="11.3984375" style="1923" customWidth="1"/>
    <col min="6" max="7" width="11.59765625" style="393"/>
    <col min="8" max="8" width="3.59765625" style="393" customWidth="1"/>
    <col min="9" max="9" width="11.59765625" style="393"/>
    <col min="10" max="10" width="3.796875" style="393" customWidth="1"/>
    <col min="11" max="11" width="11.59765625" style="393"/>
    <col min="12" max="12" width="3.796875" style="393" customWidth="1"/>
    <col min="13" max="16384" width="11.59765625" style="393"/>
  </cols>
  <sheetData>
    <row r="1" spans="1:13" ht="16">
      <c r="A1" s="1890" t="s">
        <v>2621</v>
      </c>
    </row>
    <row r="2" spans="1:13" ht="18" customHeight="1"/>
    <row r="3" spans="1:13" ht="30" customHeight="1">
      <c r="A3" s="1896" t="s">
        <v>136</v>
      </c>
      <c r="B3" s="1896" t="s">
        <v>2620</v>
      </c>
      <c r="C3" s="1923"/>
      <c r="D3" s="1896" t="str">
        <f>A3</f>
        <v>Publikation 2012</v>
      </c>
      <c r="E3" s="1896" t="str">
        <f>B3</f>
        <v>Publikation 2013</v>
      </c>
      <c r="G3" s="1896" t="str">
        <f>E3</f>
        <v>Publikation 2013</v>
      </c>
      <c r="H3" s="1896"/>
      <c r="I3" s="1896" t="str">
        <f>D3</f>
        <v>Publikation 2012</v>
      </c>
      <c r="K3" s="1896" t="str">
        <f>G3</f>
        <v>Publikation 2013</v>
      </c>
      <c r="L3" s="1896"/>
      <c r="M3" s="1896" t="str">
        <f>I3</f>
        <v>Publikation 2012</v>
      </c>
    </row>
    <row r="4" spans="1:13" ht="13.5" customHeight="1">
      <c r="A4" s="1924"/>
      <c r="B4" s="1924"/>
      <c r="D4" s="1925"/>
      <c r="E4" s="1925"/>
      <c r="G4" s="1926"/>
      <c r="H4" s="1926"/>
      <c r="I4" s="1926"/>
      <c r="K4" s="1926"/>
      <c r="L4" s="1926"/>
      <c r="M4" s="1926"/>
    </row>
    <row r="5" spans="1:13">
      <c r="A5" s="1927">
        <v>1.01</v>
      </c>
      <c r="B5" s="1927">
        <v>1.01</v>
      </c>
      <c r="C5" s="1928"/>
      <c r="D5" s="1929">
        <v>7.01</v>
      </c>
      <c r="E5" s="1929">
        <v>7.01</v>
      </c>
      <c r="G5" s="1927">
        <v>1.01</v>
      </c>
      <c r="H5" s="1927"/>
      <c r="I5" s="1927">
        <v>1.01</v>
      </c>
      <c r="J5" s="1930"/>
      <c r="K5" s="1929">
        <v>6.01</v>
      </c>
      <c r="L5" s="1931"/>
      <c r="M5" s="1929">
        <v>6.01</v>
      </c>
    </row>
    <row r="6" spans="1:13">
      <c r="A6" s="1932">
        <v>1.02</v>
      </c>
      <c r="B6" s="1932">
        <v>1.02</v>
      </c>
      <c r="C6" s="1928"/>
      <c r="D6" s="1929">
        <v>7.02</v>
      </c>
      <c r="E6" s="1933">
        <v>7.02</v>
      </c>
      <c r="G6" s="1932">
        <v>1.02</v>
      </c>
      <c r="H6" s="1927"/>
      <c r="I6" s="1932">
        <v>1.02</v>
      </c>
      <c r="J6" s="1930"/>
      <c r="K6" s="1929">
        <v>6.02</v>
      </c>
      <c r="L6" s="1931"/>
      <c r="M6" s="1934">
        <v>6.02</v>
      </c>
    </row>
    <row r="7" spans="1:13">
      <c r="A7" s="1932">
        <v>1.03</v>
      </c>
      <c r="B7" s="1932">
        <v>1.03</v>
      </c>
      <c r="C7" s="1928"/>
      <c r="D7" s="1929">
        <v>8.01</v>
      </c>
      <c r="E7" s="1933">
        <v>8.01</v>
      </c>
      <c r="G7" s="1932">
        <v>1.03</v>
      </c>
      <c r="H7" s="1927"/>
      <c r="I7" s="1932">
        <v>1.03</v>
      </c>
      <c r="J7" s="1930"/>
      <c r="K7" s="1935">
        <v>6.03</v>
      </c>
      <c r="L7" s="1931"/>
      <c r="M7" s="1936">
        <v>6.03</v>
      </c>
    </row>
    <row r="8" spans="1:13">
      <c r="A8" s="1932">
        <v>1.04</v>
      </c>
      <c r="B8" s="1932">
        <v>1.04</v>
      </c>
      <c r="C8" s="1928"/>
      <c r="D8" s="1935">
        <v>8.02</v>
      </c>
      <c r="E8" s="1933">
        <v>8.02</v>
      </c>
      <c r="G8" s="1932">
        <v>1.04</v>
      </c>
      <c r="H8" s="1927"/>
      <c r="I8" s="1932">
        <v>1.04</v>
      </c>
      <c r="J8" s="1930"/>
      <c r="K8" s="1935">
        <v>6.04</v>
      </c>
      <c r="L8" s="1931"/>
      <c r="M8" s="1936">
        <v>6.04</v>
      </c>
    </row>
    <row r="9" spans="1:13">
      <c r="A9" s="1932">
        <v>1.05</v>
      </c>
      <c r="B9" s="1932">
        <v>1.05</v>
      </c>
      <c r="C9" s="1928"/>
      <c r="D9" s="1935">
        <v>8.0299999999999994</v>
      </c>
      <c r="E9" s="1933">
        <v>8.0299999999999994</v>
      </c>
      <c r="G9" s="1932">
        <v>1.05</v>
      </c>
      <c r="H9" s="1927"/>
      <c r="I9" s="1932">
        <v>1.05</v>
      </c>
      <c r="J9" s="1930"/>
      <c r="K9" s="1929">
        <v>6.05</v>
      </c>
      <c r="L9" s="1931"/>
      <c r="M9" s="1934">
        <v>6.05</v>
      </c>
    </row>
    <row r="10" spans="1:13">
      <c r="A10" s="1932">
        <v>1.06</v>
      </c>
      <c r="B10" s="1932">
        <v>1.06</v>
      </c>
      <c r="C10" s="1928"/>
      <c r="D10" s="1935">
        <v>8.0399999999999991</v>
      </c>
      <c r="E10" s="1935">
        <v>8.0399999999999991</v>
      </c>
      <c r="G10" s="1932">
        <v>1.06</v>
      </c>
      <c r="H10" s="1927"/>
      <c r="I10" s="1932">
        <v>1.06</v>
      </c>
      <c r="J10" s="1930"/>
      <c r="K10" s="1929">
        <v>6.06</v>
      </c>
      <c r="L10" s="1931"/>
      <c r="M10" s="1934">
        <v>6.06</v>
      </c>
    </row>
    <row r="11" spans="1:13">
      <c r="A11" s="1932">
        <v>1.07</v>
      </c>
      <c r="B11" s="1932">
        <v>1.07</v>
      </c>
      <c r="C11" s="1928"/>
      <c r="D11" s="1935">
        <v>8.0500000000000007</v>
      </c>
      <c r="E11" s="1935">
        <v>8.0500000000000007</v>
      </c>
      <c r="G11" s="1932">
        <v>1.07</v>
      </c>
      <c r="H11" s="1927"/>
      <c r="I11" s="1932">
        <v>1.07</v>
      </c>
      <c r="J11" s="1930"/>
      <c r="K11" s="1929">
        <v>7.01</v>
      </c>
      <c r="L11" s="1931"/>
      <c r="M11" s="1929">
        <v>7.01</v>
      </c>
    </row>
    <row r="12" spans="1:13">
      <c r="A12" s="1932">
        <v>1.08</v>
      </c>
      <c r="B12" s="1932">
        <v>1.08</v>
      </c>
      <c r="C12" s="1928"/>
      <c r="D12" s="1935">
        <v>8.06</v>
      </c>
      <c r="E12" s="1935">
        <v>8.06</v>
      </c>
      <c r="G12" s="1932">
        <v>1.08</v>
      </c>
      <c r="H12" s="1927"/>
      <c r="I12" s="1932">
        <v>1.08</v>
      </c>
      <c r="J12" s="1930"/>
      <c r="K12" s="1929">
        <v>7.02</v>
      </c>
      <c r="L12" s="1931"/>
      <c r="M12" s="1929">
        <v>7.02</v>
      </c>
    </row>
    <row r="13" spans="1:13">
      <c r="A13" s="1932">
        <v>1.0900000000000001</v>
      </c>
      <c r="B13" s="1932">
        <v>1.0900000000000001</v>
      </c>
      <c r="C13" s="1928"/>
      <c r="D13" s="1935">
        <v>8.07</v>
      </c>
      <c r="E13" s="1935">
        <v>8.07</v>
      </c>
      <c r="G13" s="1932">
        <v>1.0900000000000001</v>
      </c>
      <c r="H13" s="1927"/>
      <c r="I13" s="1932">
        <v>1.0900000000000001</v>
      </c>
      <c r="J13" s="1930"/>
      <c r="K13" s="1929">
        <v>8.01</v>
      </c>
      <c r="L13" s="1931"/>
      <c r="M13" s="1929">
        <v>8.01</v>
      </c>
    </row>
    <row r="14" spans="1:13">
      <c r="A14" s="1932">
        <v>1.1000000000000001</v>
      </c>
      <c r="B14" s="1932">
        <v>1.1000000000000001</v>
      </c>
      <c r="C14" s="1928"/>
      <c r="D14" s="1935">
        <v>8.08</v>
      </c>
      <c r="E14" s="1935">
        <v>8.08</v>
      </c>
      <c r="G14" s="1932">
        <v>1.1000000000000001</v>
      </c>
      <c r="H14" s="1927"/>
      <c r="I14" s="1932">
        <v>1.1000000000000001</v>
      </c>
      <c r="J14" s="1930"/>
      <c r="K14" s="1929">
        <v>8.02</v>
      </c>
      <c r="L14" s="1929"/>
      <c r="M14" s="1929">
        <v>8.02</v>
      </c>
    </row>
    <row r="15" spans="1:13">
      <c r="A15" s="1932">
        <v>1.1100000000000001</v>
      </c>
      <c r="B15" s="1932">
        <v>1.1100000000000001</v>
      </c>
      <c r="C15" s="1928"/>
      <c r="D15" s="1935">
        <v>8.09</v>
      </c>
      <c r="E15" s="1935">
        <v>8.09</v>
      </c>
      <c r="G15" s="1932">
        <v>1.1100000000000001</v>
      </c>
      <c r="H15" s="1927"/>
      <c r="I15" s="1932">
        <v>1.1100000000000001</v>
      </c>
      <c r="J15" s="1930"/>
      <c r="K15" s="1929">
        <v>8.0299999999999994</v>
      </c>
      <c r="L15" s="1931"/>
      <c r="M15" s="1929">
        <v>8.0299999999999994</v>
      </c>
    </row>
    <row r="16" spans="1:13">
      <c r="A16" s="1932">
        <v>1.1200000000000001</v>
      </c>
      <c r="B16" s="1932">
        <v>1.1200000000000001</v>
      </c>
      <c r="C16" s="1928"/>
      <c r="D16" s="1935" t="s">
        <v>204</v>
      </c>
      <c r="E16" s="1935" t="s">
        <v>204</v>
      </c>
      <c r="G16" s="1932">
        <v>1.1200000000000001</v>
      </c>
      <c r="H16" s="1927"/>
      <c r="I16" s="1932">
        <v>1.1200000000000001</v>
      </c>
      <c r="J16" s="1930"/>
      <c r="K16" s="1929">
        <v>8.0399999999999991</v>
      </c>
      <c r="L16" s="1931"/>
      <c r="M16" s="1929">
        <v>8.0399999999999991</v>
      </c>
    </row>
    <row r="17" spans="1:13">
      <c r="A17" s="1932">
        <v>1.1299999999999999</v>
      </c>
      <c r="B17" s="1932">
        <v>1.1299999999999999</v>
      </c>
      <c r="C17" s="1928"/>
      <c r="D17" s="1935" t="s">
        <v>244</v>
      </c>
      <c r="E17" s="1935" t="s">
        <v>244</v>
      </c>
      <c r="G17" s="1932">
        <v>1.1299999999999999</v>
      </c>
      <c r="H17" s="1927"/>
      <c r="I17" s="1932">
        <v>1.1299999999999999</v>
      </c>
      <c r="J17" s="1930"/>
      <c r="K17" s="1929">
        <v>8.0500000000000007</v>
      </c>
      <c r="L17" s="1931"/>
      <c r="M17" s="1929">
        <v>8.0500000000000007</v>
      </c>
    </row>
    <row r="18" spans="1:13">
      <c r="A18" s="1929">
        <v>2.0099999999999998</v>
      </c>
      <c r="B18" s="1929">
        <v>2.0099999999999998</v>
      </c>
      <c r="C18" s="1928"/>
      <c r="D18" s="1935">
        <v>9.01</v>
      </c>
      <c r="E18" s="1935">
        <v>9.01</v>
      </c>
      <c r="G18" s="1929">
        <v>2.0099999999999998</v>
      </c>
      <c r="H18" s="1927"/>
      <c r="I18" s="1929">
        <v>2.0099999999999998</v>
      </c>
      <c r="J18" s="1930"/>
      <c r="K18" s="1929">
        <v>8.06</v>
      </c>
      <c r="L18" s="1931"/>
      <c r="M18" s="1929">
        <v>8.06</v>
      </c>
    </row>
    <row r="19" spans="1:13">
      <c r="A19" s="1929">
        <v>2.02</v>
      </c>
      <c r="B19" s="1929">
        <v>2.02</v>
      </c>
      <c r="C19" s="1928"/>
      <c r="D19" s="1929">
        <v>9.02</v>
      </c>
      <c r="E19" s="1929">
        <v>9.02</v>
      </c>
      <c r="G19" s="1929">
        <v>2.02</v>
      </c>
      <c r="H19" s="1927"/>
      <c r="I19" s="1929">
        <v>2.02</v>
      </c>
      <c r="J19" s="1930"/>
      <c r="K19" s="1929">
        <v>8.07</v>
      </c>
      <c r="L19" s="1931"/>
      <c r="M19" s="1929">
        <v>8.07</v>
      </c>
    </row>
    <row r="20" spans="1:13">
      <c r="A20" s="1929">
        <v>2.0299999999999998</v>
      </c>
      <c r="B20" s="1929">
        <v>2.0299999999999998</v>
      </c>
      <c r="C20" s="1928"/>
      <c r="D20" s="1929">
        <v>9.0299999999999994</v>
      </c>
      <c r="E20" s="1933">
        <v>9.0299999999999994</v>
      </c>
      <c r="G20" s="1929">
        <v>2.0299999999999998</v>
      </c>
      <c r="H20" s="1927"/>
      <c r="I20" s="1929">
        <v>2.0299999999999998</v>
      </c>
      <c r="J20" s="1930"/>
      <c r="K20" s="1935">
        <v>8.08</v>
      </c>
      <c r="L20" s="1927"/>
      <c r="M20" s="1935">
        <v>8.08</v>
      </c>
    </row>
    <row r="21" spans="1:13">
      <c r="A21" s="1929">
        <v>2.04</v>
      </c>
      <c r="B21" s="1929">
        <v>2.04</v>
      </c>
      <c r="C21" s="1928"/>
      <c r="D21" s="1935">
        <v>9.0399999999999991</v>
      </c>
      <c r="E21" s="1935">
        <v>9.0399999999999991</v>
      </c>
      <c r="G21" s="1929">
        <v>2.04</v>
      </c>
      <c r="H21" s="1927" t="s">
        <v>1410</v>
      </c>
      <c r="I21" s="1929">
        <v>2.04</v>
      </c>
      <c r="J21" s="1930"/>
      <c r="K21" s="1935">
        <v>8.09</v>
      </c>
      <c r="L21" s="1927"/>
      <c r="M21" s="1935">
        <v>8.09</v>
      </c>
    </row>
    <row r="22" spans="1:13">
      <c r="A22" s="1929">
        <v>2.0499999999999998</v>
      </c>
      <c r="B22" s="1929">
        <v>2.0499999999999998</v>
      </c>
      <c r="C22" s="1928"/>
      <c r="D22" s="1935">
        <v>9.0500000000000007</v>
      </c>
      <c r="E22" s="1935">
        <v>9.0500000000000007</v>
      </c>
      <c r="G22" s="1929">
        <v>2.0499999999999998</v>
      </c>
      <c r="H22" s="1927" t="s">
        <v>1410</v>
      </c>
      <c r="I22" s="1929">
        <v>2.0499999999999998</v>
      </c>
      <c r="J22" s="1930"/>
      <c r="K22" s="1935" t="s">
        <v>204</v>
      </c>
      <c r="L22" s="1927"/>
      <c r="M22" s="1935" t="s">
        <v>204</v>
      </c>
    </row>
    <row r="23" spans="1:13">
      <c r="A23" s="1929">
        <v>2.06</v>
      </c>
      <c r="B23" s="1929">
        <v>2.06</v>
      </c>
      <c r="C23" s="1928"/>
      <c r="D23" s="1935">
        <v>9.06</v>
      </c>
      <c r="E23" s="1935">
        <v>9.06</v>
      </c>
      <c r="G23" s="1929">
        <v>2.06</v>
      </c>
      <c r="H23" s="1927"/>
      <c r="I23" s="1929">
        <v>2.06</v>
      </c>
      <c r="J23" s="1930"/>
      <c r="K23" s="1935" t="s">
        <v>244</v>
      </c>
      <c r="L23" s="1927"/>
      <c r="M23" s="1935" t="s">
        <v>244</v>
      </c>
    </row>
    <row r="24" spans="1:13">
      <c r="A24" s="1929">
        <v>2.0699999999999998</v>
      </c>
      <c r="B24" s="1929">
        <v>2.0699999999999998</v>
      </c>
      <c r="C24" s="1928"/>
      <c r="D24" s="1935">
        <v>9.07</v>
      </c>
      <c r="E24" s="1935">
        <v>9.07</v>
      </c>
      <c r="G24" s="1929">
        <v>2.0699999999999998</v>
      </c>
      <c r="H24" s="1927" t="s">
        <v>1410</v>
      </c>
      <c r="I24" s="1929">
        <v>2.0699999999999998</v>
      </c>
      <c r="J24" s="1930"/>
      <c r="K24" s="1935">
        <v>9.01</v>
      </c>
      <c r="L24" s="1927" t="s">
        <v>1410</v>
      </c>
      <c r="M24" s="1935">
        <v>9.01</v>
      </c>
    </row>
    <row r="25" spans="1:13">
      <c r="A25" s="1929">
        <v>2.08</v>
      </c>
      <c r="B25" s="1929">
        <v>2.08</v>
      </c>
      <c r="C25" s="1928"/>
      <c r="D25" s="1935">
        <v>9.08</v>
      </c>
      <c r="E25" s="1935">
        <v>9.08</v>
      </c>
      <c r="G25" s="1929">
        <v>2.08</v>
      </c>
      <c r="H25" s="1927"/>
      <c r="I25" s="1929">
        <v>2.08</v>
      </c>
      <c r="J25" s="1930"/>
      <c r="K25" s="1935">
        <v>9.02</v>
      </c>
      <c r="L25" s="1927"/>
      <c r="M25" s="1935">
        <v>9.02</v>
      </c>
    </row>
    <row r="26" spans="1:13">
      <c r="A26" s="1929">
        <v>2.09</v>
      </c>
      <c r="B26" s="1929">
        <v>2.09</v>
      </c>
      <c r="C26" s="1928"/>
      <c r="D26" s="1935">
        <v>9.09</v>
      </c>
      <c r="E26" s="1935">
        <v>9.09</v>
      </c>
      <c r="G26" s="1929">
        <v>2.09</v>
      </c>
      <c r="H26" s="1927"/>
      <c r="I26" s="1929">
        <v>2.09</v>
      </c>
      <c r="J26" s="1930"/>
      <c r="K26" s="1935">
        <v>9.0299999999999994</v>
      </c>
      <c r="L26" s="1927"/>
      <c r="M26" s="1935">
        <v>9.0299999999999994</v>
      </c>
    </row>
    <row r="27" spans="1:13">
      <c r="A27" s="1929" t="s">
        <v>80</v>
      </c>
      <c r="B27" s="1929" t="s">
        <v>80</v>
      </c>
      <c r="C27" s="1928"/>
      <c r="D27" s="1935" t="s">
        <v>208</v>
      </c>
      <c r="E27" s="1935" t="s">
        <v>208</v>
      </c>
      <c r="G27" s="1929" t="s">
        <v>80</v>
      </c>
      <c r="H27" s="1927" t="s">
        <v>1410</v>
      </c>
      <c r="I27" s="1929" t="s">
        <v>80</v>
      </c>
      <c r="J27" s="1930"/>
      <c r="K27" s="1937">
        <v>9.0399999999999991</v>
      </c>
      <c r="L27" s="1927"/>
      <c r="M27" s="1935">
        <v>9.0399999999999991</v>
      </c>
    </row>
    <row r="28" spans="1:13">
      <c r="A28" s="1929">
        <v>2.11</v>
      </c>
      <c r="B28" s="1929">
        <v>2.11</v>
      </c>
      <c r="C28" s="1928"/>
      <c r="D28" s="1935">
        <v>9.11</v>
      </c>
      <c r="E28" s="1935">
        <v>9.11</v>
      </c>
      <c r="G28" s="1929">
        <v>2.11</v>
      </c>
      <c r="H28" s="1927"/>
      <c r="I28" s="1929">
        <v>2.11</v>
      </c>
      <c r="J28" s="1930"/>
      <c r="K28" s="1935">
        <v>9.0500000000000007</v>
      </c>
      <c r="L28" s="1927"/>
      <c r="M28" s="1935">
        <v>9.0500000000000007</v>
      </c>
    </row>
    <row r="29" spans="1:13">
      <c r="A29" s="1929">
        <v>2.12</v>
      </c>
      <c r="B29" s="1929">
        <v>2.12</v>
      </c>
      <c r="C29" s="1928"/>
      <c r="D29" s="1935">
        <v>9.1199999999999992</v>
      </c>
      <c r="E29" s="1935">
        <v>9.1199999999999992</v>
      </c>
      <c r="G29" s="1929">
        <v>2.12</v>
      </c>
      <c r="H29" s="1927" t="s">
        <v>1410</v>
      </c>
      <c r="I29" s="1929">
        <v>2.12</v>
      </c>
      <c r="J29" s="1930"/>
      <c r="K29" s="1929">
        <v>9.06</v>
      </c>
      <c r="L29" s="1931"/>
      <c r="M29" s="1929">
        <v>9.06</v>
      </c>
    </row>
    <row r="30" spans="1:13">
      <c r="A30" s="1929">
        <v>2.13</v>
      </c>
      <c r="B30" s="1929">
        <v>2.13</v>
      </c>
      <c r="C30" s="1928"/>
      <c r="D30" s="1935">
        <v>9.1300000000000008</v>
      </c>
      <c r="E30" s="1935">
        <v>9.1300000000000008</v>
      </c>
      <c r="G30" s="1929">
        <v>2.13</v>
      </c>
      <c r="H30" s="1927" t="s">
        <v>1410</v>
      </c>
      <c r="I30" s="1929">
        <v>2.13</v>
      </c>
      <c r="J30" s="1930"/>
      <c r="K30" s="1929">
        <v>9.07</v>
      </c>
      <c r="L30" s="1927"/>
      <c r="M30" s="1929">
        <v>9.07</v>
      </c>
    </row>
    <row r="31" spans="1:13">
      <c r="A31" s="1929">
        <v>2.14</v>
      </c>
      <c r="B31" s="1929">
        <v>2.14</v>
      </c>
      <c r="C31" s="1928"/>
      <c r="D31" s="1935">
        <v>9.14</v>
      </c>
      <c r="E31" s="1935">
        <v>9.14</v>
      </c>
      <c r="G31" s="1929">
        <v>2.14</v>
      </c>
      <c r="H31" s="1927"/>
      <c r="I31" s="1929">
        <v>2.14</v>
      </c>
      <c r="J31" s="1930"/>
      <c r="K31" s="1935">
        <v>9.08</v>
      </c>
      <c r="L31" s="1927"/>
      <c r="M31" s="1935">
        <v>9.08</v>
      </c>
    </row>
    <row r="32" spans="1:13">
      <c r="A32" s="1929">
        <v>2.15</v>
      </c>
      <c r="B32" s="1929">
        <v>2.15</v>
      </c>
      <c r="C32" s="1928"/>
      <c r="D32" s="1935">
        <v>9.15</v>
      </c>
      <c r="E32" s="1935">
        <v>9.15</v>
      </c>
      <c r="G32" s="1929">
        <v>2.15</v>
      </c>
      <c r="H32" s="1927"/>
      <c r="I32" s="1929">
        <v>2.15</v>
      </c>
      <c r="J32" s="1930"/>
      <c r="K32" s="1935">
        <v>9.09</v>
      </c>
      <c r="L32" s="1927"/>
      <c r="M32" s="1935">
        <v>9.09</v>
      </c>
    </row>
    <row r="33" spans="1:13">
      <c r="A33" s="1929">
        <v>2.16</v>
      </c>
      <c r="B33" s="1929">
        <v>2.16</v>
      </c>
      <c r="C33" s="1928"/>
      <c r="D33" s="1935" t="s">
        <v>223</v>
      </c>
      <c r="E33" s="1935" t="s">
        <v>223</v>
      </c>
      <c r="G33" s="1929">
        <v>2.16</v>
      </c>
      <c r="H33" s="1927"/>
      <c r="I33" s="1929">
        <v>2.16</v>
      </c>
      <c r="J33" s="1930"/>
      <c r="K33" s="1935" t="s">
        <v>208</v>
      </c>
      <c r="L33" s="1927"/>
      <c r="M33" s="1935" t="s">
        <v>208</v>
      </c>
    </row>
    <row r="34" spans="1:13">
      <c r="A34" s="1929">
        <v>2.17</v>
      </c>
      <c r="B34" s="1929">
        <v>2.17</v>
      </c>
      <c r="C34" s="1928"/>
      <c r="D34" s="1935" t="s">
        <v>225</v>
      </c>
      <c r="E34" s="1935" t="s">
        <v>225</v>
      </c>
      <c r="G34" s="1929">
        <v>2.17</v>
      </c>
      <c r="H34" s="1927"/>
      <c r="I34" s="1929">
        <v>2.17</v>
      </c>
      <c r="J34" s="1930"/>
      <c r="K34" s="1935">
        <v>9.11</v>
      </c>
      <c r="L34" s="1927"/>
      <c r="M34" s="1935">
        <v>9.11</v>
      </c>
    </row>
    <row r="35" spans="1:13">
      <c r="A35" s="1929">
        <v>2.1800000000000002</v>
      </c>
      <c r="B35" s="1929">
        <v>2.1800000000000002</v>
      </c>
      <c r="C35" s="1928"/>
      <c r="D35" s="1935" t="s">
        <v>226</v>
      </c>
      <c r="E35" s="1935" t="s">
        <v>226</v>
      </c>
      <c r="G35" s="1929">
        <v>2.1800000000000002</v>
      </c>
      <c r="H35" s="1927"/>
      <c r="I35" s="1929">
        <v>2.1800000000000002</v>
      </c>
      <c r="J35" s="1930"/>
      <c r="K35" s="1935">
        <v>9.1199999999999992</v>
      </c>
      <c r="L35" s="1927"/>
      <c r="M35" s="1935">
        <v>9.1199999999999992</v>
      </c>
    </row>
    <row r="36" spans="1:13">
      <c r="A36" s="1929">
        <v>2.19</v>
      </c>
      <c r="B36" s="1929">
        <v>2.19</v>
      </c>
      <c r="C36" s="1928"/>
      <c r="D36" s="1935" t="s">
        <v>227</v>
      </c>
      <c r="E36" s="1935" t="s">
        <v>227</v>
      </c>
      <c r="G36" s="1929">
        <v>2.19</v>
      </c>
      <c r="H36" s="1927"/>
      <c r="I36" s="1929">
        <v>2.19</v>
      </c>
      <c r="J36" s="1930"/>
      <c r="K36" s="1935">
        <v>9.1300000000000008</v>
      </c>
      <c r="L36" s="1927"/>
      <c r="M36" s="1935">
        <v>9.1300000000000008</v>
      </c>
    </row>
    <row r="37" spans="1:13">
      <c r="A37" s="1933" t="s">
        <v>87</v>
      </c>
      <c r="B37" s="1933" t="s">
        <v>87</v>
      </c>
      <c r="C37" s="1928"/>
      <c r="D37" s="1935" t="s">
        <v>229</v>
      </c>
      <c r="E37" s="1935" t="s">
        <v>229</v>
      </c>
      <c r="G37" s="1933" t="s">
        <v>87</v>
      </c>
      <c r="H37" s="1927"/>
      <c r="I37" s="1933" t="s">
        <v>87</v>
      </c>
      <c r="J37" s="1930"/>
      <c r="K37" s="1935">
        <v>9.14</v>
      </c>
      <c r="L37" s="1927"/>
      <c r="M37" s="1935">
        <v>9.14</v>
      </c>
    </row>
    <row r="38" spans="1:13">
      <c r="A38" s="1929">
        <v>2.21</v>
      </c>
      <c r="B38" s="1929">
        <v>2.21</v>
      </c>
      <c r="C38" s="1928"/>
      <c r="D38" s="1935">
        <v>11.01</v>
      </c>
      <c r="E38" s="1935">
        <v>11.01</v>
      </c>
      <c r="G38" s="1929">
        <v>2.21</v>
      </c>
      <c r="H38" s="1927"/>
      <c r="I38" s="1929">
        <v>2.21</v>
      </c>
      <c r="J38" s="1930"/>
      <c r="K38" s="1935">
        <v>9.15</v>
      </c>
      <c r="L38" s="1927"/>
      <c r="M38" s="1935">
        <v>9.15</v>
      </c>
    </row>
    <row r="39" spans="1:13">
      <c r="A39" s="1929">
        <v>2.2200000000000002</v>
      </c>
      <c r="B39" s="1929">
        <v>2.2200000000000002</v>
      </c>
      <c r="C39" s="1928"/>
      <c r="D39" s="1935">
        <v>11.02</v>
      </c>
      <c r="E39" s="1935">
        <v>11.02</v>
      </c>
      <c r="G39" s="1929">
        <v>2.2200000000000002</v>
      </c>
      <c r="H39" s="1927"/>
      <c r="I39" s="1929">
        <v>2.2200000000000002</v>
      </c>
      <c r="J39" s="1930"/>
      <c r="K39" s="1935" t="s">
        <v>223</v>
      </c>
      <c r="L39" s="1938"/>
      <c r="M39" s="1935" t="s">
        <v>223</v>
      </c>
    </row>
    <row r="40" spans="1:13">
      <c r="A40" s="1929">
        <v>2.23</v>
      </c>
      <c r="B40" s="1929">
        <v>2.23</v>
      </c>
      <c r="C40" s="1928"/>
      <c r="D40" s="1935">
        <v>11.03</v>
      </c>
      <c r="E40" s="1935">
        <v>11.03</v>
      </c>
      <c r="G40" s="1929">
        <v>2.23</v>
      </c>
      <c r="H40" s="1927"/>
      <c r="I40" s="1929">
        <v>2.23</v>
      </c>
      <c r="J40" s="1930"/>
      <c r="K40" s="1935" t="s">
        <v>225</v>
      </c>
      <c r="L40" s="1927"/>
      <c r="M40" s="1935" t="s">
        <v>225</v>
      </c>
    </row>
    <row r="41" spans="1:13">
      <c r="A41" s="1929">
        <v>2.2400000000000002</v>
      </c>
      <c r="B41" s="1929">
        <v>2.2400000000000002</v>
      </c>
      <c r="C41" s="1928"/>
      <c r="D41" s="1935">
        <v>11.04</v>
      </c>
      <c r="E41" s="1935">
        <v>11.04</v>
      </c>
      <c r="G41" s="1929">
        <v>2.2400000000000002</v>
      </c>
      <c r="H41" s="1927"/>
      <c r="I41" s="1929">
        <v>2.2400000000000002</v>
      </c>
      <c r="J41" s="1930"/>
      <c r="K41" s="1935" t="s">
        <v>226</v>
      </c>
      <c r="L41" s="1938"/>
      <c r="M41" s="1935" t="s">
        <v>226</v>
      </c>
    </row>
    <row r="42" spans="1:13">
      <c r="A42" s="1929">
        <v>2.25</v>
      </c>
      <c r="B42" s="1929">
        <v>2.25</v>
      </c>
      <c r="C42" s="1928"/>
      <c r="D42" s="1935">
        <v>11.05</v>
      </c>
      <c r="E42" s="1935">
        <v>11.05</v>
      </c>
      <c r="G42" s="1929">
        <v>2.25</v>
      </c>
      <c r="H42" s="1927" t="s">
        <v>1410</v>
      </c>
      <c r="I42" s="1929">
        <v>2.25</v>
      </c>
      <c r="J42" s="1930"/>
      <c r="K42" s="1935" t="s">
        <v>227</v>
      </c>
      <c r="L42" s="1938" t="s">
        <v>1410</v>
      </c>
      <c r="M42" s="1935" t="s">
        <v>227</v>
      </c>
    </row>
    <row r="43" spans="1:13">
      <c r="A43" s="1929">
        <v>2.2599999999999998</v>
      </c>
      <c r="B43" s="1929">
        <v>2.2599999999999998</v>
      </c>
      <c r="C43" s="1928"/>
      <c r="D43" s="1935">
        <v>11.06</v>
      </c>
      <c r="E43" s="1935">
        <v>11.06</v>
      </c>
      <c r="G43" s="1929">
        <v>2.2599999999999998</v>
      </c>
      <c r="H43" s="1931" t="s">
        <v>1410</v>
      </c>
      <c r="I43" s="1929">
        <v>2.2599999999999998</v>
      </c>
      <c r="J43" s="1930"/>
      <c r="K43" s="1935" t="s">
        <v>229</v>
      </c>
      <c r="L43" s="1938" t="s">
        <v>1410</v>
      </c>
      <c r="M43" s="1935" t="s">
        <v>229</v>
      </c>
    </row>
    <row r="44" spans="1:13">
      <c r="A44" s="1929">
        <v>3.01</v>
      </c>
      <c r="B44" s="1929">
        <v>3.01</v>
      </c>
      <c r="C44" s="1928"/>
      <c r="D44" s="1935">
        <v>11.07</v>
      </c>
      <c r="E44" s="1935">
        <v>11.07</v>
      </c>
      <c r="G44" s="1929">
        <v>3.01</v>
      </c>
      <c r="H44" s="1931"/>
      <c r="I44" s="1929">
        <v>3.01</v>
      </c>
      <c r="J44" s="1930"/>
      <c r="K44" s="1935">
        <v>11.01</v>
      </c>
      <c r="L44" s="1938"/>
      <c r="M44" s="1935">
        <v>11.01</v>
      </c>
    </row>
    <row r="45" spans="1:13">
      <c r="A45" s="1929">
        <v>3.02</v>
      </c>
      <c r="B45" s="1929">
        <v>3.02</v>
      </c>
      <c r="C45" s="1928"/>
      <c r="D45" s="1935">
        <v>11.08</v>
      </c>
      <c r="E45" s="1935">
        <v>11.08</v>
      </c>
      <c r="G45" s="1929">
        <v>3.02</v>
      </c>
      <c r="H45" s="1931"/>
      <c r="I45" s="1929">
        <v>3.02</v>
      </c>
      <c r="J45" s="1930"/>
      <c r="K45" s="1935">
        <v>11.02</v>
      </c>
      <c r="L45" s="1938"/>
      <c r="M45" s="1935">
        <v>11.02</v>
      </c>
    </row>
    <row r="46" spans="1:13">
      <c r="A46" s="1929">
        <v>3.03</v>
      </c>
      <c r="B46" s="1929">
        <v>3.03</v>
      </c>
      <c r="C46" s="1928"/>
      <c r="D46" s="1935">
        <v>11.09</v>
      </c>
      <c r="E46" s="1935">
        <v>11.09</v>
      </c>
      <c r="G46" s="1929">
        <v>3.03</v>
      </c>
      <c r="H46" s="1931"/>
      <c r="I46" s="1929">
        <v>3.03</v>
      </c>
      <c r="J46" s="1930"/>
      <c r="K46" s="1937">
        <v>11.03</v>
      </c>
      <c r="L46" s="1938" t="s">
        <v>1410</v>
      </c>
      <c r="M46" s="1935">
        <v>11.03</v>
      </c>
    </row>
    <row r="47" spans="1:13">
      <c r="A47" s="1929">
        <v>3.04</v>
      </c>
      <c r="B47" s="1929">
        <v>3.04</v>
      </c>
      <c r="C47" s="1928"/>
      <c r="D47" s="1935" t="s">
        <v>133</v>
      </c>
      <c r="E47" s="1935" t="s">
        <v>133</v>
      </c>
      <c r="G47" s="1929">
        <v>3.04</v>
      </c>
      <c r="H47" s="1931" t="s">
        <v>1410</v>
      </c>
      <c r="I47" s="1929">
        <v>3.04</v>
      </c>
      <c r="J47" s="1930"/>
      <c r="K47" s="1935">
        <v>11.04</v>
      </c>
      <c r="L47" s="1938"/>
      <c r="M47" s="1935">
        <v>11.04</v>
      </c>
    </row>
    <row r="48" spans="1:13">
      <c r="A48" s="1929">
        <v>3.05</v>
      </c>
      <c r="B48" s="1929">
        <v>3.05</v>
      </c>
      <c r="C48" s="1928"/>
      <c r="D48" s="1935">
        <v>11.11</v>
      </c>
      <c r="E48" s="1935">
        <v>11.11</v>
      </c>
      <c r="G48" s="1929">
        <v>3.05</v>
      </c>
      <c r="H48" s="1931"/>
      <c r="I48" s="1929">
        <v>3.05</v>
      </c>
      <c r="J48" s="1930"/>
      <c r="K48" s="1935">
        <v>11.05</v>
      </c>
      <c r="L48" s="1927"/>
      <c r="M48" s="1935">
        <v>11.05</v>
      </c>
    </row>
    <row r="49" spans="1:13">
      <c r="A49" s="1929">
        <v>3.06</v>
      </c>
      <c r="B49" s="1929">
        <v>3.06</v>
      </c>
      <c r="C49" s="1928"/>
      <c r="D49" s="1935">
        <v>11.12</v>
      </c>
      <c r="E49" s="1935">
        <v>11.12</v>
      </c>
      <c r="G49" s="1929">
        <v>3.06</v>
      </c>
      <c r="H49" s="1931" t="s">
        <v>1410</v>
      </c>
      <c r="I49" s="1929">
        <v>3.06</v>
      </c>
      <c r="J49" s="1930"/>
      <c r="K49" s="1935">
        <v>11.06</v>
      </c>
      <c r="L49" s="1927"/>
      <c r="M49" s="1935">
        <v>11.06</v>
      </c>
    </row>
    <row r="50" spans="1:13">
      <c r="A50" s="1929">
        <v>3.07</v>
      </c>
      <c r="B50" s="1929">
        <v>3.07</v>
      </c>
      <c r="C50" s="1928"/>
      <c r="D50" s="1935">
        <v>11.13</v>
      </c>
      <c r="E50" s="1935">
        <v>11.13</v>
      </c>
      <c r="G50" s="1929">
        <v>3.07</v>
      </c>
      <c r="H50" s="1931"/>
      <c r="I50" s="1929">
        <v>3.07</v>
      </c>
      <c r="J50" s="1930"/>
      <c r="K50" s="1935">
        <v>11.07</v>
      </c>
      <c r="L50" s="1927"/>
      <c r="M50" s="1935">
        <v>11.07</v>
      </c>
    </row>
    <row r="51" spans="1:13">
      <c r="A51" s="1935">
        <v>3.08</v>
      </c>
      <c r="B51" s="1935">
        <v>3.08</v>
      </c>
      <c r="C51" s="1928"/>
      <c r="D51" s="1935">
        <v>11.14</v>
      </c>
      <c r="E51" s="1935">
        <v>11.14</v>
      </c>
      <c r="G51" s="1929">
        <v>3.08</v>
      </c>
      <c r="H51" s="1931" t="s">
        <v>1410</v>
      </c>
      <c r="I51" s="1929">
        <v>3.08</v>
      </c>
      <c r="J51" s="1930"/>
      <c r="K51" s="1935">
        <v>11.08</v>
      </c>
      <c r="L51" s="1927" t="s">
        <v>1410</v>
      </c>
      <c r="M51" s="1935">
        <v>11.08</v>
      </c>
    </row>
    <row r="52" spans="1:13">
      <c r="A52" s="1929">
        <v>4.01</v>
      </c>
      <c r="B52" s="1929">
        <v>4.01</v>
      </c>
      <c r="C52" s="1928"/>
      <c r="D52" s="1935">
        <v>11.15</v>
      </c>
      <c r="E52" s="1935">
        <v>11.15</v>
      </c>
      <c r="G52" s="1929">
        <v>4.01</v>
      </c>
      <c r="H52" s="1931"/>
      <c r="I52" s="1929">
        <v>4.01</v>
      </c>
      <c r="J52" s="1930"/>
      <c r="K52" s="1935">
        <v>11.09</v>
      </c>
      <c r="L52" s="1927" t="s">
        <v>1410</v>
      </c>
      <c r="M52" s="1935">
        <v>11.09</v>
      </c>
    </row>
    <row r="53" spans="1:13">
      <c r="A53" s="1929">
        <v>4.0199999999999996</v>
      </c>
      <c r="B53" s="1929">
        <v>4.0199999999999996</v>
      </c>
      <c r="C53" s="1928"/>
      <c r="D53" s="1935">
        <v>11.16</v>
      </c>
      <c r="E53" s="1935">
        <v>11.16</v>
      </c>
      <c r="G53" s="1935">
        <v>4.0199999999999996</v>
      </c>
      <c r="H53" s="1931" t="s">
        <v>1410</v>
      </c>
      <c r="I53" s="1935">
        <v>4.0199999999999996</v>
      </c>
      <c r="J53" s="1930"/>
      <c r="K53" s="1935" t="s">
        <v>133</v>
      </c>
      <c r="L53" s="1927"/>
      <c r="M53" s="1935" t="s">
        <v>133</v>
      </c>
    </row>
    <row r="54" spans="1:13">
      <c r="A54" s="1929">
        <v>4.03</v>
      </c>
      <c r="B54" s="1929">
        <v>4.03</v>
      </c>
      <c r="C54" s="1928"/>
      <c r="D54" s="1935">
        <v>11.17</v>
      </c>
      <c r="E54" s="1935">
        <v>11.17</v>
      </c>
      <c r="G54" s="1931">
        <v>4.03</v>
      </c>
      <c r="H54" s="1931"/>
      <c r="I54" s="1931">
        <v>4.03</v>
      </c>
      <c r="J54" s="1930"/>
      <c r="K54" s="1935">
        <v>11.11</v>
      </c>
      <c r="L54" s="1927"/>
      <c r="M54" s="1935">
        <v>11.11</v>
      </c>
    </row>
    <row r="55" spans="1:13">
      <c r="A55" s="1929">
        <v>4.04</v>
      </c>
      <c r="B55" s="1929">
        <v>4.04</v>
      </c>
      <c r="C55" s="1928"/>
      <c r="D55" s="1935">
        <v>11.18</v>
      </c>
      <c r="E55" s="1935">
        <v>11.18</v>
      </c>
      <c r="G55" s="1931">
        <v>4.04</v>
      </c>
      <c r="H55" s="1931" t="s">
        <v>1410</v>
      </c>
      <c r="I55" s="1931">
        <v>4.04</v>
      </c>
      <c r="J55" s="1930"/>
      <c r="K55" s="1935">
        <v>11.12</v>
      </c>
      <c r="L55" s="1927"/>
      <c r="M55" s="1935">
        <v>11.12</v>
      </c>
    </row>
    <row r="56" spans="1:13">
      <c r="A56" s="1929">
        <v>4.05</v>
      </c>
      <c r="B56" s="1929">
        <v>4.05</v>
      </c>
      <c r="C56" s="1928"/>
      <c r="D56" s="1933">
        <v>12.01</v>
      </c>
      <c r="E56" s="1933">
        <v>12.01</v>
      </c>
      <c r="G56" s="1931">
        <v>4.05</v>
      </c>
      <c r="H56" s="1931" t="s">
        <v>1410</v>
      </c>
      <c r="I56" s="1931">
        <v>4.05</v>
      </c>
      <c r="J56" s="1930"/>
      <c r="K56" s="1935">
        <v>11.13</v>
      </c>
      <c r="L56" s="1927"/>
      <c r="M56" s="1935">
        <v>11.13</v>
      </c>
    </row>
    <row r="57" spans="1:13">
      <c r="A57" s="1929">
        <v>4.0599999999999996</v>
      </c>
      <c r="B57" s="1929">
        <v>4.0599999999999996</v>
      </c>
      <c r="C57" s="1928"/>
      <c r="D57" s="1931">
        <v>12.02</v>
      </c>
      <c r="E57" s="1931">
        <v>12.02</v>
      </c>
      <c r="G57" s="1931">
        <v>4.0599999999999996</v>
      </c>
      <c r="H57" s="1931" t="s">
        <v>1410</v>
      </c>
      <c r="I57" s="1931">
        <v>4.0599999999999996</v>
      </c>
      <c r="J57" s="1930"/>
      <c r="K57" s="1935">
        <v>11.14</v>
      </c>
      <c r="L57" s="1927" t="s">
        <v>1410</v>
      </c>
      <c r="M57" s="1935">
        <v>11.14</v>
      </c>
    </row>
    <row r="58" spans="1:13">
      <c r="A58" s="1929">
        <v>4.07</v>
      </c>
      <c r="B58" s="1929">
        <v>4.07</v>
      </c>
      <c r="C58" s="1928"/>
      <c r="D58" s="1931">
        <v>12.03</v>
      </c>
      <c r="E58" s="1931">
        <v>12.03</v>
      </c>
      <c r="G58" s="1931">
        <v>4.07</v>
      </c>
      <c r="H58" s="1931" t="s">
        <v>1410</v>
      </c>
      <c r="I58" s="1931">
        <v>4.07</v>
      </c>
      <c r="J58" s="1930"/>
      <c r="K58" s="1935">
        <v>11.15</v>
      </c>
      <c r="L58" s="1927"/>
      <c r="M58" s="1935">
        <v>11.15</v>
      </c>
    </row>
    <row r="59" spans="1:13">
      <c r="A59" s="1935">
        <v>4.08</v>
      </c>
      <c r="B59" s="1935">
        <v>4.08</v>
      </c>
      <c r="C59" s="1928"/>
      <c r="D59" s="1931">
        <v>12.04</v>
      </c>
      <c r="E59" s="1931">
        <v>12.04</v>
      </c>
      <c r="G59" s="1929">
        <v>4.08</v>
      </c>
      <c r="H59" s="1931" t="s">
        <v>1410</v>
      </c>
      <c r="I59" s="1929">
        <v>4.08</v>
      </c>
      <c r="J59" s="1930"/>
      <c r="K59" s="1935">
        <v>11.16</v>
      </c>
      <c r="L59" s="1927"/>
      <c r="M59" s="1935">
        <v>11.16</v>
      </c>
    </row>
    <row r="60" spans="1:13">
      <c r="A60" s="1935">
        <v>4.09</v>
      </c>
      <c r="B60" s="1935">
        <v>4.09</v>
      </c>
      <c r="C60" s="1928"/>
      <c r="D60" s="1935">
        <v>12.05</v>
      </c>
      <c r="E60" s="1935">
        <v>12.05</v>
      </c>
      <c r="G60" s="1929">
        <v>4.09</v>
      </c>
      <c r="H60" s="1931" t="s">
        <v>1410</v>
      </c>
      <c r="I60" s="1929">
        <v>4.09</v>
      </c>
      <c r="J60" s="1930"/>
      <c r="K60" s="1935">
        <v>11.17</v>
      </c>
      <c r="L60" s="1927" t="s">
        <v>1410</v>
      </c>
      <c r="M60" s="1935">
        <v>11.17</v>
      </c>
    </row>
    <row r="61" spans="1:13">
      <c r="A61" s="1933" t="s">
        <v>186</v>
      </c>
      <c r="B61" s="1933" t="s">
        <v>186</v>
      </c>
      <c r="C61" s="1928"/>
      <c r="D61" s="1935">
        <v>12.06</v>
      </c>
      <c r="E61" s="1935">
        <v>12.06</v>
      </c>
      <c r="G61" s="1933" t="s">
        <v>186</v>
      </c>
      <c r="H61" s="1931" t="s">
        <v>1410</v>
      </c>
      <c r="I61" s="1933" t="s">
        <v>186</v>
      </c>
      <c r="J61" s="1930"/>
      <c r="K61" s="1935">
        <v>11.18</v>
      </c>
      <c r="L61" s="1927"/>
      <c r="M61" s="1935">
        <v>11.18</v>
      </c>
    </row>
    <row r="62" spans="1:13">
      <c r="A62" s="1933">
        <v>4.1100000000000003</v>
      </c>
      <c r="B62" s="1933">
        <v>4.1100000000000003</v>
      </c>
      <c r="C62" s="1928"/>
      <c r="D62" s="1935">
        <v>12.07</v>
      </c>
      <c r="E62" s="1935">
        <v>12.07</v>
      </c>
      <c r="G62" s="1929">
        <v>4.1100000000000003</v>
      </c>
      <c r="H62" s="1931"/>
      <c r="I62" s="1929">
        <v>4.1100000000000003</v>
      </c>
      <c r="J62" s="1930"/>
      <c r="K62" s="1935">
        <v>12.01</v>
      </c>
      <c r="L62" s="1927"/>
      <c r="M62" s="1935">
        <v>12.01</v>
      </c>
    </row>
    <row r="63" spans="1:13">
      <c r="A63" s="1935">
        <v>5.01</v>
      </c>
      <c r="B63" s="1935">
        <v>5.01</v>
      </c>
      <c r="C63" s="1928"/>
      <c r="D63" s="1935" t="s">
        <v>153</v>
      </c>
      <c r="E63" s="1935">
        <v>5.07</v>
      </c>
      <c r="G63" s="1929">
        <v>5.01</v>
      </c>
      <c r="H63" s="1931"/>
      <c r="I63" s="1929">
        <v>5.01</v>
      </c>
      <c r="J63" s="1930"/>
      <c r="K63" s="1935">
        <v>12.02</v>
      </c>
      <c r="L63" s="1927" t="s">
        <v>1410</v>
      </c>
      <c r="M63" s="1935">
        <v>12.02</v>
      </c>
    </row>
    <row r="64" spans="1:13">
      <c r="A64" s="1935">
        <v>5.0199999999999996</v>
      </c>
      <c r="B64" s="1935">
        <v>5.0199999999999996</v>
      </c>
      <c r="C64" s="1928"/>
      <c r="D64" s="1935" t="s">
        <v>153</v>
      </c>
      <c r="E64" s="1933">
        <v>5.08</v>
      </c>
      <c r="G64" s="1929">
        <v>5.0199999999999996</v>
      </c>
      <c r="H64" s="1931"/>
      <c r="I64" s="1929">
        <v>5.0199999999999996</v>
      </c>
      <c r="J64" s="1930"/>
      <c r="K64" s="1935">
        <v>12.03</v>
      </c>
      <c r="L64" s="1927" t="s">
        <v>1410</v>
      </c>
      <c r="M64" s="1935">
        <v>12.03</v>
      </c>
    </row>
    <row r="65" spans="1:13">
      <c r="A65" s="1935">
        <v>5.03</v>
      </c>
      <c r="B65" s="1935">
        <v>5.05</v>
      </c>
      <c r="C65" s="1928"/>
      <c r="D65" s="1935" t="s">
        <v>153</v>
      </c>
      <c r="E65" s="1933">
        <v>5.09</v>
      </c>
      <c r="G65" s="1929">
        <v>5.03</v>
      </c>
      <c r="H65" s="1931"/>
      <c r="I65" s="1929">
        <v>5.05</v>
      </c>
      <c r="J65" s="1930"/>
      <c r="K65" s="1935">
        <v>12.04</v>
      </c>
      <c r="L65" s="1927" t="s">
        <v>1410</v>
      </c>
      <c r="M65" s="1935">
        <v>12.04</v>
      </c>
    </row>
    <row r="66" spans="1:13">
      <c r="A66" s="1929">
        <v>5.04</v>
      </c>
      <c r="B66" s="1929">
        <v>5.04</v>
      </c>
      <c r="C66" s="1928"/>
      <c r="D66" s="1935" t="s">
        <v>153</v>
      </c>
      <c r="E66" s="1933" t="s">
        <v>2095</v>
      </c>
      <c r="G66" s="1929">
        <v>5.04</v>
      </c>
      <c r="H66" s="1931"/>
      <c r="I66" s="1929">
        <v>5.04</v>
      </c>
      <c r="J66" s="1930"/>
      <c r="K66" s="1935">
        <v>12.05</v>
      </c>
      <c r="L66" s="1927" t="s">
        <v>1410</v>
      </c>
      <c r="M66" s="1935">
        <v>12.05</v>
      </c>
    </row>
    <row r="67" spans="1:13">
      <c r="A67" s="1929">
        <v>5.05</v>
      </c>
      <c r="B67" s="1929">
        <v>5.0599999999999996</v>
      </c>
      <c r="C67" s="1928"/>
      <c r="D67" s="1939"/>
      <c r="E67" s="1940"/>
      <c r="G67" s="1929">
        <v>5.05</v>
      </c>
      <c r="H67" s="1931"/>
      <c r="I67" s="1929">
        <v>5.03</v>
      </c>
      <c r="J67" s="1930"/>
      <c r="K67" s="1935">
        <v>12.06</v>
      </c>
      <c r="L67" s="1927" t="s">
        <v>1410</v>
      </c>
      <c r="M67" s="1935">
        <v>12.06</v>
      </c>
    </row>
    <row r="68" spans="1:13">
      <c r="A68" s="1929">
        <v>5.0599999999999996</v>
      </c>
      <c r="B68" s="1929">
        <v>5.03</v>
      </c>
      <c r="C68" s="1928"/>
      <c r="D68" s="1939"/>
      <c r="E68" s="1939"/>
      <c r="G68" s="1941">
        <v>5.0599999999999996</v>
      </c>
      <c r="H68" s="1931" t="s">
        <v>1410</v>
      </c>
      <c r="I68" s="1933">
        <v>5.05</v>
      </c>
      <c r="J68" s="1930"/>
      <c r="K68" s="1933">
        <v>12.07</v>
      </c>
      <c r="L68" s="1927" t="s">
        <v>1410</v>
      </c>
      <c r="M68" s="1933">
        <v>12.07</v>
      </c>
    </row>
    <row r="69" spans="1:13">
      <c r="A69" s="1942">
        <v>6.01</v>
      </c>
      <c r="B69" s="1942">
        <v>6.01</v>
      </c>
      <c r="C69" s="1928"/>
      <c r="D69" s="1939"/>
      <c r="E69" s="1939"/>
      <c r="F69" s="1943"/>
      <c r="G69" s="1944">
        <v>5.07</v>
      </c>
      <c r="H69" s="1931" t="s">
        <v>1410</v>
      </c>
      <c r="I69" s="1929">
        <v>5.07</v>
      </c>
      <c r="J69" s="1930"/>
      <c r="K69" s="1935">
        <v>12.05</v>
      </c>
      <c r="L69" s="1927" t="s">
        <v>1410</v>
      </c>
      <c r="M69" s="1935">
        <v>12.05</v>
      </c>
    </row>
    <row r="70" spans="1:13">
      <c r="A70" s="1929">
        <v>6.02</v>
      </c>
      <c r="B70" s="1929">
        <v>6.02</v>
      </c>
      <c r="C70" s="1928"/>
      <c r="D70" s="1939"/>
      <c r="E70" s="1939"/>
      <c r="F70" s="1943"/>
      <c r="G70" s="1944">
        <v>5.08</v>
      </c>
      <c r="H70" s="1931"/>
      <c r="I70" s="1929">
        <v>5.08</v>
      </c>
      <c r="J70" s="1930"/>
      <c r="K70" s="1935">
        <v>12.06</v>
      </c>
      <c r="L70" s="1927" t="s">
        <v>1410</v>
      </c>
      <c r="M70" s="1935">
        <v>12.06</v>
      </c>
    </row>
    <row r="71" spans="1:13">
      <c r="A71" s="1929">
        <v>6.03</v>
      </c>
      <c r="B71" s="1929">
        <v>6.03</v>
      </c>
      <c r="C71" s="1928"/>
      <c r="D71" s="1939"/>
      <c r="E71" s="1939"/>
      <c r="F71" s="1943"/>
      <c r="G71" s="1945">
        <v>5.09</v>
      </c>
      <c r="H71" s="1931"/>
      <c r="I71" s="1935">
        <v>5.09</v>
      </c>
      <c r="J71" s="1930"/>
      <c r="K71" s="1933">
        <v>12.07</v>
      </c>
      <c r="L71" s="1927" t="s">
        <v>1410</v>
      </c>
      <c r="M71" s="1933">
        <v>12.07</v>
      </c>
    </row>
    <row r="72" spans="1:13">
      <c r="A72" s="1929">
        <v>6.04</v>
      </c>
      <c r="B72" s="1929">
        <v>6.04</v>
      </c>
      <c r="C72" s="1928"/>
      <c r="D72" s="1939"/>
      <c r="E72" s="1939"/>
      <c r="G72" s="1945" t="s">
        <v>2095</v>
      </c>
      <c r="H72" s="1931" t="s">
        <v>1410</v>
      </c>
      <c r="I72" s="1935" t="s">
        <v>2095</v>
      </c>
      <c r="J72" s="1930"/>
      <c r="K72" s="1940"/>
      <c r="L72" s="1946"/>
      <c r="M72" s="1940"/>
    </row>
    <row r="73" spans="1:13">
      <c r="A73" s="1929">
        <v>6.05</v>
      </c>
      <c r="B73" s="1929">
        <v>6.05</v>
      </c>
      <c r="C73" s="1928"/>
      <c r="D73" s="1939"/>
      <c r="E73" s="1939"/>
      <c r="G73" s="1947"/>
      <c r="H73" s="1943"/>
      <c r="I73" s="1948"/>
      <c r="K73" s="1939"/>
      <c r="L73" s="1946"/>
      <c r="M73" s="1939"/>
    </row>
    <row r="74" spans="1:13">
      <c r="A74" s="1929">
        <v>6.06</v>
      </c>
      <c r="B74" s="1929">
        <v>6.06</v>
      </c>
      <c r="D74" s="1939"/>
      <c r="E74" s="1939"/>
      <c r="G74" s="1943"/>
      <c r="H74" s="1943"/>
      <c r="I74" s="1943"/>
      <c r="K74" s="1949" t="s">
        <v>2622</v>
      </c>
      <c r="L74" s="1946"/>
      <c r="M74" s="1939"/>
    </row>
    <row r="75" spans="1:13">
      <c r="A75" s="1950"/>
      <c r="B75" s="1943"/>
      <c r="D75" s="1939"/>
      <c r="E75" s="1939"/>
      <c r="G75" s="1951"/>
      <c r="H75" s="1951"/>
      <c r="I75" s="1951"/>
    </row>
    <row r="76" spans="1:13">
      <c r="A76" s="1950"/>
      <c r="B76" s="1943"/>
      <c r="D76" s="1939"/>
      <c r="E76" s="1939"/>
      <c r="G76" s="1951"/>
      <c r="H76" s="1951"/>
      <c r="I76" s="1951"/>
    </row>
    <row r="77" spans="1:13">
      <c r="A77" s="1950"/>
      <c r="B77" s="1943"/>
      <c r="L77" s="1943"/>
      <c r="M77" s="1939"/>
    </row>
    <row r="78" spans="1:13">
      <c r="A78" s="1952"/>
      <c r="B78" s="1943"/>
      <c r="K78" s="400"/>
    </row>
    <row r="79" spans="1:13">
      <c r="A79" s="1986"/>
      <c r="B79" s="1953" t="s">
        <v>2623</v>
      </c>
      <c r="F79" s="1954" t="s">
        <v>153</v>
      </c>
      <c r="G79" s="1955" t="s">
        <v>2624</v>
      </c>
      <c r="J79" s="1956" t="s">
        <v>1410</v>
      </c>
      <c r="K79" s="1955" t="s">
        <v>2625</v>
      </c>
    </row>
    <row r="80" spans="1:13">
      <c r="A80" s="1986"/>
      <c r="B80" s="1957" t="s">
        <v>2626</v>
      </c>
    </row>
    <row r="81" spans="1:10" ht="7.5" customHeight="1"/>
    <row r="82" spans="1:10">
      <c r="A82" s="1953" t="s">
        <v>2627</v>
      </c>
      <c r="G82" s="1958"/>
      <c r="H82" s="1958"/>
      <c r="J82" s="1959"/>
    </row>
  </sheetData>
  <pageMargins left="0.55118110236220474" right="0.47244094488188981" top="0.31496062992125984" bottom="0.31496062992125984" header="0.23622047244094491" footer="0.19685039370078741"/>
  <pageSetup paperSize="9" scale="76"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419EB-E556-AE41-8436-224B5C18F42D}">
  <sheetPr>
    <pageSetUpPr fitToPage="1"/>
  </sheetPr>
  <dimension ref="A1:V223"/>
  <sheetViews>
    <sheetView workbookViewId="0">
      <selection activeCell="A2" sqref="A2"/>
    </sheetView>
  </sheetViews>
  <sheetFormatPr baseColWidth="10" defaultColWidth="11.3984375" defaultRowHeight="11"/>
  <cols>
    <col min="1" max="8" width="11.3984375" style="1891"/>
    <col min="9" max="9" width="11.3984375" style="1892" customWidth="1"/>
    <col min="10" max="10" width="10.3984375" style="1892" customWidth="1"/>
    <col min="11" max="13" width="11.3984375" style="1892"/>
    <col min="14" max="14" width="10.59765625" style="1892" customWidth="1"/>
    <col min="15" max="15" width="9.59765625" style="1891" customWidth="1"/>
    <col min="16" max="16" width="9.796875" style="1891" customWidth="1"/>
    <col min="17" max="18" width="11.3984375" style="1891"/>
    <col min="19" max="20" width="11.3984375" style="1892"/>
    <col min="21" max="16384" width="11.3984375" style="1891"/>
  </cols>
  <sheetData>
    <row r="1" spans="1:20" ht="16">
      <c r="A1" s="1890" t="s">
        <v>135</v>
      </c>
      <c r="B1" s="1890"/>
      <c r="C1" s="1890"/>
      <c r="D1" s="1890"/>
      <c r="E1" s="1890"/>
      <c r="F1" s="1890"/>
    </row>
    <row r="2" spans="1:20" ht="12.75" customHeight="1">
      <c r="L2" s="1893"/>
      <c r="M2" s="1893"/>
    </row>
    <row r="3" spans="1:20" ht="16">
      <c r="A3" s="1890" t="s">
        <v>2619</v>
      </c>
      <c r="B3" s="1890"/>
      <c r="C3" s="1890"/>
      <c r="D3" s="1890"/>
      <c r="E3" s="1890"/>
      <c r="F3" s="1890"/>
      <c r="L3" s="1893"/>
      <c r="M3" s="1893"/>
    </row>
    <row r="4" spans="1:20" ht="15" customHeight="1">
      <c r="I4" s="1893"/>
      <c r="J4" s="1893"/>
      <c r="K4" s="1894"/>
      <c r="L4" s="1894"/>
      <c r="M4" s="1894"/>
      <c r="N4" s="1894"/>
      <c r="Q4" s="1895"/>
      <c r="R4" s="1895"/>
      <c r="S4" s="1893"/>
      <c r="T4" s="1893"/>
    </row>
    <row r="5" spans="1:20" s="402" customFormat="1" ht="28.5" customHeight="1">
      <c r="A5" s="1896" t="s">
        <v>2620</v>
      </c>
      <c r="B5" s="1896" t="s">
        <v>136</v>
      </c>
      <c r="C5" s="1896" t="s">
        <v>137</v>
      </c>
      <c r="D5" s="1896" t="s">
        <v>138</v>
      </c>
      <c r="E5" s="1896" t="s">
        <v>139</v>
      </c>
      <c r="F5" s="1896" t="s">
        <v>140</v>
      </c>
      <c r="G5" s="1896" t="s">
        <v>141</v>
      </c>
      <c r="H5" s="1896" t="s">
        <v>142</v>
      </c>
      <c r="I5" s="1896" t="s">
        <v>143</v>
      </c>
      <c r="J5" s="1896" t="s">
        <v>144</v>
      </c>
      <c r="K5" s="1896" t="s">
        <v>145</v>
      </c>
      <c r="L5" s="1896" t="s">
        <v>146</v>
      </c>
      <c r="M5" s="1896" t="s">
        <v>147</v>
      </c>
      <c r="N5" s="1896" t="s">
        <v>148</v>
      </c>
      <c r="O5" s="1896" t="s">
        <v>149</v>
      </c>
      <c r="P5" s="1896" t="s">
        <v>150</v>
      </c>
      <c r="Q5" s="1896" t="s">
        <v>151</v>
      </c>
      <c r="R5" s="1896" t="s">
        <v>152</v>
      </c>
      <c r="S5" s="1897"/>
      <c r="T5" s="1897"/>
    </row>
    <row r="6" spans="1:20" ht="14.25" customHeight="1">
      <c r="A6" s="1898"/>
      <c r="B6" s="1898"/>
      <c r="C6" s="1898"/>
      <c r="D6" s="1898"/>
      <c r="E6" s="1898"/>
      <c r="F6" s="1898"/>
      <c r="G6" s="1898"/>
      <c r="H6" s="1898"/>
      <c r="I6" s="1898"/>
      <c r="J6" s="1898"/>
      <c r="K6" s="1898"/>
      <c r="L6" s="1898"/>
      <c r="M6" s="1899"/>
      <c r="N6" s="1899"/>
      <c r="O6" s="1899"/>
      <c r="P6" s="1899"/>
      <c r="Q6" s="1899"/>
      <c r="R6" s="1899"/>
      <c r="S6" s="1891"/>
      <c r="T6" s="1891"/>
    </row>
    <row r="7" spans="1:20">
      <c r="A7" s="1900">
        <v>1.01</v>
      </c>
      <c r="B7" s="1900">
        <v>1.01</v>
      </c>
      <c r="C7" s="1900">
        <v>1.01</v>
      </c>
      <c r="D7" s="1900">
        <v>1.01</v>
      </c>
      <c r="E7" s="1900">
        <v>1.01</v>
      </c>
      <c r="F7" s="1900">
        <v>1.01</v>
      </c>
      <c r="G7" s="1900">
        <v>1.01</v>
      </c>
      <c r="H7" s="1900">
        <v>1.01</v>
      </c>
      <c r="I7" s="1900">
        <v>1.01</v>
      </c>
      <c r="J7" s="1900">
        <v>1.43</v>
      </c>
      <c r="K7" s="1900">
        <v>1.43</v>
      </c>
      <c r="L7" s="1900">
        <v>1.43</v>
      </c>
      <c r="M7" s="1900">
        <v>1.43</v>
      </c>
      <c r="N7" s="1901" t="s">
        <v>153</v>
      </c>
      <c r="O7" s="1902" t="s">
        <v>153</v>
      </c>
      <c r="P7" s="1902" t="s">
        <v>153</v>
      </c>
      <c r="Q7" s="1902" t="s">
        <v>153</v>
      </c>
      <c r="R7" s="1902" t="s">
        <v>153</v>
      </c>
      <c r="S7" s="1891"/>
      <c r="T7" s="1891"/>
    </row>
    <row r="8" spans="1:20">
      <c r="A8" s="1903">
        <v>1.02</v>
      </c>
      <c r="B8" s="1903">
        <v>1.02</v>
      </c>
      <c r="C8" s="1903">
        <v>1.02</v>
      </c>
      <c r="D8" s="1903">
        <v>1.02</v>
      </c>
      <c r="E8" s="1903">
        <v>1.02</v>
      </c>
      <c r="F8" s="1903">
        <v>1.02</v>
      </c>
      <c r="G8" s="1900">
        <v>1.02</v>
      </c>
      <c r="H8" s="1900">
        <v>1.02</v>
      </c>
      <c r="I8" s="1900">
        <v>1.02</v>
      </c>
      <c r="J8" s="1900">
        <v>1.27</v>
      </c>
      <c r="K8" s="1900">
        <v>1.27</v>
      </c>
      <c r="L8" s="1900">
        <v>1.27</v>
      </c>
      <c r="M8" s="1900">
        <v>1.27</v>
      </c>
      <c r="N8" s="1901">
        <v>1.27</v>
      </c>
      <c r="O8" s="1904" t="s">
        <v>154</v>
      </c>
      <c r="P8" s="1904" t="s">
        <v>154</v>
      </c>
      <c r="Q8" s="1904" t="s">
        <v>154</v>
      </c>
      <c r="R8" s="1904" t="s">
        <v>154</v>
      </c>
      <c r="S8" s="1891"/>
      <c r="T8" s="1891"/>
    </row>
    <row r="9" spans="1:20">
      <c r="A9" s="1903">
        <v>1.03</v>
      </c>
      <c r="B9" s="1903">
        <v>1.03</v>
      </c>
      <c r="C9" s="1903">
        <v>1.03</v>
      </c>
      <c r="D9" s="1903">
        <v>1.03</v>
      </c>
      <c r="E9" s="1903">
        <v>1.03</v>
      </c>
      <c r="F9" s="1903">
        <v>1.03</v>
      </c>
      <c r="G9" s="1900">
        <v>1.03</v>
      </c>
      <c r="H9" s="1900">
        <v>1.03</v>
      </c>
      <c r="I9" s="1900">
        <v>1.03</v>
      </c>
      <c r="J9" s="1900">
        <v>1.28</v>
      </c>
      <c r="K9" s="1900">
        <v>1.28</v>
      </c>
      <c r="L9" s="1900">
        <v>1.28</v>
      </c>
      <c r="M9" s="1900">
        <v>1.28</v>
      </c>
      <c r="N9" s="1901">
        <v>1.28</v>
      </c>
      <c r="O9" s="1904" t="s">
        <v>155</v>
      </c>
      <c r="P9" s="1904" t="s">
        <v>155</v>
      </c>
      <c r="Q9" s="1904" t="s">
        <v>155</v>
      </c>
      <c r="R9" s="1904" t="s">
        <v>155</v>
      </c>
      <c r="S9" s="1891"/>
      <c r="T9" s="1891"/>
    </row>
    <row r="10" spans="1:20">
      <c r="A10" s="1903">
        <v>1.04</v>
      </c>
      <c r="B10" s="1903">
        <v>1.04</v>
      </c>
      <c r="C10" s="1903">
        <v>1.04</v>
      </c>
      <c r="D10" s="1903">
        <v>1.04</v>
      </c>
      <c r="E10" s="1903">
        <v>1.04</v>
      </c>
      <c r="F10" s="1903">
        <v>1.04</v>
      </c>
      <c r="G10" s="1903">
        <v>1.04</v>
      </c>
      <c r="H10" s="1903">
        <v>1.04</v>
      </c>
      <c r="I10" s="1903">
        <v>1.04</v>
      </c>
      <c r="J10" s="1903">
        <v>1.29</v>
      </c>
      <c r="K10" s="1903">
        <v>1.29</v>
      </c>
      <c r="L10" s="1903">
        <v>1.29</v>
      </c>
      <c r="M10" s="1903">
        <v>1.29</v>
      </c>
      <c r="N10" s="1905">
        <v>1.29</v>
      </c>
      <c r="O10" s="1906" t="s">
        <v>156</v>
      </c>
      <c r="P10" s="1906" t="s">
        <v>156</v>
      </c>
      <c r="Q10" s="1906" t="s">
        <v>156</v>
      </c>
      <c r="R10" s="1906" t="s">
        <v>156</v>
      </c>
      <c r="S10" s="1891"/>
      <c r="T10" s="1891"/>
    </row>
    <row r="11" spans="1:20">
      <c r="A11" s="1903">
        <v>1.05</v>
      </c>
      <c r="B11" s="1903">
        <v>1.05</v>
      </c>
      <c r="C11" s="1903">
        <v>1.05</v>
      </c>
      <c r="D11" s="1903">
        <v>1.05</v>
      </c>
      <c r="E11" s="1903">
        <v>1.05</v>
      </c>
      <c r="F11" s="1903">
        <v>1.05</v>
      </c>
      <c r="G11" s="1903">
        <v>1.05</v>
      </c>
      <c r="H11" s="1903">
        <v>1.05</v>
      </c>
      <c r="I11" s="1903">
        <v>1.05</v>
      </c>
      <c r="J11" s="1903">
        <v>1.3</v>
      </c>
      <c r="K11" s="1903">
        <v>1.3</v>
      </c>
      <c r="L11" s="1903">
        <v>1.3</v>
      </c>
      <c r="M11" s="1903">
        <v>1.3</v>
      </c>
      <c r="N11" s="1905">
        <v>1.3</v>
      </c>
      <c r="O11" s="1906" t="s">
        <v>157</v>
      </c>
      <c r="P11" s="1906" t="s">
        <v>157</v>
      </c>
      <c r="Q11" s="1906" t="s">
        <v>157</v>
      </c>
      <c r="R11" s="1906" t="s">
        <v>157</v>
      </c>
      <c r="S11" s="1891"/>
      <c r="T11" s="1891"/>
    </row>
    <row r="12" spans="1:20">
      <c r="A12" s="1903">
        <v>1.06</v>
      </c>
      <c r="B12" s="1903">
        <v>1.06</v>
      </c>
      <c r="C12" s="1903">
        <v>1.06</v>
      </c>
      <c r="D12" s="1903">
        <v>1.06</v>
      </c>
      <c r="E12" s="1903">
        <v>1.06</v>
      </c>
      <c r="F12" s="1903">
        <v>1.06</v>
      </c>
      <c r="G12" s="1903">
        <v>1.06</v>
      </c>
      <c r="H12" s="1903">
        <v>1.06</v>
      </c>
      <c r="I12" s="1903">
        <v>1.06</v>
      </c>
      <c r="J12" s="1903">
        <v>1.31</v>
      </c>
      <c r="K12" s="1903">
        <v>1.31</v>
      </c>
      <c r="L12" s="1903">
        <v>1.31</v>
      </c>
      <c r="M12" s="1903">
        <v>1.31</v>
      </c>
      <c r="N12" s="1905">
        <v>1.31</v>
      </c>
      <c r="O12" s="1906" t="s">
        <v>158</v>
      </c>
      <c r="P12" s="1906" t="s">
        <v>158</v>
      </c>
      <c r="Q12" s="1906" t="s">
        <v>158</v>
      </c>
      <c r="R12" s="1906" t="s">
        <v>158</v>
      </c>
      <c r="S12" s="1891"/>
      <c r="T12" s="1891"/>
    </row>
    <row r="13" spans="1:20">
      <c r="A13" s="1903">
        <v>1.07</v>
      </c>
      <c r="B13" s="1903">
        <v>1.07</v>
      </c>
      <c r="C13" s="1903">
        <v>1.07</v>
      </c>
      <c r="D13" s="1903">
        <v>1.07</v>
      </c>
      <c r="E13" s="1903">
        <v>1.07</v>
      </c>
      <c r="F13" s="1903">
        <v>1.07</v>
      </c>
      <c r="G13" s="1903">
        <v>1.07</v>
      </c>
      <c r="H13" s="1903">
        <v>1.07</v>
      </c>
      <c r="I13" s="1903">
        <v>1.07</v>
      </c>
      <c r="J13" s="1907" t="s">
        <v>159</v>
      </c>
      <c r="K13" s="1908">
        <v>7.06</v>
      </c>
      <c r="L13" s="1908">
        <v>7.06</v>
      </c>
      <c r="M13" s="1908" t="s">
        <v>153</v>
      </c>
      <c r="N13" s="1908" t="s">
        <v>153</v>
      </c>
      <c r="O13" s="1908" t="s">
        <v>153</v>
      </c>
      <c r="P13" s="1908" t="s">
        <v>153</v>
      </c>
      <c r="Q13" s="1908" t="s">
        <v>153</v>
      </c>
      <c r="R13" s="1908" t="s">
        <v>153</v>
      </c>
      <c r="S13" s="1891"/>
      <c r="T13" s="1891"/>
    </row>
    <row r="14" spans="1:20">
      <c r="A14" s="1903">
        <v>1.08</v>
      </c>
      <c r="B14" s="1903">
        <v>1.08</v>
      </c>
      <c r="C14" s="1903">
        <v>1.08</v>
      </c>
      <c r="D14" s="1903">
        <v>1.08</v>
      </c>
      <c r="E14" s="1903">
        <v>1.08</v>
      </c>
      <c r="F14" s="1903">
        <v>1.08</v>
      </c>
      <c r="G14" s="1903">
        <v>1.08</v>
      </c>
      <c r="H14" s="1903">
        <v>1.08</v>
      </c>
      <c r="I14" s="1903">
        <v>1.08</v>
      </c>
      <c r="J14" s="1903">
        <v>1.25</v>
      </c>
      <c r="K14" s="1903">
        <v>1.25</v>
      </c>
      <c r="L14" s="1903">
        <v>1.25</v>
      </c>
      <c r="M14" s="1903">
        <v>1.25</v>
      </c>
      <c r="N14" s="1905">
        <v>1.25</v>
      </c>
      <c r="O14" s="1909" t="s">
        <v>153</v>
      </c>
      <c r="P14" s="1909" t="s">
        <v>153</v>
      </c>
      <c r="Q14" s="1909" t="s">
        <v>153</v>
      </c>
      <c r="R14" s="1909" t="s">
        <v>153</v>
      </c>
      <c r="S14" s="1891"/>
      <c r="T14" s="1891"/>
    </row>
    <row r="15" spans="1:20">
      <c r="A15" s="1903">
        <v>1.0900000000000001</v>
      </c>
      <c r="B15" s="1903">
        <v>1.0900000000000001</v>
      </c>
      <c r="C15" s="1903">
        <v>1.0900000000000001</v>
      </c>
      <c r="D15" s="1903">
        <v>1.0900000000000001</v>
      </c>
      <c r="E15" s="1903">
        <v>1.0900000000000001</v>
      </c>
      <c r="F15" s="1903">
        <v>1.0900000000000001</v>
      </c>
      <c r="G15" s="1903">
        <v>1.0900000000000001</v>
      </c>
      <c r="H15" s="1903">
        <v>1.0900000000000001</v>
      </c>
      <c r="I15" s="1903">
        <v>1.0900000000000001</v>
      </c>
      <c r="J15" s="1903">
        <v>1.26</v>
      </c>
      <c r="K15" s="1903">
        <v>1.26</v>
      </c>
      <c r="L15" s="1903">
        <v>1.26</v>
      </c>
      <c r="M15" s="1903">
        <v>1.26</v>
      </c>
      <c r="N15" s="1905">
        <v>1.26</v>
      </c>
      <c r="O15" s="1909" t="s">
        <v>153</v>
      </c>
      <c r="P15" s="1909" t="s">
        <v>153</v>
      </c>
      <c r="Q15" s="1909" t="s">
        <v>153</v>
      </c>
      <c r="R15" s="1909" t="s">
        <v>153</v>
      </c>
      <c r="S15" s="1891"/>
      <c r="T15" s="1891"/>
    </row>
    <row r="16" spans="1:20">
      <c r="A16" s="1903">
        <v>1.1000000000000001</v>
      </c>
      <c r="B16" s="1903">
        <v>1.1000000000000001</v>
      </c>
      <c r="C16" s="1903" t="s">
        <v>160</v>
      </c>
      <c r="D16" s="1903" t="s">
        <v>160</v>
      </c>
      <c r="E16" s="1903" t="s">
        <v>160</v>
      </c>
      <c r="F16" s="1903" t="s">
        <v>160</v>
      </c>
      <c r="G16" s="1903">
        <v>1.1000000000000001</v>
      </c>
      <c r="H16" s="1903">
        <v>1.1000000000000001</v>
      </c>
      <c r="I16" s="1903">
        <v>1.1000000000000001</v>
      </c>
      <c r="J16" s="1903">
        <v>1.23</v>
      </c>
      <c r="K16" s="1903">
        <v>1.23</v>
      </c>
      <c r="L16" s="1903">
        <v>1.23</v>
      </c>
      <c r="M16" s="1903">
        <v>1.23</v>
      </c>
      <c r="N16" s="1905">
        <v>1.23</v>
      </c>
      <c r="O16" s="1909" t="s">
        <v>153</v>
      </c>
      <c r="P16" s="1909" t="s">
        <v>153</v>
      </c>
      <c r="Q16" s="1909" t="s">
        <v>153</v>
      </c>
      <c r="R16" s="1909" t="s">
        <v>153</v>
      </c>
      <c r="S16" s="1891"/>
      <c r="T16" s="1891"/>
    </row>
    <row r="17" spans="1:20">
      <c r="A17" s="1903">
        <v>1.1100000000000001</v>
      </c>
      <c r="B17" s="1903">
        <v>1.1100000000000001</v>
      </c>
      <c r="C17" s="1903">
        <v>1.1100000000000001</v>
      </c>
      <c r="D17" s="1903">
        <v>1.1100000000000001</v>
      </c>
      <c r="E17" s="1903">
        <v>1.1100000000000001</v>
      </c>
      <c r="F17" s="1903">
        <v>1.1100000000000001</v>
      </c>
      <c r="G17" s="1903">
        <v>1.1100000000000001</v>
      </c>
      <c r="H17" s="1903">
        <v>1.1100000000000001</v>
      </c>
      <c r="I17" s="1903">
        <v>1.1100000000000001</v>
      </c>
      <c r="J17" s="1903">
        <v>1.24</v>
      </c>
      <c r="K17" s="1903">
        <v>1.24</v>
      </c>
      <c r="L17" s="1903">
        <v>1.24</v>
      </c>
      <c r="M17" s="1903">
        <v>1.24</v>
      </c>
      <c r="N17" s="1905">
        <v>1.24</v>
      </c>
      <c r="O17" s="1909" t="s">
        <v>153</v>
      </c>
      <c r="P17" s="1909" t="s">
        <v>153</v>
      </c>
      <c r="Q17" s="1909" t="s">
        <v>153</v>
      </c>
      <c r="R17" s="1909" t="s">
        <v>153</v>
      </c>
      <c r="S17" s="1891"/>
      <c r="T17" s="1891"/>
    </row>
    <row r="18" spans="1:20">
      <c r="A18" s="1903">
        <v>1.1200000000000001</v>
      </c>
      <c r="B18" s="1903">
        <v>1.1200000000000001</v>
      </c>
      <c r="C18" s="1903">
        <v>1.1200000000000001</v>
      </c>
      <c r="D18" s="1903">
        <v>1.1200000000000001</v>
      </c>
      <c r="E18" s="1903">
        <v>1.1200000000000001</v>
      </c>
      <c r="F18" s="1903">
        <v>1.1200000000000001</v>
      </c>
      <c r="G18" s="1903">
        <v>1.1200000000000001</v>
      </c>
      <c r="H18" s="1903">
        <v>1.1200000000000001</v>
      </c>
      <c r="I18" s="1903">
        <v>1.1200000000000001</v>
      </c>
      <c r="J18" s="1903">
        <v>1.32</v>
      </c>
      <c r="K18" s="1903">
        <v>1.32</v>
      </c>
      <c r="L18" s="1903">
        <v>1.32</v>
      </c>
      <c r="M18" s="1903">
        <v>1.32</v>
      </c>
      <c r="N18" s="1905">
        <v>1.32</v>
      </c>
      <c r="O18" s="1906" t="s">
        <v>161</v>
      </c>
      <c r="P18" s="1906" t="s">
        <v>161</v>
      </c>
      <c r="Q18" s="1906" t="s">
        <v>161</v>
      </c>
      <c r="R18" s="1906" t="s">
        <v>161</v>
      </c>
      <c r="S18" s="1891"/>
      <c r="T18" s="1891"/>
    </row>
    <row r="19" spans="1:20">
      <c r="A19" s="1903">
        <v>1.1299999999999999</v>
      </c>
      <c r="B19" s="1903">
        <v>1.1299999999999999</v>
      </c>
      <c r="C19" s="1903">
        <v>1.1299999999999999</v>
      </c>
      <c r="D19" s="1903">
        <v>1.1299999999999999</v>
      </c>
      <c r="E19" s="1903">
        <v>1.1299999999999999</v>
      </c>
      <c r="F19" s="1903">
        <v>1.1299999999999999</v>
      </c>
      <c r="G19" s="1903">
        <v>1.1299999999999999</v>
      </c>
      <c r="H19" s="1903">
        <v>1.1299999999999999</v>
      </c>
      <c r="I19" s="1903">
        <v>1.1299999999999999</v>
      </c>
      <c r="J19" s="1903">
        <v>1.33</v>
      </c>
      <c r="K19" s="1903">
        <v>1.33</v>
      </c>
      <c r="L19" s="1903">
        <v>1.33</v>
      </c>
      <c r="M19" s="1903">
        <v>1.33</v>
      </c>
      <c r="N19" s="1905">
        <v>1.33</v>
      </c>
      <c r="O19" s="1909" t="s">
        <v>153</v>
      </c>
      <c r="P19" s="1909" t="s">
        <v>153</v>
      </c>
      <c r="Q19" s="1909" t="s">
        <v>153</v>
      </c>
      <c r="R19" s="1909" t="s">
        <v>153</v>
      </c>
      <c r="S19" s="1891"/>
      <c r="T19" s="1891"/>
    </row>
    <row r="20" spans="1:20">
      <c r="A20" s="1908">
        <v>2.0099999999999998</v>
      </c>
      <c r="B20" s="1908">
        <v>2.0099999999999998</v>
      </c>
      <c r="C20" s="1908">
        <v>2.0099999999999998</v>
      </c>
      <c r="D20" s="1908">
        <v>2.0099999999999998</v>
      </c>
      <c r="E20" s="1908">
        <v>2.0099999999999998</v>
      </c>
      <c r="F20" s="1908">
        <v>2.0099999999999998</v>
      </c>
      <c r="G20" s="1910">
        <v>2.0099999999999998</v>
      </c>
      <c r="H20" s="1903">
        <v>2.0099999999999998</v>
      </c>
      <c r="I20" s="1903">
        <v>2.0099999999999998</v>
      </c>
      <c r="J20" s="1903">
        <v>1.19</v>
      </c>
      <c r="K20" s="1903">
        <v>1.19</v>
      </c>
      <c r="L20" s="1903">
        <v>1.19</v>
      </c>
      <c r="M20" s="1903">
        <v>1.19</v>
      </c>
      <c r="N20" s="1905">
        <v>1.19</v>
      </c>
      <c r="O20" s="1909" t="s">
        <v>153</v>
      </c>
      <c r="P20" s="1909" t="s">
        <v>153</v>
      </c>
      <c r="Q20" s="1909" t="s">
        <v>153</v>
      </c>
      <c r="R20" s="1909" t="s">
        <v>153</v>
      </c>
      <c r="S20" s="1891"/>
      <c r="T20" s="1891"/>
    </row>
    <row r="21" spans="1:20">
      <c r="A21" s="1908">
        <v>2.02</v>
      </c>
      <c r="B21" s="1908">
        <v>2.02</v>
      </c>
      <c r="C21" s="1908">
        <v>2.02</v>
      </c>
      <c r="D21" s="1908">
        <v>2.02</v>
      </c>
      <c r="E21" s="1908">
        <v>2.02</v>
      </c>
      <c r="F21" s="1908">
        <v>2.02</v>
      </c>
      <c r="G21" s="1903">
        <v>2.02</v>
      </c>
      <c r="H21" s="1903">
        <v>2.02</v>
      </c>
      <c r="I21" s="1903">
        <v>2.02</v>
      </c>
      <c r="J21" s="1903">
        <v>1.2</v>
      </c>
      <c r="K21" s="1903">
        <v>1.2</v>
      </c>
      <c r="L21" s="1903">
        <v>1.2</v>
      </c>
      <c r="M21" s="1903">
        <v>1.2</v>
      </c>
      <c r="N21" s="1905">
        <v>1.2</v>
      </c>
      <c r="O21" s="1909" t="s">
        <v>153</v>
      </c>
      <c r="P21" s="1909" t="s">
        <v>153</v>
      </c>
      <c r="Q21" s="1909" t="s">
        <v>153</v>
      </c>
      <c r="R21" s="1909" t="s">
        <v>153</v>
      </c>
      <c r="S21" s="1891"/>
      <c r="T21" s="1891"/>
    </row>
    <row r="22" spans="1:20">
      <c r="A22" s="1908">
        <v>2.0299999999999998</v>
      </c>
      <c r="B22" s="1908">
        <v>2.0299999999999998</v>
      </c>
      <c r="C22" s="1908">
        <v>2.0299999999999998</v>
      </c>
      <c r="D22" s="1908">
        <v>2.0299999999999998</v>
      </c>
      <c r="E22" s="1908">
        <v>2.0299999999999998</v>
      </c>
      <c r="F22" s="1908">
        <v>2.0299999999999998</v>
      </c>
      <c r="G22" s="1903">
        <v>2.0299999999999998</v>
      </c>
      <c r="H22" s="1903">
        <v>2.0299999999999998</v>
      </c>
      <c r="I22" s="1903">
        <v>2.0299999999999998</v>
      </c>
      <c r="J22" s="1907">
        <v>1.51</v>
      </c>
      <c r="K22" s="1908" t="s">
        <v>153</v>
      </c>
      <c r="L22" s="1908" t="s">
        <v>153</v>
      </c>
      <c r="M22" s="1908" t="s">
        <v>153</v>
      </c>
      <c r="N22" s="1908" t="s">
        <v>153</v>
      </c>
      <c r="O22" s="1908" t="s">
        <v>153</v>
      </c>
      <c r="P22" s="1908" t="s">
        <v>153</v>
      </c>
      <c r="Q22" s="1908" t="s">
        <v>153</v>
      </c>
      <c r="R22" s="1908" t="s">
        <v>153</v>
      </c>
      <c r="S22" s="1891"/>
      <c r="T22" s="1891"/>
    </row>
    <row r="23" spans="1:20">
      <c r="A23" s="1908">
        <v>2.04</v>
      </c>
      <c r="B23" s="1908">
        <v>2.04</v>
      </c>
      <c r="C23" s="1908">
        <v>2.04</v>
      </c>
      <c r="D23" s="1908">
        <v>2.04</v>
      </c>
      <c r="E23" s="1908">
        <v>2.04</v>
      </c>
      <c r="F23" s="1908">
        <v>2.04</v>
      </c>
      <c r="G23" s="1907">
        <v>2.04</v>
      </c>
      <c r="H23" s="1907">
        <v>2.04</v>
      </c>
      <c r="I23" s="1907">
        <v>2.04</v>
      </c>
      <c r="J23" s="1908">
        <v>2.04</v>
      </c>
      <c r="K23" s="1908">
        <v>2.04</v>
      </c>
      <c r="L23" s="1908">
        <v>2.04</v>
      </c>
      <c r="M23" s="1908">
        <v>2.04</v>
      </c>
      <c r="N23" s="1906">
        <v>2.04</v>
      </c>
      <c r="O23" s="1906" t="s">
        <v>162</v>
      </c>
      <c r="P23" s="1906" t="s">
        <v>162</v>
      </c>
      <c r="Q23" s="1906" t="s">
        <v>153</v>
      </c>
      <c r="R23" s="1906" t="s">
        <v>153</v>
      </c>
      <c r="S23" s="1891"/>
      <c r="T23" s="1891"/>
    </row>
    <row r="24" spans="1:20">
      <c r="A24" s="1908">
        <v>2.0499999999999998</v>
      </c>
      <c r="B24" s="1908">
        <v>2.0499999999999998</v>
      </c>
      <c r="C24" s="1908">
        <v>2.0499999999999998</v>
      </c>
      <c r="D24" s="1908">
        <v>2.0499999999999998</v>
      </c>
      <c r="E24" s="1908">
        <v>2.0499999999999998</v>
      </c>
      <c r="F24" s="1908">
        <v>2.0499999999999998</v>
      </c>
      <c r="G24" s="1903">
        <v>2.0499999999999998</v>
      </c>
      <c r="H24" s="1903">
        <v>2.0499999999999998</v>
      </c>
      <c r="I24" s="1903">
        <v>2.0499999999999998</v>
      </c>
      <c r="J24" s="1908">
        <v>2.0499999999999998</v>
      </c>
      <c r="K24" s="1908">
        <v>2.0499999999999998</v>
      </c>
      <c r="L24" s="1908">
        <v>2.0499999999999998</v>
      </c>
      <c r="M24" s="1908">
        <v>2.0499999999999998</v>
      </c>
      <c r="N24" s="1906">
        <v>2.0499999999999998</v>
      </c>
      <c r="O24" s="1906" t="s">
        <v>163</v>
      </c>
      <c r="P24" s="1906" t="s">
        <v>163</v>
      </c>
      <c r="Q24" s="1906" t="s">
        <v>153</v>
      </c>
      <c r="R24" s="1906" t="s">
        <v>153</v>
      </c>
      <c r="S24" s="1891"/>
      <c r="T24" s="1891"/>
    </row>
    <row r="25" spans="1:20">
      <c r="A25" s="1908">
        <v>2.06</v>
      </c>
      <c r="B25" s="1908">
        <v>2.06</v>
      </c>
      <c r="C25" s="1908">
        <v>2.06</v>
      </c>
      <c r="D25" s="1908">
        <v>2.06</v>
      </c>
      <c r="E25" s="1908">
        <v>2.06</v>
      </c>
      <c r="F25" s="1908">
        <v>2.06</v>
      </c>
      <c r="G25" s="1908">
        <v>2.06</v>
      </c>
      <c r="H25" s="1908">
        <v>2.06</v>
      </c>
      <c r="I25" s="1908">
        <v>2.06</v>
      </c>
      <c r="J25" s="1908">
        <v>2.06</v>
      </c>
      <c r="K25" s="1908">
        <v>2.06</v>
      </c>
      <c r="L25" s="1908">
        <v>2.06</v>
      </c>
      <c r="M25" s="1908">
        <v>2.06</v>
      </c>
      <c r="N25" s="1906">
        <v>2.06</v>
      </c>
      <c r="O25" s="1906" t="s">
        <v>164</v>
      </c>
      <c r="P25" s="1906" t="s">
        <v>164</v>
      </c>
      <c r="Q25" s="1906" t="s">
        <v>153</v>
      </c>
      <c r="R25" s="1906" t="s">
        <v>153</v>
      </c>
      <c r="S25" s="1891"/>
      <c r="T25" s="1891"/>
    </row>
    <row r="26" spans="1:20">
      <c r="A26" s="1908">
        <v>2.0699999999999998</v>
      </c>
      <c r="B26" s="1908">
        <v>2.0699999999999998</v>
      </c>
      <c r="C26" s="1908">
        <v>2.0699999999999998</v>
      </c>
      <c r="D26" s="1908">
        <v>2.0699999999999998</v>
      </c>
      <c r="E26" s="1908">
        <v>2.0699999999999998</v>
      </c>
      <c r="F26" s="1908" t="s">
        <v>153</v>
      </c>
      <c r="G26" s="1908" t="s">
        <v>153</v>
      </c>
      <c r="H26" s="1908" t="s">
        <v>153</v>
      </c>
      <c r="I26" s="1908" t="s">
        <v>153</v>
      </c>
      <c r="J26" s="1908" t="s">
        <v>153</v>
      </c>
      <c r="K26" s="1908" t="s">
        <v>153</v>
      </c>
      <c r="L26" s="1908" t="s">
        <v>153</v>
      </c>
      <c r="M26" s="1908" t="s">
        <v>153</v>
      </c>
      <c r="N26" s="1908" t="s">
        <v>153</v>
      </c>
      <c r="O26" s="1908" t="s">
        <v>153</v>
      </c>
      <c r="P26" s="1908" t="s">
        <v>153</v>
      </c>
      <c r="Q26" s="1908" t="s">
        <v>153</v>
      </c>
      <c r="R26" s="1908" t="s">
        <v>153</v>
      </c>
      <c r="S26" s="1891"/>
      <c r="T26" s="1891"/>
    </row>
    <row r="27" spans="1:20">
      <c r="A27" s="1908">
        <v>2.08</v>
      </c>
      <c r="B27" s="1908">
        <v>2.08</v>
      </c>
      <c r="C27" s="1908">
        <v>2.08</v>
      </c>
      <c r="D27" s="1908">
        <v>2.08</v>
      </c>
      <c r="E27" s="1908">
        <v>2.08</v>
      </c>
      <c r="F27" s="1908" t="s">
        <v>153</v>
      </c>
      <c r="G27" s="1908" t="s">
        <v>153</v>
      </c>
      <c r="H27" s="1908" t="s">
        <v>153</v>
      </c>
      <c r="I27" s="1908" t="s">
        <v>153</v>
      </c>
      <c r="J27" s="1908" t="s">
        <v>153</v>
      </c>
      <c r="K27" s="1908" t="s">
        <v>153</v>
      </c>
      <c r="L27" s="1908" t="s">
        <v>153</v>
      </c>
      <c r="M27" s="1908" t="s">
        <v>153</v>
      </c>
      <c r="N27" s="1908" t="s">
        <v>153</v>
      </c>
      <c r="O27" s="1908" t="s">
        <v>153</v>
      </c>
      <c r="P27" s="1908" t="s">
        <v>153</v>
      </c>
      <c r="Q27" s="1908" t="s">
        <v>153</v>
      </c>
      <c r="R27" s="1908" t="s">
        <v>153</v>
      </c>
      <c r="S27" s="1891"/>
      <c r="T27" s="1891"/>
    </row>
    <row r="28" spans="1:20">
      <c r="A28" s="1908">
        <v>2.09</v>
      </c>
      <c r="B28" s="1908">
        <v>2.09</v>
      </c>
      <c r="C28" s="1908">
        <v>2.09</v>
      </c>
      <c r="D28" s="1908">
        <v>2.09</v>
      </c>
      <c r="E28" s="1908">
        <v>2.09</v>
      </c>
      <c r="F28" s="1908">
        <v>2.09</v>
      </c>
      <c r="G28" s="1908">
        <v>2.09</v>
      </c>
      <c r="H28" s="1908">
        <v>2.09</v>
      </c>
      <c r="I28" s="1908">
        <v>2.09</v>
      </c>
      <c r="J28" s="1908">
        <v>2.09</v>
      </c>
      <c r="K28" s="1908">
        <v>2.09</v>
      </c>
      <c r="L28" s="1908">
        <v>2.09</v>
      </c>
      <c r="M28" s="1908">
        <v>2.09</v>
      </c>
      <c r="N28" s="1906">
        <v>2.09</v>
      </c>
      <c r="O28" s="1906" t="s">
        <v>165</v>
      </c>
      <c r="P28" s="1906" t="s">
        <v>153</v>
      </c>
      <c r="Q28" s="1906" t="s">
        <v>153</v>
      </c>
      <c r="R28" s="1906" t="s">
        <v>153</v>
      </c>
      <c r="S28" s="1891"/>
      <c r="T28" s="1891"/>
    </row>
    <row r="29" spans="1:20">
      <c r="A29" s="1911" t="s">
        <v>80</v>
      </c>
      <c r="B29" s="1911" t="s">
        <v>80</v>
      </c>
      <c r="C29" s="1911" t="s">
        <v>80</v>
      </c>
      <c r="D29" s="1911" t="s">
        <v>80</v>
      </c>
      <c r="E29" s="1911" t="s">
        <v>80</v>
      </c>
      <c r="F29" s="1912" t="s">
        <v>153</v>
      </c>
      <c r="G29" s="1912" t="s">
        <v>153</v>
      </c>
      <c r="H29" s="1912" t="s">
        <v>153</v>
      </c>
      <c r="I29" s="1912" t="s">
        <v>153</v>
      </c>
      <c r="J29" s="1912" t="s">
        <v>153</v>
      </c>
      <c r="K29" s="1912" t="s">
        <v>153</v>
      </c>
      <c r="L29" s="1912" t="s">
        <v>153</v>
      </c>
      <c r="M29" s="1912" t="s">
        <v>153</v>
      </c>
      <c r="N29" s="1912" t="s">
        <v>153</v>
      </c>
      <c r="O29" s="1908" t="s">
        <v>153</v>
      </c>
      <c r="P29" s="1908" t="s">
        <v>153</v>
      </c>
      <c r="Q29" s="1908" t="s">
        <v>153</v>
      </c>
      <c r="R29" s="1908" t="s">
        <v>153</v>
      </c>
      <c r="S29" s="1891"/>
      <c r="T29" s="1891"/>
    </row>
    <row r="30" spans="1:20">
      <c r="A30" s="1908">
        <v>2.11</v>
      </c>
      <c r="B30" s="1908">
        <v>2.11</v>
      </c>
      <c r="C30" s="1908">
        <v>2.11</v>
      </c>
      <c r="D30" s="1908">
        <v>2.11</v>
      </c>
      <c r="E30" s="1908">
        <v>2.11</v>
      </c>
      <c r="F30" s="1908">
        <v>2.11</v>
      </c>
      <c r="G30" s="1908">
        <v>2.11</v>
      </c>
      <c r="H30" s="1908">
        <v>2.11</v>
      </c>
      <c r="I30" s="1908">
        <v>2.11</v>
      </c>
      <c r="J30" s="1903">
        <v>2.11</v>
      </c>
      <c r="K30" s="1903">
        <v>2.11</v>
      </c>
      <c r="L30" s="1903">
        <v>2.11</v>
      </c>
      <c r="M30" s="1903">
        <v>2.11</v>
      </c>
      <c r="N30" s="1905" t="s">
        <v>153</v>
      </c>
      <c r="O30" s="1909" t="s">
        <v>153</v>
      </c>
      <c r="P30" s="1909" t="s">
        <v>153</v>
      </c>
      <c r="Q30" s="1909" t="s">
        <v>153</v>
      </c>
      <c r="R30" s="1909" t="s">
        <v>153</v>
      </c>
      <c r="S30" s="1891"/>
      <c r="T30" s="1891"/>
    </row>
    <row r="31" spans="1:20">
      <c r="A31" s="1908">
        <v>2.12</v>
      </c>
      <c r="B31" s="1908">
        <v>2.12</v>
      </c>
      <c r="C31" s="1908">
        <v>2.12</v>
      </c>
      <c r="D31" s="1908">
        <v>2.12</v>
      </c>
      <c r="E31" s="1908">
        <v>2.12</v>
      </c>
      <c r="F31" s="1908">
        <v>2.12</v>
      </c>
      <c r="G31" s="1908">
        <v>2.12</v>
      </c>
      <c r="H31" s="1908">
        <v>2.12</v>
      </c>
      <c r="I31" s="1908">
        <v>2.12</v>
      </c>
      <c r="J31" s="1903">
        <v>2.12</v>
      </c>
      <c r="K31" s="1903" t="s">
        <v>153</v>
      </c>
      <c r="L31" s="1903" t="s">
        <v>153</v>
      </c>
      <c r="M31" s="1903" t="s">
        <v>153</v>
      </c>
      <c r="N31" s="1903" t="s">
        <v>153</v>
      </c>
      <c r="O31" s="1903" t="s">
        <v>153</v>
      </c>
      <c r="P31" s="1903" t="s">
        <v>153</v>
      </c>
      <c r="Q31" s="1903" t="s">
        <v>153</v>
      </c>
      <c r="R31" s="1903" t="s">
        <v>153</v>
      </c>
      <c r="S31" s="1891"/>
      <c r="T31" s="1891"/>
    </row>
    <row r="32" spans="1:20">
      <c r="A32" s="1908">
        <v>2.13</v>
      </c>
      <c r="B32" s="1908">
        <v>2.13</v>
      </c>
      <c r="C32" s="1908">
        <v>2.13</v>
      </c>
      <c r="D32" s="1908">
        <v>2.13</v>
      </c>
      <c r="E32" s="1908">
        <v>2.13</v>
      </c>
      <c r="F32" s="1908">
        <v>2.13</v>
      </c>
      <c r="G32" s="1913">
        <v>2.13</v>
      </c>
      <c r="H32" s="1913">
        <v>2.13</v>
      </c>
      <c r="I32" s="1913">
        <v>2.13</v>
      </c>
      <c r="J32" s="1903">
        <v>2.13</v>
      </c>
      <c r="K32" s="1903" t="s">
        <v>153</v>
      </c>
      <c r="L32" s="1903" t="s">
        <v>153</v>
      </c>
      <c r="M32" s="1903" t="s">
        <v>153</v>
      </c>
      <c r="N32" s="1903" t="s">
        <v>153</v>
      </c>
      <c r="O32" s="1903" t="s">
        <v>153</v>
      </c>
      <c r="P32" s="1903" t="s">
        <v>153</v>
      </c>
      <c r="Q32" s="1903" t="s">
        <v>153</v>
      </c>
      <c r="R32" s="1903" t="s">
        <v>153</v>
      </c>
      <c r="S32" s="1891"/>
      <c r="T32" s="1891"/>
    </row>
    <row r="33" spans="1:20">
      <c r="A33" s="1908">
        <v>2.14</v>
      </c>
      <c r="B33" s="1908">
        <v>2.14</v>
      </c>
      <c r="C33" s="1908">
        <v>2.14</v>
      </c>
      <c r="D33" s="1908">
        <v>2.14</v>
      </c>
      <c r="E33" s="1908">
        <v>2.14</v>
      </c>
      <c r="F33" s="1908">
        <v>2.14</v>
      </c>
      <c r="G33" s="1903">
        <v>2.14</v>
      </c>
      <c r="H33" s="1903">
        <v>2.14</v>
      </c>
      <c r="I33" s="1903">
        <v>2.14</v>
      </c>
      <c r="J33" s="1903">
        <v>1.1299999999999999</v>
      </c>
      <c r="K33" s="1903">
        <v>1.1299999999999999</v>
      </c>
      <c r="L33" s="1903">
        <v>1.1299999999999999</v>
      </c>
      <c r="M33" s="1903">
        <v>1.1299999999999999</v>
      </c>
      <c r="N33" s="1905">
        <v>1.1299999999999999</v>
      </c>
      <c r="O33" s="1906" t="s">
        <v>166</v>
      </c>
      <c r="P33" s="1906" t="s">
        <v>166</v>
      </c>
      <c r="Q33" s="1906" t="s">
        <v>166</v>
      </c>
      <c r="R33" s="1906" t="s">
        <v>166</v>
      </c>
      <c r="S33" s="1891"/>
      <c r="T33" s="1891"/>
    </row>
    <row r="34" spans="1:20">
      <c r="A34" s="1908">
        <v>2.15</v>
      </c>
      <c r="B34" s="1908">
        <v>2.15</v>
      </c>
      <c r="C34" s="1908">
        <v>2.15</v>
      </c>
      <c r="D34" s="1908">
        <v>2.15</v>
      </c>
      <c r="E34" s="1908">
        <v>2.15</v>
      </c>
      <c r="F34" s="1908">
        <v>2.15</v>
      </c>
      <c r="G34" s="1903">
        <v>2.15</v>
      </c>
      <c r="H34" s="1903">
        <v>2.15</v>
      </c>
      <c r="I34" s="1903">
        <v>2.15</v>
      </c>
      <c r="J34" s="1903">
        <v>1.1399999999999999</v>
      </c>
      <c r="K34" s="1903">
        <v>1.1399999999999999</v>
      </c>
      <c r="L34" s="1903">
        <v>1.1399999999999999</v>
      </c>
      <c r="M34" s="1903">
        <v>1.1399999999999999</v>
      </c>
      <c r="N34" s="1905">
        <v>1.1399999999999999</v>
      </c>
      <c r="O34" s="1906" t="s">
        <v>167</v>
      </c>
      <c r="P34" s="1906" t="s">
        <v>167</v>
      </c>
      <c r="Q34" s="1906" t="s">
        <v>167</v>
      </c>
      <c r="R34" s="1906" t="s">
        <v>167</v>
      </c>
      <c r="S34" s="1891"/>
      <c r="T34" s="1891"/>
    </row>
    <row r="35" spans="1:20">
      <c r="A35" s="1908">
        <v>2.16</v>
      </c>
      <c r="B35" s="1908">
        <v>2.16</v>
      </c>
      <c r="C35" s="1908">
        <v>2.16</v>
      </c>
      <c r="D35" s="1908">
        <v>2.16</v>
      </c>
      <c r="E35" s="1908">
        <v>2.16</v>
      </c>
      <c r="F35" s="1908">
        <v>2.16</v>
      </c>
      <c r="G35" s="1903">
        <v>2.16</v>
      </c>
      <c r="H35" s="1903">
        <v>2.16</v>
      </c>
      <c r="I35" s="1903">
        <v>2.16</v>
      </c>
      <c r="J35" s="1903">
        <v>1.1499999999999999</v>
      </c>
      <c r="K35" s="1903">
        <v>1.1499999999999999</v>
      </c>
      <c r="L35" s="1903">
        <v>1.1499999999999999</v>
      </c>
      <c r="M35" s="1903">
        <v>1.1499999999999999</v>
      </c>
      <c r="N35" s="1905">
        <v>1.1499999999999999</v>
      </c>
      <c r="O35" s="1906" t="s">
        <v>168</v>
      </c>
      <c r="P35" s="1906" t="s">
        <v>168</v>
      </c>
      <c r="Q35" s="1906" t="s">
        <v>168</v>
      </c>
      <c r="R35" s="1906" t="s">
        <v>168</v>
      </c>
      <c r="S35" s="1891"/>
      <c r="T35" s="1891"/>
    </row>
    <row r="36" spans="1:20">
      <c r="A36" s="1908">
        <v>2.17</v>
      </c>
      <c r="B36" s="1908">
        <v>2.17</v>
      </c>
      <c r="C36" s="1908">
        <v>2.17</v>
      </c>
      <c r="D36" s="1908">
        <v>2.17</v>
      </c>
      <c r="E36" s="1908">
        <v>2.17</v>
      </c>
      <c r="F36" s="1908">
        <v>2.17</v>
      </c>
      <c r="G36" s="1903">
        <v>2.17</v>
      </c>
      <c r="H36" s="1903">
        <v>2.17</v>
      </c>
      <c r="I36" s="1903">
        <v>2.17</v>
      </c>
      <c r="J36" s="1903">
        <v>1.1599999999999999</v>
      </c>
      <c r="K36" s="1903">
        <v>1.1599999999999999</v>
      </c>
      <c r="L36" s="1903">
        <v>1.1599999999999999</v>
      </c>
      <c r="M36" s="1903">
        <v>1.1599999999999999</v>
      </c>
      <c r="N36" s="1905">
        <v>1.1599999999999999</v>
      </c>
      <c r="O36" s="1906" t="s">
        <v>169</v>
      </c>
      <c r="P36" s="1906" t="s">
        <v>169</v>
      </c>
      <c r="Q36" s="1906" t="s">
        <v>169</v>
      </c>
      <c r="R36" s="1906" t="s">
        <v>169</v>
      </c>
      <c r="S36" s="1891"/>
      <c r="T36" s="1891"/>
    </row>
    <row r="37" spans="1:20">
      <c r="A37" s="1908">
        <v>2.1800000000000002</v>
      </c>
      <c r="B37" s="1908">
        <v>2.1800000000000002</v>
      </c>
      <c r="C37" s="1908">
        <v>2.1800000000000002</v>
      </c>
      <c r="D37" s="1908">
        <v>2.1800000000000002</v>
      </c>
      <c r="E37" s="1908">
        <v>2.1800000000000002</v>
      </c>
      <c r="F37" s="1908">
        <v>2.1800000000000002</v>
      </c>
      <c r="G37" s="1903">
        <v>2.1800000000000002</v>
      </c>
      <c r="H37" s="1903">
        <v>2.1800000000000002</v>
      </c>
      <c r="I37" s="1903">
        <v>2.1800000000000002</v>
      </c>
      <c r="J37" s="1903">
        <v>1.17</v>
      </c>
      <c r="K37" s="1903">
        <v>1.17</v>
      </c>
      <c r="L37" s="1903">
        <v>1.17</v>
      </c>
      <c r="M37" s="1903">
        <v>1.17</v>
      </c>
      <c r="N37" s="1905">
        <v>1.17</v>
      </c>
      <c r="O37" s="1906" t="s">
        <v>170</v>
      </c>
      <c r="P37" s="1906" t="s">
        <v>170</v>
      </c>
      <c r="Q37" s="1906" t="s">
        <v>170</v>
      </c>
      <c r="R37" s="1906" t="s">
        <v>170</v>
      </c>
      <c r="S37" s="1891"/>
      <c r="T37" s="1891"/>
    </row>
    <row r="38" spans="1:20">
      <c r="A38" s="1908">
        <v>2.19</v>
      </c>
      <c r="B38" s="1908">
        <v>2.19</v>
      </c>
      <c r="C38" s="1908">
        <v>2.19</v>
      </c>
      <c r="D38" s="1908">
        <v>2.19</v>
      </c>
      <c r="E38" s="1908">
        <v>2.19</v>
      </c>
      <c r="F38" s="1908">
        <v>2.19</v>
      </c>
      <c r="G38" s="1903">
        <v>2.19</v>
      </c>
      <c r="H38" s="1903">
        <v>2.19</v>
      </c>
      <c r="I38" s="1903">
        <v>2.19</v>
      </c>
      <c r="J38" s="1903">
        <v>1.18</v>
      </c>
      <c r="K38" s="1903">
        <v>1.18</v>
      </c>
      <c r="L38" s="1903">
        <v>1.18</v>
      </c>
      <c r="M38" s="1903">
        <v>1.18</v>
      </c>
      <c r="N38" s="1905">
        <v>1.18</v>
      </c>
      <c r="O38" s="1906" t="s">
        <v>171</v>
      </c>
      <c r="P38" s="1906" t="s">
        <v>171</v>
      </c>
      <c r="Q38" s="1906" t="s">
        <v>171</v>
      </c>
      <c r="R38" s="1906" t="s">
        <v>171</v>
      </c>
      <c r="S38" s="1891"/>
      <c r="T38" s="1891"/>
    </row>
    <row r="39" spans="1:20">
      <c r="A39" s="1907" t="s">
        <v>87</v>
      </c>
      <c r="B39" s="1907" t="s">
        <v>87</v>
      </c>
      <c r="C39" s="1907" t="s">
        <v>87</v>
      </c>
      <c r="D39" s="1907" t="s">
        <v>87</v>
      </c>
      <c r="E39" s="1907" t="s">
        <v>87</v>
      </c>
      <c r="F39" s="1907" t="s">
        <v>87</v>
      </c>
      <c r="G39" s="1903" t="s">
        <v>87</v>
      </c>
      <c r="H39" s="1903" t="s">
        <v>87</v>
      </c>
      <c r="I39" s="1903" t="s">
        <v>87</v>
      </c>
      <c r="J39" s="1903">
        <v>1.21</v>
      </c>
      <c r="K39" s="1903">
        <v>1.21</v>
      </c>
      <c r="L39" s="1903">
        <v>1.21</v>
      </c>
      <c r="M39" s="1903">
        <v>1.21</v>
      </c>
      <c r="N39" s="1905">
        <v>1.21</v>
      </c>
      <c r="O39" s="1909" t="s">
        <v>153</v>
      </c>
      <c r="P39" s="1909" t="s">
        <v>153</v>
      </c>
      <c r="Q39" s="1909" t="s">
        <v>153</v>
      </c>
      <c r="R39" s="1909" t="s">
        <v>153</v>
      </c>
      <c r="S39" s="1891"/>
      <c r="T39" s="1891"/>
    </row>
    <row r="40" spans="1:20">
      <c r="A40" s="1908">
        <v>2.21</v>
      </c>
      <c r="B40" s="1908">
        <v>2.21</v>
      </c>
      <c r="C40" s="1908">
        <v>2.21</v>
      </c>
      <c r="D40" s="1908">
        <v>2.21</v>
      </c>
      <c r="E40" s="1908">
        <v>2.21</v>
      </c>
      <c r="F40" s="1908">
        <v>2.21</v>
      </c>
      <c r="G40" s="1903">
        <v>2.21</v>
      </c>
      <c r="H40" s="1903">
        <v>2.21</v>
      </c>
      <c r="I40" s="1903">
        <v>2.21</v>
      </c>
      <c r="J40" s="1903">
        <v>1.22</v>
      </c>
      <c r="K40" s="1903">
        <v>1.22</v>
      </c>
      <c r="L40" s="1903">
        <v>1.22</v>
      </c>
      <c r="M40" s="1903">
        <v>1.22</v>
      </c>
      <c r="N40" s="1905">
        <v>1.22</v>
      </c>
      <c r="O40" s="1909" t="s">
        <v>153</v>
      </c>
      <c r="P40" s="1909" t="s">
        <v>153</v>
      </c>
      <c r="Q40" s="1909" t="s">
        <v>153</v>
      </c>
      <c r="R40" s="1909" t="s">
        <v>153</v>
      </c>
      <c r="S40" s="1891"/>
      <c r="T40" s="1891"/>
    </row>
    <row r="41" spans="1:20">
      <c r="A41" s="1908">
        <v>2.2200000000000002</v>
      </c>
      <c r="B41" s="1908">
        <v>2.2200000000000002</v>
      </c>
      <c r="C41" s="1908">
        <v>2.2200000000000002</v>
      </c>
      <c r="D41" s="1908">
        <v>2.2200000000000002</v>
      </c>
      <c r="E41" s="1908">
        <v>2.2200000000000002</v>
      </c>
      <c r="F41" s="1908">
        <v>2.2200000000000002</v>
      </c>
      <c r="G41" s="1903">
        <v>2.2200000000000002</v>
      </c>
      <c r="H41" s="1903">
        <v>2.2200000000000002</v>
      </c>
      <c r="I41" s="1903">
        <v>2.2200000000000002</v>
      </c>
      <c r="J41" s="1903">
        <v>1.39</v>
      </c>
      <c r="K41" s="1903">
        <v>1.39</v>
      </c>
      <c r="L41" s="1903">
        <v>1.39</v>
      </c>
      <c r="M41" s="1903">
        <v>1.39</v>
      </c>
      <c r="N41" s="1905" t="s">
        <v>153</v>
      </c>
      <c r="O41" s="1906" t="s">
        <v>172</v>
      </c>
      <c r="P41" s="1906" t="s">
        <v>172</v>
      </c>
      <c r="Q41" s="1906" t="s">
        <v>172</v>
      </c>
      <c r="R41" s="1906" t="s">
        <v>172</v>
      </c>
      <c r="S41" s="1891"/>
      <c r="T41" s="1891"/>
    </row>
    <row r="42" spans="1:20">
      <c r="A42" s="1908">
        <v>2.23</v>
      </c>
      <c r="B42" s="1908">
        <v>2.23</v>
      </c>
      <c r="C42" s="1908">
        <v>2.23</v>
      </c>
      <c r="D42" s="1908">
        <v>2.23</v>
      </c>
      <c r="E42" s="1908">
        <v>2.23</v>
      </c>
      <c r="F42" s="1908" t="s">
        <v>153</v>
      </c>
      <c r="G42" s="1908" t="s">
        <v>153</v>
      </c>
      <c r="H42" s="1908" t="s">
        <v>153</v>
      </c>
      <c r="I42" s="1908" t="s">
        <v>153</v>
      </c>
      <c r="J42" s="1908" t="s">
        <v>153</v>
      </c>
      <c r="K42" s="1908" t="s">
        <v>153</v>
      </c>
      <c r="L42" s="1908" t="s">
        <v>153</v>
      </c>
      <c r="M42" s="1908" t="s">
        <v>153</v>
      </c>
      <c r="N42" s="1908" t="s">
        <v>153</v>
      </c>
      <c r="O42" s="1908" t="s">
        <v>153</v>
      </c>
      <c r="P42" s="1908" t="s">
        <v>153</v>
      </c>
      <c r="Q42" s="1908" t="s">
        <v>153</v>
      </c>
      <c r="R42" s="1908" t="s">
        <v>153</v>
      </c>
      <c r="S42" s="1891"/>
      <c r="T42" s="1891"/>
    </row>
    <row r="43" spans="1:20">
      <c r="A43" s="1908">
        <v>2.2400000000000002</v>
      </c>
      <c r="B43" s="1908">
        <v>2.2400000000000002</v>
      </c>
      <c r="C43" s="1908">
        <v>2.2400000000000002</v>
      </c>
      <c r="D43" s="1908">
        <v>2.2400000000000002</v>
      </c>
      <c r="E43" s="1908">
        <v>2.2400000000000002</v>
      </c>
      <c r="F43" s="1908" t="s">
        <v>153</v>
      </c>
      <c r="G43" s="1908" t="s">
        <v>153</v>
      </c>
      <c r="H43" s="1908" t="s">
        <v>153</v>
      </c>
      <c r="I43" s="1908" t="s">
        <v>153</v>
      </c>
      <c r="J43" s="1908" t="s">
        <v>153</v>
      </c>
      <c r="K43" s="1908" t="s">
        <v>153</v>
      </c>
      <c r="L43" s="1908" t="s">
        <v>153</v>
      </c>
      <c r="M43" s="1908" t="s">
        <v>153</v>
      </c>
      <c r="N43" s="1908" t="s">
        <v>153</v>
      </c>
      <c r="O43" s="1908" t="s">
        <v>153</v>
      </c>
      <c r="P43" s="1908" t="s">
        <v>153</v>
      </c>
      <c r="Q43" s="1908" t="s">
        <v>153</v>
      </c>
      <c r="R43" s="1908" t="s">
        <v>153</v>
      </c>
      <c r="S43" s="1891"/>
      <c r="T43" s="1891"/>
    </row>
    <row r="44" spans="1:20">
      <c r="A44" s="1908">
        <v>2.25</v>
      </c>
      <c r="B44" s="1908">
        <v>2.25</v>
      </c>
      <c r="C44" s="1908">
        <v>2.25</v>
      </c>
      <c r="D44" s="1908">
        <v>2.25</v>
      </c>
      <c r="E44" s="1908" t="s">
        <v>153</v>
      </c>
      <c r="F44" s="1908" t="s">
        <v>153</v>
      </c>
      <c r="G44" s="1908" t="s">
        <v>153</v>
      </c>
      <c r="H44" s="1908" t="s">
        <v>153</v>
      </c>
      <c r="I44" s="1908" t="s">
        <v>153</v>
      </c>
      <c r="J44" s="1908" t="s">
        <v>153</v>
      </c>
      <c r="K44" s="1908" t="s">
        <v>153</v>
      </c>
      <c r="L44" s="1908" t="s">
        <v>153</v>
      </c>
      <c r="M44" s="1908" t="s">
        <v>153</v>
      </c>
      <c r="N44" s="1908" t="s">
        <v>153</v>
      </c>
      <c r="O44" s="1908" t="s">
        <v>153</v>
      </c>
      <c r="P44" s="1908" t="s">
        <v>153</v>
      </c>
      <c r="Q44" s="1908" t="s">
        <v>153</v>
      </c>
      <c r="R44" s="1908" t="s">
        <v>153</v>
      </c>
      <c r="S44" s="1891"/>
      <c r="T44" s="1891"/>
    </row>
    <row r="45" spans="1:20">
      <c r="A45" s="1908">
        <v>2.2599999999999998</v>
      </c>
      <c r="B45" s="1908">
        <v>2.2599999999999998</v>
      </c>
      <c r="C45" s="1908">
        <v>2.2599999999999998</v>
      </c>
      <c r="D45" s="1908">
        <v>2.2599999999999998</v>
      </c>
      <c r="E45" s="1908" t="s">
        <v>153</v>
      </c>
      <c r="F45" s="1908" t="s">
        <v>153</v>
      </c>
      <c r="G45" s="1908" t="s">
        <v>153</v>
      </c>
      <c r="H45" s="1908" t="s">
        <v>153</v>
      </c>
      <c r="I45" s="1908" t="s">
        <v>153</v>
      </c>
      <c r="J45" s="1908" t="s">
        <v>153</v>
      </c>
      <c r="K45" s="1908" t="s">
        <v>153</v>
      </c>
      <c r="L45" s="1908" t="s">
        <v>153</v>
      </c>
      <c r="M45" s="1908" t="s">
        <v>153</v>
      </c>
      <c r="N45" s="1908" t="s">
        <v>153</v>
      </c>
      <c r="O45" s="1908" t="s">
        <v>153</v>
      </c>
      <c r="P45" s="1908" t="s">
        <v>153</v>
      </c>
      <c r="Q45" s="1908" t="s">
        <v>153</v>
      </c>
      <c r="R45" s="1908" t="s">
        <v>153</v>
      </c>
      <c r="S45" s="1891"/>
      <c r="T45" s="1891"/>
    </row>
    <row r="46" spans="1:20">
      <c r="A46" s="1907">
        <v>3.01</v>
      </c>
      <c r="B46" s="1907">
        <v>3.01</v>
      </c>
      <c r="C46" s="1907">
        <v>3.01</v>
      </c>
      <c r="D46" s="1907" t="s">
        <v>173</v>
      </c>
      <c r="E46" s="1907" t="s">
        <v>173</v>
      </c>
      <c r="F46" s="1907" t="s">
        <v>173</v>
      </c>
      <c r="G46" s="1903" t="s">
        <v>173</v>
      </c>
      <c r="H46" s="1903" t="s">
        <v>173</v>
      </c>
      <c r="I46" s="1903" t="s">
        <v>173</v>
      </c>
      <c r="J46" s="1903">
        <v>1.1100000000000001</v>
      </c>
      <c r="K46" s="1903">
        <v>1.1100000000000001</v>
      </c>
      <c r="L46" s="1903">
        <v>1.1100000000000001</v>
      </c>
      <c r="M46" s="1903">
        <v>1.1100000000000001</v>
      </c>
      <c r="N46" s="1905">
        <v>1.1100000000000001</v>
      </c>
      <c r="O46" s="1906" t="s">
        <v>174</v>
      </c>
      <c r="P46" s="1906" t="s">
        <v>174</v>
      </c>
      <c r="Q46" s="1906" t="s">
        <v>174</v>
      </c>
      <c r="R46" s="1906" t="s">
        <v>174</v>
      </c>
      <c r="S46" s="1891"/>
      <c r="T46" s="1891"/>
    </row>
    <row r="47" spans="1:20">
      <c r="A47" s="1908">
        <v>3.02</v>
      </c>
      <c r="B47" s="1908">
        <v>3.02</v>
      </c>
      <c r="C47" s="1908">
        <v>3.02</v>
      </c>
      <c r="D47" s="1908">
        <v>3.09</v>
      </c>
      <c r="E47" s="1908">
        <v>3.09</v>
      </c>
      <c r="F47" s="1908">
        <v>3.09</v>
      </c>
      <c r="G47" s="1903">
        <v>3.09</v>
      </c>
      <c r="H47" s="1903">
        <v>3.09</v>
      </c>
      <c r="I47" s="1903">
        <v>3.09</v>
      </c>
      <c r="J47" s="1903">
        <v>1.0900000000000001</v>
      </c>
      <c r="K47" s="1903">
        <v>1.0900000000000001</v>
      </c>
      <c r="L47" s="1903">
        <v>1.0900000000000001</v>
      </c>
      <c r="M47" s="1903">
        <v>1.0900000000000001</v>
      </c>
      <c r="N47" s="1905">
        <v>1.0900000000000001</v>
      </c>
      <c r="O47" s="1906" t="s">
        <v>175</v>
      </c>
      <c r="P47" s="1906" t="s">
        <v>175</v>
      </c>
      <c r="Q47" s="1906" t="s">
        <v>175</v>
      </c>
      <c r="R47" s="1906" t="s">
        <v>175</v>
      </c>
      <c r="S47" s="1891"/>
      <c r="T47" s="1891"/>
    </row>
    <row r="48" spans="1:20">
      <c r="A48" s="1908">
        <v>3.03</v>
      </c>
      <c r="B48" s="1908">
        <v>3.03</v>
      </c>
      <c r="C48" s="1908">
        <v>3.03</v>
      </c>
      <c r="D48" s="1908">
        <v>3.11</v>
      </c>
      <c r="E48" s="1908">
        <v>3.11</v>
      </c>
      <c r="F48" s="1908" t="s">
        <v>153</v>
      </c>
      <c r="G48" s="1908" t="s">
        <v>153</v>
      </c>
      <c r="H48" s="1908" t="s">
        <v>153</v>
      </c>
      <c r="I48" s="1908" t="s">
        <v>153</v>
      </c>
      <c r="J48" s="1908" t="s">
        <v>153</v>
      </c>
      <c r="K48" s="1908" t="s">
        <v>153</v>
      </c>
      <c r="L48" s="1908" t="s">
        <v>153</v>
      </c>
      <c r="M48" s="1908" t="s">
        <v>153</v>
      </c>
      <c r="N48" s="1908" t="s">
        <v>153</v>
      </c>
      <c r="O48" s="1908" t="s">
        <v>153</v>
      </c>
      <c r="P48" s="1908" t="s">
        <v>153</v>
      </c>
      <c r="Q48" s="1908" t="s">
        <v>153</v>
      </c>
      <c r="R48" s="1908" t="s">
        <v>153</v>
      </c>
      <c r="S48" s="1891"/>
      <c r="T48" s="1891"/>
    </row>
    <row r="49" spans="1:20">
      <c r="A49" s="1906">
        <v>3.04</v>
      </c>
      <c r="B49" s="1906">
        <v>3.04</v>
      </c>
      <c r="C49" s="1906">
        <v>3.04</v>
      </c>
      <c r="D49" s="1906">
        <v>3.13</v>
      </c>
      <c r="E49" s="1906">
        <v>3.13</v>
      </c>
      <c r="F49" s="1906">
        <v>3.13</v>
      </c>
      <c r="G49" s="1903" t="s">
        <v>153</v>
      </c>
      <c r="H49" s="1903" t="s">
        <v>153</v>
      </c>
      <c r="I49" s="1903" t="s">
        <v>153</v>
      </c>
      <c r="J49" s="1903" t="s">
        <v>153</v>
      </c>
      <c r="K49" s="1903" t="s">
        <v>153</v>
      </c>
      <c r="L49" s="1903" t="s">
        <v>153</v>
      </c>
      <c r="M49" s="1903" t="s">
        <v>153</v>
      </c>
      <c r="N49" s="1903" t="s">
        <v>153</v>
      </c>
      <c r="O49" s="1903" t="s">
        <v>153</v>
      </c>
      <c r="P49" s="1903" t="s">
        <v>153</v>
      </c>
      <c r="Q49" s="1903" t="s">
        <v>153</v>
      </c>
      <c r="R49" s="1903" t="s">
        <v>153</v>
      </c>
      <c r="S49" s="1891"/>
      <c r="T49" s="1891"/>
    </row>
    <row r="50" spans="1:20">
      <c r="A50" s="1908">
        <v>3.05</v>
      </c>
      <c r="B50" s="1908">
        <v>3.05</v>
      </c>
      <c r="C50" s="1908">
        <v>3.05</v>
      </c>
      <c r="D50" s="1908">
        <v>3.12</v>
      </c>
      <c r="E50" s="1908">
        <v>3.12</v>
      </c>
      <c r="F50" s="1908">
        <v>3.12</v>
      </c>
      <c r="G50" s="1903">
        <v>3.12</v>
      </c>
      <c r="H50" s="1903">
        <v>3.12</v>
      </c>
      <c r="I50" s="1903">
        <v>3.12</v>
      </c>
      <c r="J50" s="1903">
        <v>1.1000000000000001</v>
      </c>
      <c r="K50" s="1903">
        <v>1.1000000000000001</v>
      </c>
      <c r="L50" s="1903">
        <v>1.1000000000000001</v>
      </c>
      <c r="M50" s="1903">
        <v>1.1000000000000001</v>
      </c>
      <c r="N50" s="1905">
        <v>1.1000000000000001</v>
      </c>
      <c r="O50" s="1906" t="s">
        <v>176</v>
      </c>
      <c r="P50" s="1906" t="s">
        <v>176</v>
      </c>
      <c r="Q50" s="1906" t="s">
        <v>176</v>
      </c>
      <c r="R50" s="1906" t="s">
        <v>176</v>
      </c>
      <c r="S50" s="1891"/>
      <c r="T50" s="1891"/>
    </row>
    <row r="51" spans="1:20">
      <c r="A51" s="1908">
        <v>3.06</v>
      </c>
      <c r="B51" s="1908">
        <v>3.06</v>
      </c>
      <c r="C51" s="1908">
        <v>3.06</v>
      </c>
      <c r="D51" s="1908">
        <v>3.14</v>
      </c>
      <c r="E51" s="1908">
        <v>3.14</v>
      </c>
      <c r="F51" s="1908" t="s">
        <v>153</v>
      </c>
      <c r="G51" s="1908" t="s">
        <v>153</v>
      </c>
      <c r="H51" s="1908" t="s">
        <v>153</v>
      </c>
      <c r="I51" s="1908" t="s">
        <v>153</v>
      </c>
      <c r="J51" s="1908" t="s">
        <v>153</v>
      </c>
      <c r="K51" s="1908" t="s">
        <v>153</v>
      </c>
      <c r="L51" s="1908" t="s">
        <v>153</v>
      </c>
      <c r="M51" s="1908" t="s">
        <v>153</v>
      </c>
      <c r="N51" s="1908" t="s">
        <v>153</v>
      </c>
      <c r="O51" s="1908" t="s">
        <v>153</v>
      </c>
      <c r="P51" s="1908" t="s">
        <v>153</v>
      </c>
      <c r="Q51" s="1908" t="s">
        <v>153</v>
      </c>
      <c r="R51" s="1908" t="s">
        <v>153</v>
      </c>
      <c r="S51" s="1891"/>
      <c r="T51" s="1891"/>
    </row>
    <row r="52" spans="1:20">
      <c r="A52" s="1908">
        <v>3.07</v>
      </c>
      <c r="B52" s="1908">
        <v>3.07</v>
      </c>
      <c r="C52" s="1908">
        <v>3.07</v>
      </c>
      <c r="D52" s="1908">
        <v>3.15</v>
      </c>
      <c r="E52" s="1908">
        <v>3.15</v>
      </c>
      <c r="F52" s="1908" t="s">
        <v>153</v>
      </c>
      <c r="G52" s="1908" t="s">
        <v>153</v>
      </c>
      <c r="H52" s="1908" t="s">
        <v>153</v>
      </c>
      <c r="I52" s="1908" t="s">
        <v>153</v>
      </c>
      <c r="J52" s="1908" t="s">
        <v>153</v>
      </c>
      <c r="K52" s="1908" t="s">
        <v>153</v>
      </c>
      <c r="L52" s="1908" t="s">
        <v>153</v>
      </c>
      <c r="M52" s="1908" t="s">
        <v>153</v>
      </c>
      <c r="N52" s="1908" t="s">
        <v>153</v>
      </c>
      <c r="O52" s="1908" t="s">
        <v>153</v>
      </c>
      <c r="P52" s="1908" t="s">
        <v>153</v>
      </c>
      <c r="Q52" s="1908" t="s">
        <v>153</v>
      </c>
      <c r="R52" s="1908" t="s">
        <v>153</v>
      </c>
      <c r="S52" s="1891"/>
      <c r="T52" s="1891"/>
    </row>
    <row r="53" spans="1:20">
      <c r="A53" s="1908">
        <v>3.08</v>
      </c>
      <c r="B53" s="1908">
        <v>3.08</v>
      </c>
      <c r="C53" s="1908">
        <v>3.08</v>
      </c>
      <c r="D53" s="1908">
        <v>3.08</v>
      </c>
      <c r="E53" s="1908">
        <v>3.08</v>
      </c>
      <c r="F53" s="1908">
        <v>3.08</v>
      </c>
      <c r="G53" s="1907">
        <v>3.08</v>
      </c>
      <c r="H53" s="1907">
        <v>3.08</v>
      </c>
      <c r="I53" s="1907">
        <v>3.08</v>
      </c>
      <c r="J53" s="1907" t="s">
        <v>173</v>
      </c>
      <c r="K53" s="1908" t="s">
        <v>153</v>
      </c>
      <c r="L53" s="1908" t="s">
        <v>153</v>
      </c>
      <c r="M53" s="1908" t="s">
        <v>153</v>
      </c>
      <c r="N53" s="1908" t="s">
        <v>153</v>
      </c>
      <c r="O53" s="1908" t="s">
        <v>153</v>
      </c>
      <c r="P53" s="1908" t="s">
        <v>153</v>
      </c>
      <c r="Q53" s="1908" t="s">
        <v>153</v>
      </c>
      <c r="R53" s="1908" t="s">
        <v>153</v>
      </c>
      <c r="S53" s="1891"/>
      <c r="T53" s="1891"/>
    </row>
    <row r="54" spans="1:20">
      <c r="A54" s="1908">
        <v>4.01</v>
      </c>
      <c r="B54" s="1908">
        <v>4.01</v>
      </c>
      <c r="C54" s="1908">
        <v>4.01</v>
      </c>
      <c r="D54" s="1908">
        <v>4.01</v>
      </c>
      <c r="E54" s="1908">
        <v>4.01</v>
      </c>
      <c r="F54" s="1908">
        <v>4.01</v>
      </c>
      <c r="G54" s="1908">
        <v>4.01</v>
      </c>
      <c r="H54" s="1908">
        <v>4.01</v>
      </c>
      <c r="I54" s="1908">
        <v>4.01</v>
      </c>
      <c r="J54" s="1908">
        <v>4.01</v>
      </c>
      <c r="K54" s="1908">
        <v>4.01</v>
      </c>
      <c r="L54" s="1908">
        <v>4.01</v>
      </c>
      <c r="M54" s="1908">
        <v>4.01</v>
      </c>
      <c r="N54" s="1906">
        <v>4.01</v>
      </c>
      <c r="O54" s="1906" t="s">
        <v>177</v>
      </c>
      <c r="P54" s="1906" t="s">
        <v>177</v>
      </c>
      <c r="Q54" s="1906" t="s">
        <v>153</v>
      </c>
      <c r="R54" s="1906" t="s">
        <v>153</v>
      </c>
      <c r="S54" s="1891"/>
      <c r="T54" s="1891"/>
    </row>
    <row r="55" spans="1:20">
      <c r="A55" s="1908">
        <v>4.0199999999999996</v>
      </c>
      <c r="B55" s="1908">
        <v>4.0199999999999996</v>
      </c>
      <c r="C55" s="1908">
        <v>4.0199999999999996</v>
      </c>
      <c r="D55" s="1908">
        <v>4.0199999999999996</v>
      </c>
      <c r="E55" s="1908">
        <v>4.0199999999999996</v>
      </c>
      <c r="F55" s="1908">
        <v>4.0199999999999996</v>
      </c>
      <c r="G55" s="1914">
        <v>4.0199999999999996</v>
      </c>
      <c r="H55" s="1914">
        <v>4.0199999999999996</v>
      </c>
      <c r="I55" s="1914">
        <v>4.0199999999999996</v>
      </c>
      <c r="J55" s="1908">
        <v>4.0199999999999996</v>
      </c>
      <c r="K55" s="1908">
        <v>4.0199999999999996</v>
      </c>
      <c r="L55" s="1908">
        <v>4.0199999999999996</v>
      </c>
      <c r="M55" s="1908">
        <v>4.0199999999999996</v>
      </c>
      <c r="N55" s="1906">
        <v>4.0199999999999996</v>
      </c>
      <c r="O55" s="1906" t="s">
        <v>178</v>
      </c>
      <c r="P55" s="1906" t="s">
        <v>178</v>
      </c>
      <c r="Q55" s="1906" t="s">
        <v>179</v>
      </c>
      <c r="R55" s="1906" t="s">
        <v>179</v>
      </c>
      <c r="S55" s="1891"/>
      <c r="T55" s="1891"/>
    </row>
    <row r="56" spans="1:20">
      <c r="A56" s="1908">
        <v>4.03</v>
      </c>
      <c r="B56" s="1908">
        <v>4.03</v>
      </c>
      <c r="C56" s="1908">
        <v>4.03</v>
      </c>
      <c r="D56" s="1908">
        <v>4.03</v>
      </c>
      <c r="E56" s="1908">
        <v>4.03</v>
      </c>
      <c r="F56" s="1908">
        <v>4.03</v>
      </c>
      <c r="G56" s="1908">
        <v>4.03</v>
      </c>
      <c r="H56" s="1908">
        <v>4.03</v>
      </c>
      <c r="I56" s="1908">
        <v>4.03</v>
      </c>
      <c r="J56" s="1908">
        <v>4.03</v>
      </c>
      <c r="K56" s="1908">
        <v>4.03</v>
      </c>
      <c r="L56" s="1908">
        <v>4.03</v>
      </c>
      <c r="M56" s="1908">
        <v>4.03</v>
      </c>
      <c r="N56" s="1906">
        <v>4.03</v>
      </c>
      <c r="O56" s="1909" t="s">
        <v>153</v>
      </c>
      <c r="P56" s="1909" t="s">
        <v>153</v>
      </c>
      <c r="Q56" s="1909" t="s">
        <v>153</v>
      </c>
      <c r="R56" s="1909" t="s">
        <v>153</v>
      </c>
      <c r="S56" s="1891"/>
      <c r="T56" s="1891"/>
    </row>
    <row r="57" spans="1:20">
      <c r="A57" s="1908">
        <v>4.04</v>
      </c>
      <c r="B57" s="1908">
        <v>4.04</v>
      </c>
      <c r="C57" s="1908">
        <v>4.04</v>
      </c>
      <c r="D57" s="1908">
        <v>4.04</v>
      </c>
      <c r="E57" s="1908">
        <v>4.04</v>
      </c>
      <c r="F57" s="1908">
        <v>4.04</v>
      </c>
      <c r="G57" s="1908">
        <v>4.04</v>
      </c>
      <c r="H57" s="1908">
        <v>4.04</v>
      </c>
      <c r="I57" s="1908">
        <v>4.04</v>
      </c>
      <c r="J57" s="1908">
        <v>4.04</v>
      </c>
      <c r="K57" s="1908">
        <v>4.04</v>
      </c>
      <c r="L57" s="1908">
        <v>4.04</v>
      </c>
      <c r="M57" s="1908">
        <v>4.04</v>
      </c>
      <c r="N57" s="1906">
        <v>4.04</v>
      </c>
      <c r="O57" s="1906" t="s">
        <v>180</v>
      </c>
      <c r="P57" s="1906" t="s">
        <v>180</v>
      </c>
      <c r="Q57" s="1906" t="s">
        <v>181</v>
      </c>
      <c r="R57" s="1906" t="s">
        <v>181</v>
      </c>
      <c r="S57" s="1891"/>
      <c r="T57" s="1891"/>
    </row>
    <row r="58" spans="1:20">
      <c r="A58" s="1912">
        <v>4.05</v>
      </c>
      <c r="B58" s="1912">
        <v>4.05</v>
      </c>
      <c r="C58" s="1912">
        <v>4.05</v>
      </c>
      <c r="D58" s="1912">
        <v>4.05</v>
      </c>
      <c r="E58" s="1912">
        <v>4.05</v>
      </c>
      <c r="F58" s="1912">
        <v>4.05</v>
      </c>
      <c r="G58" s="1908">
        <v>4.05</v>
      </c>
      <c r="H58" s="1908">
        <v>4.05</v>
      </c>
      <c r="I58" s="1908">
        <v>4.05</v>
      </c>
      <c r="J58" s="1908">
        <v>4.05</v>
      </c>
      <c r="K58" s="1908">
        <v>4.05</v>
      </c>
      <c r="L58" s="1908">
        <v>4.05</v>
      </c>
      <c r="M58" s="1908">
        <v>4.05</v>
      </c>
      <c r="N58" s="1906">
        <v>4.05</v>
      </c>
      <c r="O58" s="1906" t="s">
        <v>182</v>
      </c>
      <c r="P58" s="1906" t="s">
        <v>182</v>
      </c>
      <c r="Q58" s="1906" t="s">
        <v>180</v>
      </c>
      <c r="R58" s="1906" t="s">
        <v>180</v>
      </c>
      <c r="S58" s="1891"/>
      <c r="T58" s="1891"/>
    </row>
    <row r="59" spans="1:20">
      <c r="A59" s="1912">
        <v>4.0599999999999996</v>
      </c>
      <c r="B59" s="1912">
        <v>4.0599999999999996</v>
      </c>
      <c r="C59" s="1912">
        <v>4.0599999999999996</v>
      </c>
      <c r="D59" s="1912">
        <v>4.0599999999999996</v>
      </c>
      <c r="E59" s="1912">
        <v>4.0599999999999996</v>
      </c>
      <c r="F59" s="1912" t="s">
        <v>153</v>
      </c>
      <c r="G59" s="1912" t="s">
        <v>153</v>
      </c>
      <c r="H59" s="1912" t="s">
        <v>153</v>
      </c>
      <c r="I59" s="1912" t="s">
        <v>153</v>
      </c>
      <c r="J59" s="1908" t="s">
        <v>153</v>
      </c>
      <c r="K59" s="1908" t="s">
        <v>153</v>
      </c>
      <c r="L59" s="1908" t="s">
        <v>153</v>
      </c>
      <c r="M59" s="1908" t="s">
        <v>153</v>
      </c>
      <c r="N59" s="1908" t="s">
        <v>153</v>
      </c>
      <c r="O59" s="1908" t="s">
        <v>153</v>
      </c>
      <c r="P59" s="1908" t="s">
        <v>153</v>
      </c>
      <c r="Q59" s="1908" t="s">
        <v>153</v>
      </c>
      <c r="R59" s="1908" t="s">
        <v>153</v>
      </c>
      <c r="S59" s="1891"/>
      <c r="T59" s="1891"/>
    </row>
    <row r="60" spans="1:20">
      <c r="A60" s="1912">
        <v>4.07</v>
      </c>
      <c r="B60" s="1912">
        <v>4.07</v>
      </c>
      <c r="C60" s="1912">
        <v>4.07</v>
      </c>
      <c r="D60" s="1912">
        <v>4.07</v>
      </c>
      <c r="E60" s="1912">
        <v>4.07</v>
      </c>
      <c r="F60" s="1912">
        <v>4.08</v>
      </c>
      <c r="G60" s="1907">
        <v>4.08</v>
      </c>
      <c r="H60" s="1907">
        <v>4.08</v>
      </c>
      <c r="I60" s="1907">
        <v>4.08</v>
      </c>
      <c r="J60" s="1908">
        <v>4.08</v>
      </c>
      <c r="K60" s="1908">
        <v>4.08</v>
      </c>
      <c r="L60" s="1908">
        <v>4.08</v>
      </c>
      <c r="M60" s="1908">
        <v>4.08</v>
      </c>
      <c r="N60" s="1906">
        <v>4.08</v>
      </c>
      <c r="O60" s="1906" t="s">
        <v>183</v>
      </c>
      <c r="P60" s="1906" t="s">
        <v>183</v>
      </c>
      <c r="Q60" s="1906" t="s">
        <v>184</v>
      </c>
      <c r="R60" s="1906" t="s">
        <v>184</v>
      </c>
      <c r="S60" s="1891"/>
      <c r="T60" s="1891"/>
    </row>
    <row r="61" spans="1:20">
      <c r="A61" s="1911">
        <v>4.08</v>
      </c>
      <c r="B61" s="1911">
        <v>4.08</v>
      </c>
      <c r="C61" s="1911">
        <v>4.08</v>
      </c>
      <c r="D61" s="1911">
        <v>4.08</v>
      </c>
      <c r="E61" s="1911">
        <v>4.08</v>
      </c>
      <c r="F61" s="1911" t="s">
        <v>185</v>
      </c>
      <c r="G61" s="1907" t="s">
        <v>186</v>
      </c>
      <c r="H61" s="1907" t="s">
        <v>186</v>
      </c>
      <c r="I61" s="1907" t="s">
        <v>186</v>
      </c>
      <c r="J61" s="1903">
        <v>4.0999999999999996</v>
      </c>
      <c r="K61" s="1903">
        <v>4.0999999999999996</v>
      </c>
      <c r="L61" s="1903">
        <v>4.0999999999999996</v>
      </c>
      <c r="M61" s="1903">
        <v>4.0999999999999996</v>
      </c>
      <c r="N61" s="1905">
        <v>4.0999999999999996</v>
      </c>
      <c r="O61" s="1906" t="s">
        <v>179</v>
      </c>
      <c r="P61" s="1906" t="s">
        <v>179</v>
      </c>
      <c r="Q61" s="1906" t="s">
        <v>187</v>
      </c>
      <c r="R61" s="1906" t="s">
        <v>187</v>
      </c>
      <c r="S61" s="1891"/>
      <c r="T61" s="1891"/>
    </row>
    <row r="62" spans="1:20">
      <c r="A62" s="1911">
        <v>4.09</v>
      </c>
      <c r="B62" s="1911">
        <v>4.09</v>
      </c>
      <c r="C62" s="1911">
        <v>4.09</v>
      </c>
      <c r="D62" s="1911">
        <v>4.09</v>
      </c>
      <c r="E62" s="1911">
        <v>4.09</v>
      </c>
      <c r="F62" s="1911" t="s">
        <v>186</v>
      </c>
      <c r="G62" s="1908" t="s">
        <v>153</v>
      </c>
      <c r="H62" s="1908" t="s">
        <v>153</v>
      </c>
      <c r="I62" s="1908" t="s">
        <v>153</v>
      </c>
      <c r="J62" s="1908" t="s">
        <v>153</v>
      </c>
      <c r="K62" s="1908" t="s">
        <v>153</v>
      </c>
      <c r="L62" s="1908" t="s">
        <v>153</v>
      </c>
      <c r="M62" s="1908" t="s">
        <v>153</v>
      </c>
      <c r="N62" s="1908" t="s">
        <v>153</v>
      </c>
      <c r="O62" s="1908" t="s">
        <v>153</v>
      </c>
      <c r="P62" s="1908" t="s">
        <v>153</v>
      </c>
      <c r="Q62" s="1908" t="s">
        <v>153</v>
      </c>
      <c r="R62" s="1908" t="s">
        <v>153</v>
      </c>
      <c r="S62" s="1891"/>
      <c r="T62" s="1891"/>
    </row>
    <row r="63" spans="1:20">
      <c r="A63" s="1911" t="s">
        <v>186</v>
      </c>
      <c r="B63" s="1907" t="s">
        <v>186</v>
      </c>
      <c r="C63" s="1907" t="s">
        <v>186</v>
      </c>
      <c r="D63" s="1907" t="s">
        <v>153</v>
      </c>
      <c r="E63" s="1907" t="s">
        <v>153</v>
      </c>
      <c r="F63" s="1907" t="s">
        <v>153</v>
      </c>
      <c r="G63" s="1907" t="s">
        <v>153</v>
      </c>
      <c r="H63" s="1907" t="s">
        <v>153</v>
      </c>
      <c r="I63" s="1907" t="s">
        <v>153</v>
      </c>
      <c r="J63" s="1907" t="s">
        <v>153</v>
      </c>
      <c r="K63" s="1907" t="s">
        <v>153</v>
      </c>
      <c r="L63" s="1907" t="s">
        <v>153</v>
      </c>
      <c r="M63" s="1907" t="s">
        <v>153</v>
      </c>
      <c r="N63" s="1907" t="s">
        <v>153</v>
      </c>
      <c r="O63" s="1907" t="s">
        <v>153</v>
      </c>
      <c r="P63" s="1907" t="s">
        <v>153</v>
      </c>
      <c r="Q63" s="1907" t="s">
        <v>153</v>
      </c>
      <c r="R63" s="1907" t="s">
        <v>153</v>
      </c>
      <c r="S63" s="1891"/>
      <c r="T63" s="1891"/>
    </row>
    <row r="64" spans="1:20">
      <c r="A64" s="1907">
        <v>4.1100000000000003</v>
      </c>
      <c r="B64" s="1907">
        <v>4.1100000000000003</v>
      </c>
      <c r="C64" s="1907">
        <v>4.1100000000000003</v>
      </c>
      <c r="D64" s="1907" t="s">
        <v>153</v>
      </c>
      <c r="E64" s="1907" t="s">
        <v>153</v>
      </c>
      <c r="F64" s="1907" t="s">
        <v>153</v>
      </c>
      <c r="G64" s="1907" t="s">
        <v>153</v>
      </c>
      <c r="H64" s="1907" t="s">
        <v>153</v>
      </c>
      <c r="I64" s="1907" t="s">
        <v>153</v>
      </c>
      <c r="J64" s="1907" t="s">
        <v>153</v>
      </c>
      <c r="K64" s="1907" t="s">
        <v>153</v>
      </c>
      <c r="L64" s="1907" t="s">
        <v>153</v>
      </c>
      <c r="M64" s="1907" t="s">
        <v>153</v>
      </c>
      <c r="N64" s="1907" t="s">
        <v>153</v>
      </c>
      <c r="O64" s="1907" t="s">
        <v>153</v>
      </c>
      <c r="P64" s="1907" t="s">
        <v>153</v>
      </c>
      <c r="Q64" s="1907" t="s">
        <v>153</v>
      </c>
      <c r="R64" s="1907" t="s">
        <v>153</v>
      </c>
      <c r="S64" s="1891"/>
      <c r="T64" s="1891"/>
    </row>
    <row r="65" spans="1:20">
      <c r="A65" s="1908">
        <v>5.01</v>
      </c>
      <c r="B65" s="1908">
        <v>5.01</v>
      </c>
      <c r="C65" s="1908">
        <v>5.01</v>
      </c>
      <c r="D65" s="1908">
        <v>5.01</v>
      </c>
      <c r="E65" s="1908">
        <v>5.01</v>
      </c>
      <c r="F65" s="1908">
        <v>5.01</v>
      </c>
      <c r="G65" s="1908">
        <v>5.01</v>
      </c>
      <c r="H65" s="1908">
        <v>5.01</v>
      </c>
      <c r="I65" s="1908">
        <v>5.01</v>
      </c>
      <c r="J65" s="1908">
        <v>5.01</v>
      </c>
      <c r="K65" s="1908">
        <v>5.01</v>
      </c>
      <c r="L65" s="1908">
        <v>5.01</v>
      </c>
      <c r="M65" s="1908">
        <v>5.0199999999999996</v>
      </c>
      <c r="N65" s="1906" t="s">
        <v>188</v>
      </c>
      <c r="O65" s="1909" t="s">
        <v>153</v>
      </c>
      <c r="P65" s="1909" t="s">
        <v>153</v>
      </c>
      <c r="Q65" s="1909" t="s">
        <v>153</v>
      </c>
      <c r="R65" s="1909" t="s">
        <v>153</v>
      </c>
      <c r="S65" s="1891"/>
      <c r="T65" s="1891"/>
    </row>
    <row r="66" spans="1:20">
      <c r="A66" s="1908">
        <v>5.0199999999999996</v>
      </c>
      <c r="B66" s="1908">
        <v>5.0199999999999996</v>
      </c>
      <c r="C66" s="1908">
        <v>5.0199999999999996</v>
      </c>
      <c r="D66" s="1908">
        <v>5.0199999999999996</v>
      </c>
      <c r="E66" s="1908">
        <v>5.0199999999999996</v>
      </c>
      <c r="F66" s="1908">
        <v>5.0199999999999996</v>
      </c>
      <c r="G66" s="1908">
        <v>5.0199999999999996</v>
      </c>
      <c r="H66" s="1908">
        <v>5.0199999999999996</v>
      </c>
      <c r="I66" s="1908">
        <v>5.0199999999999996</v>
      </c>
      <c r="J66" s="1908">
        <v>5.0199999999999996</v>
      </c>
      <c r="K66" s="1908">
        <v>5.0199999999999996</v>
      </c>
      <c r="L66" s="1908">
        <v>5.0199999999999996</v>
      </c>
      <c r="M66" s="1908">
        <v>5.01</v>
      </c>
      <c r="N66" s="1909" t="s">
        <v>189</v>
      </c>
      <c r="O66" s="1906" t="s">
        <v>153</v>
      </c>
      <c r="P66" s="1906" t="s">
        <v>153</v>
      </c>
      <c r="Q66" s="1906" t="s">
        <v>153</v>
      </c>
      <c r="R66" s="1906" t="s">
        <v>153</v>
      </c>
      <c r="S66" s="1891"/>
      <c r="T66" s="1891"/>
    </row>
    <row r="67" spans="1:20">
      <c r="A67" s="1907">
        <v>5.03</v>
      </c>
      <c r="B67" s="1907" t="s">
        <v>190</v>
      </c>
      <c r="C67" s="1907" t="s">
        <v>153</v>
      </c>
      <c r="D67" s="1907" t="s">
        <v>153</v>
      </c>
      <c r="E67" s="1907" t="s">
        <v>153</v>
      </c>
      <c r="F67" s="1907" t="s">
        <v>153</v>
      </c>
      <c r="G67" s="1907" t="s">
        <v>153</v>
      </c>
      <c r="H67" s="1907" t="s">
        <v>153</v>
      </c>
      <c r="I67" s="1907" t="s">
        <v>153</v>
      </c>
      <c r="J67" s="1907" t="s">
        <v>153</v>
      </c>
      <c r="K67" s="1907" t="s">
        <v>153</v>
      </c>
      <c r="L67" s="1907" t="s">
        <v>153</v>
      </c>
      <c r="M67" s="1907" t="s">
        <v>153</v>
      </c>
      <c r="N67" s="1907" t="s">
        <v>153</v>
      </c>
      <c r="O67" s="1909" t="s">
        <v>153</v>
      </c>
      <c r="P67" s="1909" t="s">
        <v>153</v>
      </c>
      <c r="Q67" s="1909" t="s">
        <v>153</v>
      </c>
      <c r="R67" s="1909" t="s">
        <v>153</v>
      </c>
      <c r="S67" s="1891"/>
      <c r="T67" s="1891"/>
    </row>
    <row r="68" spans="1:20">
      <c r="A68" s="1908">
        <v>5.04</v>
      </c>
      <c r="B68" s="1908">
        <v>5.04</v>
      </c>
      <c r="C68" s="1908">
        <v>5.04</v>
      </c>
      <c r="D68" s="1908">
        <v>5.04</v>
      </c>
      <c r="E68" s="1908">
        <v>5.04</v>
      </c>
      <c r="F68" s="1908">
        <v>5.04</v>
      </c>
      <c r="G68" s="1908">
        <v>5.04</v>
      </c>
      <c r="H68" s="1908">
        <v>5.04</v>
      </c>
      <c r="I68" s="1908">
        <v>5.04</v>
      </c>
      <c r="J68" s="1908">
        <v>5.04</v>
      </c>
      <c r="K68" s="1908">
        <v>5.04</v>
      </c>
      <c r="L68" s="1908">
        <v>5.04</v>
      </c>
      <c r="M68" s="1908" t="s">
        <v>153</v>
      </c>
      <c r="N68" s="1908" t="s">
        <v>153</v>
      </c>
      <c r="O68" s="1908" t="s">
        <v>153</v>
      </c>
      <c r="P68" s="1908" t="s">
        <v>153</v>
      </c>
      <c r="Q68" s="1908" t="s">
        <v>153</v>
      </c>
      <c r="R68" s="1908" t="s">
        <v>153</v>
      </c>
      <c r="S68" s="1891"/>
      <c r="T68" s="1891"/>
    </row>
    <row r="69" spans="1:20">
      <c r="A69" s="1908">
        <v>5.05</v>
      </c>
      <c r="B69" s="1908">
        <v>5.03</v>
      </c>
      <c r="C69" s="1908">
        <v>5.03</v>
      </c>
      <c r="D69" s="1908">
        <v>5.03</v>
      </c>
      <c r="E69" s="1908">
        <v>5.03</v>
      </c>
      <c r="F69" s="1908">
        <v>5.03</v>
      </c>
      <c r="G69" s="1908">
        <v>5.03</v>
      </c>
      <c r="H69" s="1908">
        <v>5.03</v>
      </c>
      <c r="I69" s="1908">
        <v>5.03</v>
      </c>
      <c r="J69" s="1908">
        <v>5.03</v>
      </c>
      <c r="K69" s="1908">
        <v>5.03</v>
      </c>
      <c r="L69" s="1908">
        <v>5.03</v>
      </c>
      <c r="M69" s="1908" t="s">
        <v>153</v>
      </c>
      <c r="N69" s="1908" t="s">
        <v>153</v>
      </c>
      <c r="O69" s="1908" t="s">
        <v>153</v>
      </c>
      <c r="P69" s="1908" t="s">
        <v>153</v>
      </c>
      <c r="Q69" s="1908" t="s">
        <v>153</v>
      </c>
      <c r="R69" s="1908" t="s">
        <v>153</v>
      </c>
      <c r="S69" s="1891"/>
      <c r="T69" s="1891"/>
    </row>
    <row r="70" spans="1:20">
      <c r="A70" s="1908">
        <v>5.0599999999999996</v>
      </c>
      <c r="B70" s="1908">
        <v>5.05</v>
      </c>
      <c r="C70" s="1908">
        <v>5.05</v>
      </c>
      <c r="D70" s="1908">
        <v>5.05</v>
      </c>
      <c r="E70" s="1908">
        <v>5.05</v>
      </c>
      <c r="F70" s="1908" t="s">
        <v>153</v>
      </c>
      <c r="G70" s="1908" t="s">
        <v>153</v>
      </c>
      <c r="H70" s="1908" t="s">
        <v>153</v>
      </c>
      <c r="I70" s="1908" t="s">
        <v>153</v>
      </c>
      <c r="J70" s="1908" t="s">
        <v>153</v>
      </c>
      <c r="K70" s="1908" t="s">
        <v>153</v>
      </c>
      <c r="L70" s="1908" t="s">
        <v>153</v>
      </c>
      <c r="M70" s="1908" t="s">
        <v>153</v>
      </c>
      <c r="N70" s="1908" t="s">
        <v>153</v>
      </c>
      <c r="O70" s="1908" t="s">
        <v>153</v>
      </c>
      <c r="P70" s="1908" t="s">
        <v>153</v>
      </c>
      <c r="Q70" s="1908" t="s">
        <v>153</v>
      </c>
      <c r="R70" s="1908" t="s">
        <v>153</v>
      </c>
      <c r="S70" s="1891"/>
      <c r="T70" s="1891"/>
    </row>
    <row r="71" spans="1:20">
      <c r="A71" s="1907">
        <v>5.07</v>
      </c>
      <c r="B71" s="1908" t="s">
        <v>153</v>
      </c>
      <c r="C71" s="1908" t="s">
        <v>153</v>
      </c>
      <c r="D71" s="1908" t="s">
        <v>153</v>
      </c>
      <c r="E71" s="1908" t="s">
        <v>153</v>
      </c>
      <c r="F71" s="1908" t="s">
        <v>153</v>
      </c>
      <c r="G71" s="1908" t="s">
        <v>153</v>
      </c>
      <c r="H71" s="1908" t="s">
        <v>153</v>
      </c>
      <c r="I71" s="1908" t="s">
        <v>153</v>
      </c>
      <c r="J71" s="1908" t="s">
        <v>153</v>
      </c>
      <c r="K71" s="1908" t="s">
        <v>153</v>
      </c>
      <c r="L71" s="1908" t="s">
        <v>153</v>
      </c>
      <c r="M71" s="1908" t="s">
        <v>153</v>
      </c>
      <c r="N71" s="1906" t="s">
        <v>153</v>
      </c>
      <c r="O71" s="1906" t="s">
        <v>153</v>
      </c>
      <c r="P71" s="1906" t="s">
        <v>153</v>
      </c>
      <c r="Q71" s="1906" t="s">
        <v>153</v>
      </c>
      <c r="R71" s="1906" t="s">
        <v>153</v>
      </c>
      <c r="S71" s="1891"/>
      <c r="T71" s="1891"/>
    </row>
    <row r="72" spans="1:20">
      <c r="A72" s="1907">
        <v>5.08</v>
      </c>
      <c r="B72" s="1908" t="s">
        <v>153</v>
      </c>
      <c r="C72" s="1908" t="s">
        <v>153</v>
      </c>
      <c r="D72" s="1908" t="s">
        <v>153</v>
      </c>
      <c r="E72" s="1908" t="s">
        <v>153</v>
      </c>
      <c r="F72" s="1908" t="s">
        <v>153</v>
      </c>
      <c r="G72" s="1908" t="s">
        <v>153</v>
      </c>
      <c r="H72" s="1908" t="s">
        <v>153</v>
      </c>
      <c r="I72" s="1908" t="s">
        <v>153</v>
      </c>
      <c r="J72" s="1908" t="s">
        <v>153</v>
      </c>
      <c r="K72" s="1908" t="s">
        <v>153</v>
      </c>
      <c r="L72" s="1908" t="s">
        <v>153</v>
      </c>
      <c r="M72" s="1908" t="s">
        <v>153</v>
      </c>
      <c r="N72" s="1906" t="s">
        <v>153</v>
      </c>
      <c r="O72" s="1906" t="s">
        <v>153</v>
      </c>
      <c r="P72" s="1906" t="s">
        <v>153</v>
      </c>
      <c r="Q72" s="1906" t="s">
        <v>153</v>
      </c>
      <c r="R72" s="1906" t="s">
        <v>153</v>
      </c>
      <c r="S72" s="1891"/>
      <c r="T72" s="1891"/>
    </row>
    <row r="73" spans="1:20">
      <c r="A73" s="1907">
        <v>5.09</v>
      </c>
      <c r="B73" s="1908" t="s">
        <v>153</v>
      </c>
      <c r="C73" s="1908" t="s">
        <v>153</v>
      </c>
      <c r="D73" s="1908" t="s">
        <v>153</v>
      </c>
      <c r="E73" s="1908" t="s">
        <v>153</v>
      </c>
      <c r="F73" s="1908" t="s">
        <v>153</v>
      </c>
      <c r="G73" s="1908" t="s">
        <v>153</v>
      </c>
      <c r="H73" s="1908" t="s">
        <v>153</v>
      </c>
      <c r="I73" s="1908" t="s">
        <v>153</v>
      </c>
      <c r="J73" s="1908" t="s">
        <v>153</v>
      </c>
      <c r="K73" s="1908" t="s">
        <v>153</v>
      </c>
      <c r="L73" s="1908" t="s">
        <v>153</v>
      </c>
      <c r="M73" s="1908" t="s">
        <v>153</v>
      </c>
      <c r="N73" s="1906" t="s">
        <v>153</v>
      </c>
      <c r="O73" s="1906" t="s">
        <v>153</v>
      </c>
      <c r="P73" s="1906" t="s">
        <v>153</v>
      </c>
      <c r="Q73" s="1906" t="s">
        <v>153</v>
      </c>
      <c r="R73" s="1906" t="s">
        <v>153</v>
      </c>
      <c r="S73" s="1891"/>
      <c r="T73" s="1891"/>
    </row>
    <row r="74" spans="1:20">
      <c r="A74" s="1912" t="s">
        <v>2095</v>
      </c>
      <c r="B74" s="1908" t="s">
        <v>153</v>
      </c>
      <c r="C74" s="1908" t="s">
        <v>153</v>
      </c>
      <c r="D74" s="1908" t="s">
        <v>153</v>
      </c>
      <c r="E74" s="1908" t="s">
        <v>153</v>
      </c>
      <c r="F74" s="1908" t="s">
        <v>153</v>
      </c>
      <c r="G74" s="1908" t="s">
        <v>153</v>
      </c>
      <c r="H74" s="1908" t="s">
        <v>153</v>
      </c>
      <c r="I74" s="1908" t="s">
        <v>153</v>
      </c>
      <c r="J74" s="1908" t="s">
        <v>153</v>
      </c>
      <c r="K74" s="1908" t="s">
        <v>153</v>
      </c>
      <c r="L74" s="1908" t="s">
        <v>153</v>
      </c>
      <c r="M74" s="1908" t="s">
        <v>153</v>
      </c>
      <c r="N74" s="1906" t="s">
        <v>153</v>
      </c>
      <c r="O74" s="1906" t="s">
        <v>153</v>
      </c>
      <c r="P74" s="1906" t="s">
        <v>153</v>
      </c>
      <c r="Q74" s="1906" t="s">
        <v>153</v>
      </c>
      <c r="R74" s="1906" t="s">
        <v>153</v>
      </c>
      <c r="S74" s="1891"/>
      <c r="T74" s="1891"/>
    </row>
    <row r="75" spans="1:20">
      <c r="A75" s="1908">
        <v>6.01</v>
      </c>
      <c r="B75" s="1908">
        <v>6.01</v>
      </c>
      <c r="C75" s="1908">
        <v>6.01</v>
      </c>
      <c r="D75" s="1908">
        <v>6.01</v>
      </c>
      <c r="E75" s="1908">
        <v>6.01</v>
      </c>
      <c r="F75" s="1908">
        <v>6.01</v>
      </c>
      <c r="G75" s="1908">
        <v>6.01</v>
      </c>
      <c r="H75" s="1908">
        <v>6.01</v>
      </c>
      <c r="I75" s="1908">
        <v>6.01</v>
      </c>
      <c r="J75" s="1908">
        <v>6.01</v>
      </c>
      <c r="K75" s="1908">
        <v>6.01</v>
      </c>
      <c r="L75" s="1908">
        <v>6.01</v>
      </c>
      <c r="M75" s="1908">
        <v>6.01</v>
      </c>
      <c r="N75" s="1906">
        <v>6.01</v>
      </c>
      <c r="O75" s="1906" t="s">
        <v>191</v>
      </c>
      <c r="P75" s="1906" t="s">
        <v>191</v>
      </c>
      <c r="Q75" s="1906" t="s">
        <v>191</v>
      </c>
      <c r="R75" s="1906" t="s">
        <v>191</v>
      </c>
      <c r="S75" s="1891"/>
      <c r="T75" s="1891"/>
    </row>
    <row r="76" spans="1:20">
      <c r="A76" s="1908">
        <v>6.02</v>
      </c>
      <c r="B76" s="1908">
        <v>6.02</v>
      </c>
      <c r="C76" s="1908">
        <v>6.02</v>
      </c>
      <c r="D76" s="1908">
        <v>6.02</v>
      </c>
      <c r="E76" s="1908">
        <v>6.02</v>
      </c>
      <c r="F76" s="1908">
        <v>6.02</v>
      </c>
      <c r="G76" s="1908">
        <v>6.02</v>
      </c>
      <c r="H76" s="1908">
        <v>6.02</v>
      </c>
      <c r="I76" s="1908">
        <v>6.02</v>
      </c>
      <c r="J76" s="1908">
        <v>6.02</v>
      </c>
      <c r="K76" s="1908">
        <v>6.02</v>
      </c>
      <c r="L76" s="1908">
        <v>6.02</v>
      </c>
      <c r="M76" s="1908">
        <v>6.02</v>
      </c>
      <c r="N76" s="1906">
        <v>6.02</v>
      </c>
      <c r="O76" s="1906" t="s">
        <v>192</v>
      </c>
      <c r="P76" s="1906" t="s">
        <v>192</v>
      </c>
      <c r="Q76" s="1906" t="s">
        <v>192</v>
      </c>
      <c r="R76" s="1906" t="s">
        <v>192</v>
      </c>
      <c r="S76" s="1891"/>
      <c r="T76" s="1891"/>
    </row>
    <row r="77" spans="1:20">
      <c r="A77" s="1912">
        <v>6.03</v>
      </c>
      <c r="B77" s="1912">
        <v>6.03</v>
      </c>
      <c r="C77" s="1912">
        <v>6.03</v>
      </c>
      <c r="D77" s="1912">
        <v>6.03</v>
      </c>
      <c r="E77" s="1912">
        <v>6.03</v>
      </c>
      <c r="F77" s="1912">
        <v>6.03</v>
      </c>
      <c r="G77" s="1908">
        <v>6.03</v>
      </c>
      <c r="H77" s="1908">
        <v>6.03</v>
      </c>
      <c r="I77" s="1908">
        <v>6.03</v>
      </c>
      <c r="J77" s="1908">
        <v>6.03</v>
      </c>
      <c r="K77" s="1908">
        <v>6.03</v>
      </c>
      <c r="L77" s="1908">
        <v>6.03</v>
      </c>
      <c r="M77" s="1908">
        <v>6.03</v>
      </c>
      <c r="N77" s="1906">
        <v>6.03</v>
      </c>
      <c r="O77" s="1906" t="s">
        <v>193</v>
      </c>
      <c r="P77" s="1906" t="s">
        <v>193</v>
      </c>
      <c r="Q77" s="1906" t="s">
        <v>193</v>
      </c>
      <c r="R77" s="1906" t="s">
        <v>193</v>
      </c>
      <c r="S77" s="1891"/>
      <c r="T77" s="1891"/>
    </row>
    <row r="78" spans="1:20">
      <c r="A78" s="1912">
        <v>6.04</v>
      </c>
      <c r="B78" s="1912">
        <v>6.04</v>
      </c>
      <c r="C78" s="1912">
        <v>6.04</v>
      </c>
      <c r="D78" s="1912">
        <v>6.04</v>
      </c>
      <c r="E78" s="1912">
        <v>6.04</v>
      </c>
      <c r="F78" s="1912">
        <v>6.04</v>
      </c>
      <c r="G78" s="1903">
        <v>6.04</v>
      </c>
      <c r="H78" s="1903">
        <v>6.04</v>
      </c>
      <c r="I78" s="1903">
        <v>6.04</v>
      </c>
      <c r="J78" s="1908">
        <v>6.04</v>
      </c>
      <c r="K78" s="1908">
        <v>6.04</v>
      </c>
      <c r="L78" s="1908">
        <v>6.04</v>
      </c>
      <c r="M78" s="1908">
        <v>6.04</v>
      </c>
      <c r="N78" s="1906">
        <v>6.04</v>
      </c>
      <c r="O78" s="1906" t="s">
        <v>194</v>
      </c>
      <c r="P78" s="1906" t="s">
        <v>194</v>
      </c>
      <c r="Q78" s="1906" t="s">
        <v>194</v>
      </c>
      <c r="R78" s="1906" t="s">
        <v>194</v>
      </c>
      <c r="S78" s="1891"/>
      <c r="T78" s="1891"/>
    </row>
    <row r="79" spans="1:20">
      <c r="A79" s="1908">
        <v>6.05</v>
      </c>
      <c r="B79" s="1908">
        <v>6.05</v>
      </c>
      <c r="C79" s="1908">
        <v>6.05</v>
      </c>
      <c r="D79" s="1908">
        <v>6.05</v>
      </c>
      <c r="E79" s="1908">
        <v>6.05</v>
      </c>
      <c r="F79" s="1908">
        <v>6.05</v>
      </c>
      <c r="G79" s="1903">
        <v>6.05</v>
      </c>
      <c r="H79" s="1903">
        <v>6.05</v>
      </c>
      <c r="I79" s="1903">
        <v>6.05</v>
      </c>
      <c r="J79" s="1908">
        <v>6.05</v>
      </c>
      <c r="K79" s="1908">
        <v>6.05</v>
      </c>
      <c r="L79" s="1908">
        <v>6.05</v>
      </c>
      <c r="M79" s="1908">
        <v>6.05</v>
      </c>
      <c r="N79" s="1906">
        <v>6.05</v>
      </c>
      <c r="O79" s="1906" t="s">
        <v>195</v>
      </c>
      <c r="P79" s="1906" t="s">
        <v>195</v>
      </c>
      <c r="Q79" s="1906" t="s">
        <v>195</v>
      </c>
      <c r="R79" s="1906" t="s">
        <v>195</v>
      </c>
      <c r="S79" s="1891"/>
      <c r="T79" s="1891"/>
    </row>
    <row r="80" spans="1:20">
      <c r="A80" s="1908">
        <v>6.06</v>
      </c>
      <c r="B80" s="1908">
        <v>6.06</v>
      </c>
      <c r="C80" s="1908">
        <v>6.06</v>
      </c>
      <c r="D80" s="1908">
        <v>6.06</v>
      </c>
      <c r="E80" s="1908">
        <v>6.06</v>
      </c>
      <c r="F80" s="1908">
        <v>6.06</v>
      </c>
      <c r="G80" s="1903">
        <v>6.06</v>
      </c>
      <c r="H80" s="1903">
        <v>6.06</v>
      </c>
      <c r="I80" s="1903">
        <v>6.06</v>
      </c>
      <c r="J80" s="1908">
        <v>6.06</v>
      </c>
      <c r="K80" s="1908">
        <v>6.06</v>
      </c>
      <c r="L80" s="1908">
        <v>6.06</v>
      </c>
      <c r="M80" s="1908">
        <v>6.06</v>
      </c>
      <c r="N80" s="1906">
        <v>6.06</v>
      </c>
      <c r="O80" s="1906" t="s">
        <v>196</v>
      </c>
      <c r="P80" s="1906" t="s">
        <v>196</v>
      </c>
      <c r="Q80" s="1906" t="s">
        <v>196</v>
      </c>
      <c r="R80" s="1906" t="s">
        <v>196</v>
      </c>
      <c r="S80" s="1891"/>
      <c r="T80" s="1891"/>
    </row>
    <row r="81" spans="1:20">
      <c r="A81" s="1908">
        <v>7.01</v>
      </c>
      <c r="B81" s="1908">
        <v>7.01</v>
      </c>
      <c r="C81" s="1908">
        <v>7.01</v>
      </c>
      <c r="D81" s="1908">
        <v>7.01</v>
      </c>
      <c r="E81" s="1908">
        <v>7.01</v>
      </c>
      <c r="F81" s="1908">
        <v>7.01</v>
      </c>
      <c r="G81" s="1903">
        <v>7.01</v>
      </c>
      <c r="H81" s="1903">
        <v>7.01</v>
      </c>
      <c r="I81" s="1903">
        <v>7.01</v>
      </c>
      <c r="J81" s="1908">
        <v>7.01</v>
      </c>
      <c r="K81" s="1908">
        <v>7.01</v>
      </c>
      <c r="L81" s="1908">
        <v>7.01</v>
      </c>
      <c r="M81" s="1908">
        <v>7.01</v>
      </c>
      <c r="N81" s="1906">
        <v>7.01</v>
      </c>
      <c r="O81" s="1906" t="s">
        <v>197</v>
      </c>
      <c r="P81" s="1906" t="s">
        <v>197</v>
      </c>
      <c r="Q81" s="1906" t="s">
        <v>197</v>
      </c>
      <c r="R81" s="1906" t="s">
        <v>197</v>
      </c>
      <c r="S81" s="1891"/>
      <c r="T81" s="1891"/>
    </row>
    <row r="82" spans="1:20">
      <c r="A82" s="1907">
        <v>7.02</v>
      </c>
      <c r="B82" s="1907">
        <v>7.02</v>
      </c>
      <c r="C82" s="1907" t="s">
        <v>153</v>
      </c>
      <c r="D82" s="1907" t="s">
        <v>153</v>
      </c>
      <c r="E82" s="1907" t="s">
        <v>153</v>
      </c>
      <c r="F82" s="1907" t="s">
        <v>153</v>
      </c>
      <c r="G82" s="1907" t="s">
        <v>153</v>
      </c>
      <c r="H82" s="1907" t="s">
        <v>153</v>
      </c>
      <c r="I82" s="1907" t="s">
        <v>153</v>
      </c>
      <c r="J82" s="1907" t="s">
        <v>153</v>
      </c>
      <c r="K82" s="1907" t="s">
        <v>153</v>
      </c>
      <c r="L82" s="1907" t="s">
        <v>153</v>
      </c>
      <c r="M82" s="1907" t="s">
        <v>153</v>
      </c>
      <c r="N82" s="1907" t="s">
        <v>153</v>
      </c>
      <c r="O82" s="1909" t="s">
        <v>153</v>
      </c>
      <c r="P82" s="1909" t="s">
        <v>153</v>
      </c>
      <c r="Q82" s="1909" t="s">
        <v>153</v>
      </c>
      <c r="R82" s="1909" t="s">
        <v>153</v>
      </c>
      <c r="S82" s="1891"/>
      <c r="T82" s="1891"/>
    </row>
    <row r="83" spans="1:20">
      <c r="A83" s="1907">
        <v>8.01</v>
      </c>
      <c r="B83" s="1907">
        <v>8.01</v>
      </c>
      <c r="C83" s="1907">
        <v>8.01</v>
      </c>
      <c r="D83" s="1907">
        <v>8.01</v>
      </c>
      <c r="E83" s="1907">
        <v>8.01</v>
      </c>
      <c r="F83" s="1907">
        <v>8.01</v>
      </c>
      <c r="G83" s="1908">
        <v>8.01</v>
      </c>
      <c r="H83" s="1908">
        <v>8.01</v>
      </c>
      <c r="I83" s="1908">
        <v>8.01</v>
      </c>
      <c r="J83" s="1903">
        <v>8.01</v>
      </c>
      <c r="K83" s="1903">
        <v>8.01</v>
      </c>
      <c r="L83" s="1903">
        <v>8.01</v>
      </c>
      <c r="M83" s="1903">
        <v>8.01</v>
      </c>
      <c r="N83" s="1905">
        <v>8.01</v>
      </c>
      <c r="O83" s="1906" t="s">
        <v>198</v>
      </c>
      <c r="P83" s="1906" t="s">
        <v>198</v>
      </c>
      <c r="Q83" s="1906" t="s">
        <v>198</v>
      </c>
      <c r="R83" s="1906" t="s">
        <v>198</v>
      </c>
      <c r="S83" s="1891"/>
      <c r="T83" s="1891"/>
    </row>
    <row r="84" spans="1:20">
      <c r="A84" s="1907">
        <v>8.02</v>
      </c>
      <c r="B84" s="1907">
        <v>8.02</v>
      </c>
      <c r="C84" s="1907">
        <v>8.02</v>
      </c>
      <c r="D84" s="1907">
        <v>8.02</v>
      </c>
      <c r="E84" s="1907">
        <v>8.02</v>
      </c>
      <c r="F84" s="1907">
        <v>8.02</v>
      </c>
      <c r="G84" s="1903">
        <v>8.02</v>
      </c>
      <c r="H84" s="1903">
        <v>8.02</v>
      </c>
      <c r="I84" s="1903">
        <v>8.02</v>
      </c>
      <c r="J84" s="1903">
        <v>1.01</v>
      </c>
      <c r="K84" s="1903">
        <v>1.01</v>
      </c>
      <c r="L84" s="1903">
        <v>1.01</v>
      </c>
      <c r="M84" s="1903">
        <v>1.01</v>
      </c>
      <c r="N84" s="1905">
        <v>1.01</v>
      </c>
      <c r="O84" s="1909" t="s">
        <v>153</v>
      </c>
      <c r="P84" s="1909" t="s">
        <v>153</v>
      </c>
      <c r="Q84" s="1909" t="s">
        <v>153</v>
      </c>
      <c r="R84" s="1909" t="s">
        <v>153</v>
      </c>
      <c r="S84" s="1891"/>
      <c r="T84" s="1891"/>
    </row>
    <row r="85" spans="1:20">
      <c r="A85" s="1907">
        <v>8.0299999999999994</v>
      </c>
      <c r="B85" s="1907">
        <v>8.0299999999999994</v>
      </c>
      <c r="C85" s="1907">
        <v>8.0299999999999994</v>
      </c>
      <c r="D85" s="1907">
        <v>8.0299999999999994</v>
      </c>
      <c r="E85" s="1907">
        <v>8.0299999999999994</v>
      </c>
      <c r="F85" s="1907">
        <v>8.0299999999999994</v>
      </c>
      <c r="G85" s="1908">
        <v>8.0299999999999994</v>
      </c>
      <c r="H85" s="1908">
        <v>8.0299999999999994</v>
      </c>
      <c r="I85" s="1908">
        <v>8.0299999999999994</v>
      </c>
      <c r="J85" s="1903">
        <v>8.0299999999999994</v>
      </c>
      <c r="K85" s="1903">
        <v>8.0299999999999994</v>
      </c>
      <c r="L85" s="1903">
        <v>8.0299999999999994</v>
      </c>
      <c r="M85" s="1903">
        <v>8.0299999999999994</v>
      </c>
      <c r="N85" s="1905">
        <v>8.0299999999999994</v>
      </c>
      <c r="O85" s="1906" t="s">
        <v>199</v>
      </c>
      <c r="P85" s="1906" t="s">
        <v>199</v>
      </c>
      <c r="Q85" s="1906" t="s">
        <v>199</v>
      </c>
      <c r="R85" s="1906" t="s">
        <v>199</v>
      </c>
      <c r="S85" s="1891"/>
      <c r="T85" s="1891"/>
    </row>
    <row r="86" spans="1:20">
      <c r="A86" s="1907">
        <v>8.0399999999999991</v>
      </c>
      <c r="B86" s="1907">
        <v>8.0399999999999991</v>
      </c>
      <c r="C86" s="1907">
        <v>8.0399999999999991</v>
      </c>
      <c r="D86" s="1907">
        <v>8.0399999999999991</v>
      </c>
      <c r="E86" s="1907">
        <v>8.0399999999999991</v>
      </c>
      <c r="F86" s="1907">
        <v>8.0399999999999991</v>
      </c>
      <c r="G86" s="1912">
        <v>8.0399999999999991</v>
      </c>
      <c r="H86" s="1912">
        <v>8.0399999999999991</v>
      </c>
      <c r="I86" s="1912">
        <v>8.0399999999999991</v>
      </c>
      <c r="J86" s="1903">
        <v>8.0399999999999991</v>
      </c>
      <c r="K86" s="1903">
        <v>8.0399999999999991</v>
      </c>
      <c r="L86" s="1903">
        <v>8.0399999999999991</v>
      </c>
      <c r="M86" s="1903">
        <v>8.0399999999999991</v>
      </c>
      <c r="N86" s="1905">
        <v>8.0399999999999991</v>
      </c>
      <c r="O86" s="1906" t="s">
        <v>200</v>
      </c>
      <c r="P86" s="1906" t="s">
        <v>200</v>
      </c>
      <c r="Q86" s="1906" t="s">
        <v>200</v>
      </c>
      <c r="R86" s="1906" t="s">
        <v>200</v>
      </c>
      <c r="S86" s="1891"/>
      <c r="T86" s="1891"/>
    </row>
    <row r="87" spans="1:20">
      <c r="A87" s="1907">
        <v>8.0500000000000007</v>
      </c>
      <c r="B87" s="1907">
        <v>8.0500000000000007</v>
      </c>
      <c r="C87" s="1907" t="s">
        <v>153</v>
      </c>
      <c r="D87" s="1907" t="s">
        <v>153</v>
      </c>
      <c r="E87" s="1907" t="s">
        <v>153</v>
      </c>
      <c r="F87" s="1907" t="s">
        <v>153</v>
      </c>
      <c r="G87" s="1907" t="s">
        <v>153</v>
      </c>
      <c r="H87" s="1907" t="s">
        <v>153</v>
      </c>
      <c r="I87" s="1907" t="s">
        <v>153</v>
      </c>
      <c r="J87" s="1907" t="s">
        <v>153</v>
      </c>
      <c r="K87" s="1907" t="s">
        <v>153</v>
      </c>
      <c r="L87" s="1907" t="s">
        <v>153</v>
      </c>
      <c r="M87" s="1907" t="s">
        <v>153</v>
      </c>
      <c r="N87" s="1907" t="s">
        <v>153</v>
      </c>
      <c r="O87" s="1909" t="s">
        <v>153</v>
      </c>
      <c r="P87" s="1909" t="s">
        <v>153</v>
      </c>
      <c r="Q87" s="1909" t="s">
        <v>153</v>
      </c>
      <c r="R87" s="1909" t="s">
        <v>153</v>
      </c>
      <c r="S87" s="1891"/>
      <c r="T87" s="1891"/>
    </row>
    <row r="88" spans="1:20">
      <c r="A88" s="1907">
        <v>8.06</v>
      </c>
      <c r="B88" s="1907">
        <v>8.06</v>
      </c>
      <c r="C88" s="1907" t="s">
        <v>153</v>
      </c>
      <c r="D88" s="1907" t="s">
        <v>153</v>
      </c>
      <c r="E88" s="1907" t="s">
        <v>153</v>
      </c>
      <c r="F88" s="1907" t="s">
        <v>153</v>
      </c>
      <c r="G88" s="1907" t="s">
        <v>153</v>
      </c>
      <c r="H88" s="1907" t="s">
        <v>153</v>
      </c>
      <c r="I88" s="1907" t="s">
        <v>153</v>
      </c>
      <c r="J88" s="1907" t="s">
        <v>153</v>
      </c>
      <c r="K88" s="1907" t="s">
        <v>153</v>
      </c>
      <c r="L88" s="1907" t="s">
        <v>153</v>
      </c>
      <c r="M88" s="1907" t="s">
        <v>153</v>
      </c>
      <c r="N88" s="1907" t="s">
        <v>153</v>
      </c>
      <c r="O88" s="1906" t="s">
        <v>153</v>
      </c>
      <c r="P88" s="1906" t="s">
        <v>153</v>
      </c>
      <c r="Q88" s="1906" t="s">
        <v>153</v>
      </c>
      <c r="R88" s="1906" t="s">
        <v>153</v>
      </c>
      <c r="S88" s="1891"/>
      <c r="T88" s="1891"/>
    </row>
    <row r="89" spans="1:20">
      <c r="A89" s="1907">
        <v>8.07</v>
      </c>
      <c r="B89" s="1907">
        <v>8.07</v>
      </c>
      <c r="C89" s="1907">
        <v>8.07</v>
      </c>
      <c r="D89" s="1907">
        <v>8.07</v>
      </c>
      <c r="E89" s="1907">
        <v>8.07</v>
      </c>
      <c r="F89" s="1907">
        <v>8.07</v>
      </c>
      <c r="G89" s="1908">
        <v>8.07</v>
      </c>
      <c r="H89" s="1908">
        <v>8.07</v>
      </c>
      <c r="I89" s="1908">
        <v>8.07</v>
      </c>
      <c r="J89" s="1903">
        <v>8.07</v>
      </c>
      <c r="K89" s="1903">
        <v>8.07</v>
      </c>
      <c r="L89" s="1903">
        <v>8.07</v>
      </c>
      <c r="M89" s="1903">
        <v>8.07</v>
      </c>
      <c r="N89" s="1905">
        <v>8.07</v>
      </c>
      <c r="O89" s="1906" t="s">
        <v>201</v>
      </c>
      <c r="P89" s="1906" t="s">
        <v>201</v>
      </c>
      <c r="Q89" s="1906" t="s">
        <v>201</v>
      </c>
      <c r="R89" s="1906" t="s">
        <v>201</v>
      </c>
      <c r="S89" s="1891"/>
      <c r="T89" s="1891"/>
    </row>
    <row r="90" spans="1:20">
      <c r="A90" s="1907">
        <v>8.08</v>
      </c>
      <c r="B90" s="1907">
        <v>8.08</v>
      </c>
      <c r="C90" s="1907">
        <v>8.08</v>
      </c>
      <c r="D90" s="1907">
        <v>8.08</v>
      </c>
      <c r="E90" s="1907">
        <v>8.08</v>
      </c>
      <c r="F90" s="1907">
        <v>8.08</v>
      </c>
      <c r="G90" s="1908">
        <v>8.08</v>
      </c>
      <c r="H90" s="1908">
        <v>8.08</v>
      </c>
      <c r="I90" s="1908">
        <v>8.08</v>
      </c>
      <c r="J90" s="1900">
        <v>8.08</v>
      </c>
      <c r="K90" s="1900">
        <v>8.08</v>
      </c>
      <c r="L90" s="1900">
        <v>8.08</v>
      </c>
      <c r="M90" s="1900">
        <v>8.08</v>
      </c>
      <c r="N90" s="1901">
        <v>8.08</v>
      </c>
      <c r="O90" s="1904" t="s">
        <v>202</v>
      </c>
      <c r="P90" s="1904" t="s">
        <v>202</v>
      </c>
      <c r="Q90" s="1904" t="s">
        <v>202</v>
      </c>
      <c r="R90" s="1904" t="s">
        <v>202</v>
      </c>
      <c r="S90" s="1891"/>
      <c r="T90" s="1891"/>
    </row>
    <row r="91" spans="1:20">
      <c r="A91" s="1907">
        <v>8.09</v>
      </c>
      <c r="B91" s="1907">
        <v>8.09</v>
      </c>
      <c r="C91" s="1907">
        <v>8.09</v>
      </c>
      <c r="D91" s="1907">
        <v>8.09</v>
      </c>
      <c r="E91" s="1907">
        <v>8.09</v>
      </c>
      <c r="F91" s="1907">
        <v>8.09</v>
      </c>
      <c r="G91" s="1908">
        <v>8.09</v>
      </c>
      <c r="H91" s="1908">
        <v>8.09</v>
      </c>
      <c r="I91" s="1908">
        <v>8.09</v>
      </c>
      <c r="J91" s="1900">
        <v>8.09</v>
      </c>
      <c r="K91" s="1900">
        <v>8.09</v>
      </c>
      <c r="L91" s="1900">
        <v>8.09</v>
      </c>
      <c r="M91" s="1900">
        <v>8.09</v>
      </c>
      <c r="N91" s="1901">
        <v>8.09</v>
      </c>
      <c r="O91" s="1904" t="s">
        <v>203</v>
      </c>
      <c r="P91" s="1904" t="s">
        <v>203</v>
      </c>
      <c r="Q91" s="1904" t="s">
        <v>203</v>
      </c>
      <c r="R91" s="1904" t="s">
        <v>203</v>
      </c>
      <c r="S91" s="1891"/>
      <c r="T91" s="1891"/>
    </row>
    <row r="92" spans="1:20">
      <c r="A92" s="1912" t="s">
        <v>204</v>
      </c>
      <c r="B92" s="1908" t="s">
        <v>204</v>
      </c>
      <c r="C92" s="1908" t="s">
        <v>204</v>
      </c>
      <c r="D92" s="1908" t="s">
        <v>204</v>
      </c>
      <c r="E92" s="1908" t="s">
        <v>204</v>
      </c>
      <c r="F92" s="1908" t="s">
        <v>204</v>
      </c>
      <c r="G92" s="1908" t="s">
        <v>204</v>
      </c>
      <c r="H92" s="1908" t="s">
        <v>204</v>
      </c>
      <c r="I92" s="1908" t="s">
        <v>204</v>
      </c>
      <c r="J92" s="1903">
        <v>8.1</v>
      </c>
      <c r="K92" s="1903">
        <v>8.1</v>
      </c>
      <c r="L92" s="1903">
        <v>8.1</v>
      </c>
      <c r="M92" s="1903">
        <v>8.1</v>
      </c>
      <c r="N92" s="1905">
        <v>8.1</v>
      </c>
      <c r="O92" s="1906" t="s">
        <v>205</v>
      </c>
      <c r="P92" s="1906" t="s">
        <v>205</v>
      </c>
      <c r="Q92" s="1906" t="s">
        <v>205</v>
      </c>
      <c r="R92" s="1906" t="s">
        <v>205</v>
      </c>
      <c r="S92" s="1891"/>
      <c r="T92" s="1891"/>
    </row>
    <row r="93" spans="1:20">
      <c r="A93" s="1911" t="s">
        <v>244</v>
      </c>
      <c r="B93" s="1907">
        <v>8.11</v>
      </c>
      <c r="C93" s="1907" t="s">
        <v>153</v>
      </c>
      <c r="D93" s="1907" t="s">
        <v>153</v>
      </c>
      <c r="E93" s="1907" t="s">
        <v>153</v>
      </c>
      <c r="F93" s="1907" t="s">
        <v>153</v>
      </c>
      <c r="G93" s="1907" t="s">
        <v>153</v>
      </c>
      <c r="H93" s="1907" t="s">
        <v>153</v>
      </c>
      <c r="I93" s="1907" t="s">
        <v>153</v>
      </c>
      <c r="J93" s="1907" t="s">
        <v>153</v>
      </c>
      <c r="K93" s="1907" t="s">
        <v>153</v>
      </c>
      <c r="L93" s="1907" t="s">
        <v>153</v>
      </c>
      <c r="M93" s="1907" t="s">
        <v>153</v>
      </c>
      <c r="N93" s="1907" t="s">
        <v>153</v>
      </c>
      <c r="O93" s="1908" t="s">
        <v>153</v>
      </c>
      <c r="P93" s="1908" t="s">
        <v>153</v>
      </c>
      <c r="Q93" s="1908" t="s">
        <v>153</v>
      </c>
      <c r="R93" s="1908" t="s">
        <v>153</v>
      </c>
      <c r="S93" s="1891"/>
      <c r="T93" s="1891"/>
    </row>
    <row r="94" spans="1:20">
      <c r="A94" s="1911">
        <v>9.01</v>
      </c>
      <c r="B94" s="1911">
        <v>9.01</v>
      </c>
      <c r="C94" s="1911">
        <v>9.01</v>
      </c>
      <c r="D94" s="1911">
        <v>9.09</v>
      </c>
      <c r="E94" s="1911">
        <v>9.09</v>
      </c>
      <c r="F94" s="1911">
        <v>9.09</v>
      </c>
      <c r="G94" s="1903">
        <v>9.09</v>
      </c>
      <c r="H94" s="1903">
        <v>9.09</v>
      </c>
      <c r="I94" s="1903">
        <v>9.09</v>
      </c>
      <c r="J94" s="1900">
        <v>9.09</v>
      </c>
      <c r="K94" s="1900">
        <v>9.09</v>
      </c>
      <c r="L94" s="1900">
        <v>9.09</v>
      </c>
      <c r="M94" s="1900">
        <v>9.09</v>
      </c>
      <c r="N94" s="1901">
        <v>9.09</v>
      </c>
      <c r="O94" s="1904" t="s">
        <v>206</v>
      </c>
      <c r="P94" s="1904" t="s">
        <v>206</v>
      </c>
      <c r="Q94" s="1904" t="s">
        <v>206</v>
      </c>
      <c r="R94" s="1904" t="s">
        <v>207</v>
      </c>
      <c r="S94" s="1891"/>
      <c r="T94" s="1891"/>
    </row>
    <row r="95" spans="1:20">
      <c r="A95" s="1911">
        <v>9.02</v>
      </c>
      <c r="B95" s="1911">
        <v>9.02</v>
      </c>
      <c r="C95" s="1911">
        <v>9.02</v>
      </c>
      <c r="D95" s="1911" t="s">
        <v>208</v>
      </c>
      <c r="E95" s="1911" t="s">
        <v>208</v>
      </c>
      <c r="F95" s="1911" t="s">
        <v>208</v>
      </c>
      <c r="G95" s="1903" t="s">
        <v>208</v>
      </c>
      <c r="H95" s="1903" t="s">
        <v>208</v>
      </c>
      <c r="I95" s="1903" t="s">
        <v>208</v>
      </c>
      <c r="J95" s="1915" t="s">
        <v>208</v>
      </c>
      <c r="K95" s="1900">
        <v>9.09</v>
      </c>
      <c r="L95" s="1900">
        <v>9.09</v>
      </c>
      <c r="M95" s="1915" t="s">
        <v>208</v>
      </c>
      <c r="N95" s="1901">
        <v>9.08</v>
      </c>
      <c r="O95" s="1904" t="s">
        <v>209</v>
      </c>
      <c r="P95" s="1904" t="s">
        <v>210</v>
      </c>
      <c r="Q95" s="1904" t="s">
        <v>210</v>
      </c>
      <c r="R95" s="1904" t="s">
        <v>164</v>
      </c>
      <c r="S95" s="1891"/>
      <c r="T95" s="1891"/>
    </row>
    <row r="96" spans="1:20">
      <c r="A96" s="1911">
        <v>9.0299999999999994</v>
      </c>
      <c r="B96" s="1911">
        <v>9.0299999999999994</v>
      </c>
      <c r="C96" s="1911">
        <v>9.0299999999999994</v>
      </c>
      <c r="D96" s="1911">
        <v>9.11</v>
      </c>
      <c r="E96" s="1911">
        <v>9.11</v>
      </c>
      <c r="F96" s="1911">
        <v>9.11</v>
      </c>
      <c r="G96" s="1903">
        <v>9.11</v>
      </c>
      <c r="H96" s="1903">
        <v>9.11</v>
      </c>
      <c r="I96" s="1903">
        <v>9.11</v>
      </c>
      <c r="J96" s="1900">
        <v>9.11</v>
      </c>
      <c r="K96" s="1900">
        <v>9.11</v>
      </c>
      <c r="L96" s="1900">
        <v>9.11</v>
      </c>
      <c r="M96" s="1900">
        <v>9.11</v>
      </c>
      <c r="N96" s="1901">
        <v>9.11</v>
      </c>
      <c r="O96" s="1902" t="s">
        <v>153</v>
      </c>
      <c r="P96" s="1902" t="s">
        <v>153</v>
      </c>
      <c r="Q96" s="1902" t="s">
        <v>153</v>
      </c>
      <c r="R96" s="1902" t="s">
        <v>153</v>
      </c>
      <c r="S96" s="1891"/>
      <c r="T96" s="1891"/>
    </row>
    <row r="97" spans="1:20">
      <c r="A97" s="1911">
        <v>9.0399999999999991</v>
      </c>
      <c r="B97" s="1911">
        <v>9.0399999999999991</v>
      </c>
      <c r="C97" s="1911">
        <v>9.0399999999999991</v>
      </c>
      <c r="D97" s="1911">
        <v>9.1199999999999992</v>
      </c>
      <c r="E97" s="1911">
        <v>9.1199999999999992</v>
      </c>
      <c r="F97" s="1911">
        <v>9.1199999999999992</v>
      </c>
      <c r="G97" s="1903">
        <v>9.1199999999999992</v>
      </c>
      <c r="H97" s="1903">
        <v>9.1199999999999992</v>
      </c>
      <c r="I97" s="1903">
        <v>9.1199999999999992</v>
      </c>
      <c r="J97" s="1903">
        <v>9.1199999999999992</v>
      </c>
      <c r="K97" s="1903">
        <v>9.1199999999999992</v>
      </c>
      <c r="L97" s="1903">
        <v>9.1199999999999992</v>
      </c>
      <c r="M97" s="1903">
        <v>9.1199999999999992</v>
      </c>
      <c r="N97" s="1905">
        <v>9.0399999999999991</v>
      </c>
      <c r="O97" s="1906" t="s">
        <v>211</v>
      </c>
      <c r="P97" s="1906" t="s">
        <v>211</v>
      </c>
      <c r="Q97" s="1904" t="s">
        <v>211</v>
      </c>
      <c r="R97" s="1904" t="s">
        <v>212</v>
      </c>
      <c r="S97" s="1891"/>
      <c r="T97" s="1891"/>
    </row>
    <row r="98" spans="1:20">
      <c r="A98" s="1911">
        <v>9.0500000000000007</v>
      </c>
      <c r="B98" s="1911">
        <v>9.0500000000000007</v>
      </c>
      <c r="C98" s="1911">
        <v>9.0500000000000007</v>
      </c>
      <c r="D98" s="1911">
        <v>9.1300000000000008</v>
      </c>
      <c r="E98" s="1911">
        <v>9.1300000000000008</v>
      </c>
      <c r="F98" s="1911">
        <v>9.1300000000000008</v>
      </c>
      <c r="G98" s="1903">
        <v>9.1300000000000008</v>
      </c>
      <c r="H98" s="1903">
        <v>9.1300000000000008</v>
      </c>
      <c r="I98" s="1903">
        <v>9.1300000000000008</v>
      </c>
      <c r="J98" s="1903">
        <v>9.1300000000000008</v>
      </c>
      <c r="K98" s="1903">
        <v>9.1300000000000008</v>
      </c>
      <c r="L98" s="1903">
        <v>9.1300000000000008</v>
      </c>
      <c r="M98" s="1903">
        <v>9.1300000000000008</v>
      </c>
      <c r="N98" s="1905">
        <v>9.0500000000000007</v>
      </c>
      <c r="O98" s="1906" t="s">
        <v>213</v>
      </c>
      <c r="P98" s="1906" t="s">
        <v>213</v>
      </c>
      <c r="Q98" s="1906" t="s">
        <v>213</v>
      </c>
      <c r="R98" s="1906" t="s">
        <v>214</v>
      </c>
      <c r="S98" s="1891"/>
      <c r="T98" s="1891"/>
    </row>
    <row r="99" spans="1:20">
      <c r="A99" s="1911">
        <v>9.06</v>
      </c>
      <c r="B99" s="1911">
        <v>9.06</v>
      </c>
      <c r="C99" s="1911">
        <v>9.06</v>
      </c>
      <c r="D99" s="1911">
        <v>9.14</v>
      </c>
      <c r="E99" s="1911">
        <v>9.14</v>
      </c>
      <c r="F99" s="1911">
        <v>9.14</v>
      </c>
      <c r="G99" s="1903">
        <v>9.14</v>
      </c>
      <c r="H99" s="1903">
        <v>9.14</v>
      </c>
      <c r="I99" s="1903">
        <v>9.14</v>
      </c>
      <c r="J99" s="1903">
        <v>9.14</v>
      </c>
      <c r="K99" s="1903">
        <v>9.14</v>
      </c>
      <c r="L99" s="1903">
        <v>9.14</v>
      </c>
      <c r="M99" s="1903">
        <v>9.14</v>
      </c>
      <c r="N99" s="1905">
        <v>9.06</v>
      </c>
      <c r="O99" s="1906" t="s">
        <v>215</v>
      </c>
      <c r="P99" s="1906" t="s">
        <v>215</v>
      </c>
      <c r="Q99" s="1906" t="s">
        <v>215</v>
      </c>
      <c r="R99" s="1906" t="s">
        <v>216</v>
      </c>
      <c r="S99" s="1891"/>
      <c r="T99" s="1891"/>
    </row>
    <row r="100" spans="1:20">
      <c r="A100" s="1911">
        <v>9.07</v>
      </c>
      <c r="B100" s="1911">
        <v>9.07</v>
      </c>
      <c r="C100" s="1911">
        <v>9.07</v>
      </c>
      <c r="D100" s="1911">
        <v>9.15</v>
      </c>
      <c r="E100" s="1911">
        <v>9.15</v>
      </c>
      <c r="F100" s="1911">
        <v>9.15</v>
      </c>
      <c r="G100" s="1903">
        <v>9.15</v>
      </c>
      <c r="H100" s="1903">
        <v>9.15</v>
      </c>
      <c r="I100" s="1903">
        <v>9.15</v>
      </c>
      <c r="J100" s="1903">
        <v>1.41</v>
      </c>
      <c r="K100" s="1903" t="s">
        <v>153</v>
      </c>
      <c r="L100" s="1903" t="s">
        <v>153</v>
      </c>
      <c r="M100" s="1903" t="s">
        <v>153</v>
      </c>
      <c r="N100" s="1903" t="s">
        <v>153</v>
      </c>
      <c r="O100" s="1903" t="s">
        <v>153</v>
      </c>
      <c r="P100" s="1903" t="s">
        <v>153</v>
      </c>
      <c r="Q100" s="1903" t="s">
        <v>153</v>
      </c>
      <c r="R100" s="1903" t="s">
        <v>153</v>
      </c>
      <c r="S100" s="1891"/>
      <c r="T100" s="1891"/>
    </row>
    <row r="101" spans="1:20">
      <c r="A101" s="1911">
        <v>9.08</v>
      </c>
      <c r="B101" s="1911">
        <v>9.08</v>
      </c>
      <c r="C101" s="1911">
        <v>9.08</v>
      </c>
      <c r="D101" s="1911" t="s">
        <v>217</v>
      </c>
      <c r="E101" s="1911" t="s">
        <v>217</v>
      </c>
      <c r="F101" s="1911" t="s">
        <v>217</v>
      </c>
      <c r="G101" s="1900" t="s">
        <v>218</v>
      </c>
      <c r="H101" s="1900" t="s">
        <v>218</v>
      </c>
      <c r="I101" s="1900" t="s">
        <v>218</v>
      </c>
      <c r="J101" s="1903">
        <v>1.07</v>
      </c>
      <c r="K101" s="1903">
        <v>1.07</v>
      </c>
      <c r="L101" s="1903">
        <v>1.07</v>
      </c>
      <c r="M101" s="1903">
        <v>1.07</v>
      </c>
      <c r="N101" s="1905">
        <v>1.07</v>
      </c>
      <c r="O101" s="1906" t="s">
        <v>219</v>
      </c>
      <c r="P101" s="1906" t="s">
        <v>219</v>
      </c>
      <c r="Q101" s="1906" t="s">
        <v>219</v>
      </c>
      <c r="R101" s="1906" t="s">
        <v>219</v>
      </c>
      <c r="S101" s="1891"/>
      <c r="T101" s="1891"/>
    </row>
    <row r="102" spans="1:20">
      <c r="A102" s="1911">
        <v>9.09</v>
      </c>
      <c r="B102" s="1911">
        <v>9.09</v>
      </c>
      <c r="C102" s="1911">
        <v>9.09</v>
      </c>
      <c r="D102" s="1911" t="s">
        <v>220</v>
      </c>
      <c r="E102" s="1911" t="s">
        <v>220</v>
      </c>
      <c r="F102" s="1911" t="s">
        <v>221</v>
      </c>
      <c r="G102" s="1900" t="s">
        <v>221</v>
      </c>
      <c r="H102" s="1900" t="s">
        <v>221</v>
      </c>
      <c r="I102" s="1900" t="s">
        <v>221</v>
      </c>
      <c r="J102" s="1903">
        <v>1.08</v>
      </c>
      <c r="K102" s="1903">
        <v>1.08</v>
      </c>
      <c r="L102" s="1903">
        <v>1.08</v>
      </c>
      <c r="M102" s="1903">
        <v>1.08</v>
      </c>
      <c r="N102" s="1905">
        <v>1.08</v>
      </c>
      <c r="O102" s="1906" t="s">
        <v>222</v>
      </c>
      <c r="P102" s="1906" t="s">
        <v>222</v>
      </c>
      <c r="Q102" s="1906" t="s">
        <v>222</v>
      </c>
      <c r="R102" s="1906" t="s">
        <v>222</v>
      </c>
      <c r="S102" s="1891"/>
      <c r="T102" s="1891"/>
    </row>
    <row r="103" spans="1:20">
      <c r="A103" s="1907" t="s">
        <v>208</v>
      </c>
      <c r="B103" s="1907" t="s">
        <v>208</v>
      </c>
      <c r="C103" s="1907" t="s">
        <v>208</v>
      </c>
      <c r="D103" s="1907">
        <v>9.17</v>
      </c>
      <c r="E103" s="1907">
        <v>9.17</v>
      </c>
      <c r="F103" s="1907">
        <v>9.17</v>
      </c>
      <c r="G103" s="1903">
        <v>9.17</v>
      </c>
      <c r="H103" s="1903">
        <v>9.17</v>
      </c>
      <c r="I103" s="1903">
        <v>9.17</v>
      </c>
      <c r="J103" s="1903">
        <v>9.17</v>
      </c>
      <c r="K103" s="1903">
        <v>9.17</v>
      </c>
      <c r="L103" s="1903">
        <v>9.17</v>
      </c>
      <c r="M103" s="1903">
        <v>9.17</v>
      </c>
      <c r="N103" s="1916" t="s">
        <v>153</v>
      </c>
      <c r="O103" s="1909" t="s">
        <v>153</v>
      </c>
      <c r="P103" s="1909" t="s">
        <v>153</v>
      </c>
      <c r="Q103" s="1909" t="s">
        <v>153</v>
      </c>
      <c r="R103" s="1909" t="s">
        <v>153</v>
      </c>
      <c r="S103" s="1891"/>
      <c r="T103" s="1891"/>
    </row>
    <row r="104" spans="1:20">
      <c r="A104" s="1911">
        <v>9.11</v>
      </c>
      <c r="B104" s="1911">
        <v>9.11</v>
      </c>
      <c r="C104" s="1911">
        <v>9.11</v>
      </c>
      <c r="D104" s="1911">
        <v>9.18</v>
      </c>
      <c r="E104" s="1911">
        <v>9.18</v>
      </c>
      <c r="F104" s="1911">
        <v>9.18</v>
      </c>
      <c r="G104" s="1900">
        <v>9.18</v>
      </c>
      <c r="H104" s="1900">
        <v>9.18</v>
      </c>
      <c r="I104" s="1900">
        <v>9.18</v>
      </c>
      <c r="J104" s="1903">
        <v>9.18</v>
      </c>
      <c r="K104" s="1903">
        <v>9.18</v>
      </c>
      <c r="L104" s="1903">
        <v>9.18</v>
      </c>
      <c r="M104" s="1903">
        <v>9.18</v>
      </c>
      <c r="N104" s="1916" t="s">
        <v>153</v>
      </c>
      <c r="O104" s="1909" t="s">
        <v>153</v>
      </c>
      <c r="P104" s="1909" t="s">
        <v>153</v>
      </c>
      <c r="Q104" s="1909" t="s">
        <v>153</v>
      </c>
      <c r="R104" s="1909" t="s">
        <v>153</v>
      </c>
      <c r="S104" s="1891"/>
      <c r="T104" s="1891"/>
    </row>
    <row r="105" spans="1:20">
      <c r="A105" s="1911">
        <v>9.1199999999999992</v>
      </c>
      <c r="B105" s="1911">
        <v>9.1199999999999992</v>
      </c>
      <c r="C105" s="1911">
        <v>9.1199999999999992</v>
      </c>
      <c r="D105" s="1911">
        <v>9.19</v>
      </c>
      <c r="E105" s="1911">
        <v>9.19</v>
      </c>
      <c r="F105" s="1911">
        <v>9.19</v>
      </c>
      <c r="G105" s="1900">
        <v>9.19</v>
      </c>
      <c r="H105" s="1900">
        <v>9.19</v>
      </c>
      <c r="I105" s="1900">
        <v>9.19</v>
      </c>
      <c r="J105" s="1903">
        <v>9.19</v>
      </c>
      <c r="K105" s="1903">
        <v>9.19</v>
      </c>
      <c r="L105" s="1903">
        <v>9.01</v>
      </c>
      <c r="M105" s="1903">
        <v>9.01</v>
      </c>
      <c r="N105" s="1905">
        <v>9.01</v>
      </c>
      <c r="O105" s="1909" t="s">
        <v>153</v>
      </c>
      <c r="P105" s="1909" t="s">
        <v>153</v>
      </c>
      <c r="Q105" s="1909" t="s">
        <v>153</v>
      </c>
      <c r="R105" s="1909" t="s">
        <v>153</v>
      </c>
      <c r="S105" s="1891"/>
      <c r="T105" s="1891"/>
    </row>
    <row r="106" spans="1:20">
      <c r="A106" s="1907">
        <v>9.1300000000000008</v>
      </c>
      <c r="B106" s="1907">
        <v>9.1300000000000008</v>
      </c>
      <c r="C106" s="1907">
        <v>9.1300000000000008</v>
      </c>
      <c r="D106" s="1907">
        <v>9.0299999999999994</v>
      </c>
      <c r="E106" s="1907">
        <v>9.0299999999999994</v>
      </c>
      <c r="F106" s="1907">
        <v>9.0299999999999994</v>
      </c>
      <c r="G106" s="1900">
        <v>9.0299999999999994</v>
      </c>
      <c r="H106" s="1900">
        <v>9.0299999999999994</v>
      </c>
      <c r="I106" s="1900">
        <v>9.0299999999999994</v>
      </c>
      <c r="J106" s="1903">
        <v>9.0299999999999994</v>
      </c>
      <c r="K106" s="1903">
        <v>9.0299999999999994</v>
      </c>
      <c r="L106" s="1903">
        <v>9.0299999999999994</v>
      </c>
      <c r="M106" s="1903">
        <v>9.0299999999999994</v>
      </c>
      <c r="N106" s="1905">
        <v>9.0299999999999994</v>
      </c>
      <c r="O106" s="1909" t="s">
        <v>153</v>
      </c>
      <c r="P106" s="1909" t="s">
        <v>153</v>
      </c>
      <c r="Q106" s="1909" t="s">
        <v>153</v>
      </c>
      <c r="R106" s="1909" t="s">
        <v>153</v>
      </c>
      <c r="S106" s="1891"/>
      <c r="T106" s="1891"/>
    </row>
    <row r="107" spans="1:20">
      <c r="A107" s="1907">
        <v>9.14</v>
      </c>
      <c r="B107" s="1907">
        <v>9.14</v>
      </c>
      <c r="C107" s="1907">
        <v>9.14</v>
      </c>
      <c r="D107" s="1907">
        <v>9.0399999999999991</v>
      </c>
      <c r="E107" s="1907">
        <v>9.0399999999999991</v>
      </c>
      <c r="F107" s="1907">
        <v>9.0399999999999991</v>
      </c>
      <c r="G107" s="1903">
        <v>9.0399999999999991</v>
      </c>
      <c r="H107" s="1903">
        <v>9.0399999999999991</v>
      </c>
      <c r="I107" s="1903">
        <v>9.0399999999999991</v>
      </c>
      <c r="J107" s="1903">
        <v>9.0399999999999991</v>
      </c>
      <c r="K107" s="1903">
        <v>9.0399999999999991</v>
      </c>
      <c r="L107" s="1903">
        <v>9.0399999999999991</v>
      </c>
      <c r="M107" s="1903">
        <v>9.0399999999999991</v>
      </c>
      <c r="N107" s="1916" t="s">
        <v>153</v>
      </c>
      <c r="O107" s="1909" t="s">
        <v>153</v>
      </c>
      <c r="P107" s="1909" t="s">
        <v>153</v>
      </c>
      <c r="Q107" s="1909" t="s">
        <v>153</v>
      </c>
      <c r="R107" s="1909" t="s">
        <v>153</v>
      </c>
      <c r="S107" s="1891"/>
      <c r="T107" s="1891"/>
    </row>
    <row r="108" spans="1:20">
      <c r="A108" s="1911">
        <v>9.15</v>
      </c>
      <c r="B108" s="1911">
        <v>9.15</v>
      </c>
      <c r="C108" s="1911">
        <v>9.15</v>
      </c>
      <c r="D108" s="1911" t="s">
        <v>153</v>
      </c>
      <c r="E108" s="1911" t="s">
        <v>153</v>
      </c>
      <c r="F108" s="1911" t="s">
        <v>153</v>
      </c>
      <c r="G108" s="1907" t="s">
        <v>153</v>
      </c>
      <c r="H108" s="1907" t="s">
        <v>153</v>
      </c>
      <c r="I108" s="1907" t="s">
        <v>153</v>
      </c>
      <c r="J108" s="1907" t="s">
        <v>153</v>
      </c>
      <c r="K108" s="1907" t="s">
        <v>153</v>
      </c>
      <c r="L108" s="1907" t="s">
        <v>153</v>
      </c>
      <c r="M108" s="1907" t="s">
        <v>153</v>
      </c>
      <c r="N108" s="1907" t="s">
        <v>153</v>
      </c>
      <c r="O108" s="1907" t="s">
        <v>153</v>
      </c>
      <c r="P108" s="1907" t="s">
        <v>153</v>
      </c>
      <c r="Q108" s="1907" t="s">
        <v>153</v>
      </c>
      <c r="R108" s="1907" t="s">
        <v>153</v>
      </c>
      <c r="S108" s="1891"/>
      <c r="T108" s="1891"/>
    </row>
    <row r="109" spans="1:20">
      <c r="A109" s="1907" t="s">
        <v>223</v>
      </c>
      <c r="B109" s="1907" t="s">
        <v>223</v>
      </c>
      <c r="C109" s="1907" t="s">
        <v>223</v>
      </c>
      <c r="D109" s="1907" t="s">
        <v>223</v>
      </c>
      <c r="E109" s="1907" t="s">
        <v>223</v>
      </c>
      <c r="F109" s="1907" t="s">
        <v>223</v>
      </c>
      <c r="G109" s="1903" t="s">
        <v>223</v>
      </c>
      <c r="H109" s="1903" t="s">
        <v>223</v>
      </c>
      <c r="I109" s="1903" t="s">
        <v>223</v>
      </c>
      <c r="J109" s="1907" t="s">
        <v>223</v>
      </c>
      <c r="K109" s="1908">
        <v>2.0099999999999998</v>
      </c>
      <c r="L109" s="1908">
        <v>2.0099999999999998</v>
      </c>
      <c r="M109" s="1908">
        <v>2.0099999999999998</v>
      </c>
      <c r="N109" s="1908">
        <v>2.0099999999999998</v>
      </c>
      <c r="O109" s="1906" t="s">
        <v>224</v>
      </c>
      <c r="P109" s="1906" t="s">
        <v>224</v>
      </c>
      <c r="Q109" s="1906" t="s">
        <v>224</v>
      </c>
      <c r="R109" s="1906" t="s">
        <v>153</v>
      </c>
      <c r="S109" s="1891"/>
      <c r="T109" s="1891"/>
    </row>
    <row r="110" spans="1:20">
      <c r="A110" s="1907" t="s">
        <v>225</v>
      </c>
      <c r="B110" s="1907" t="s">
        <v>225</v>
      </c>
      <c r="C110" s="1907" t="s">
        <v>225</v>
      </c>
      <c r="D110" s="1907" t="s">
        <v>225</v>
      </c>
      <c r="E110" s="1907" t="s">
        <v>225</v>
      </c>
      <c r="F110" s="1907" t="s">
        <v>225</v>
      </c>
      <c r="G110" s="1913" t="s">
        <v>225</v>
      </c>
      <c r="H110" s="1913" t="s">
        <v>225</v>
      </c>
      <c r="I110" s="1913" t="s">
        <v>225</v>
      </c>
      <c r="J110" s="1907" t="s">
        <v>225</v>
      </c>
      <c r="K110" s="1908">
        <v>2.02</v>
      </c>
      <c r="L110" s="1908">
        <v>2.02</v>
      </c>
      <c r="M110" s="1908">
        <v>2.02</v>
      </c>
      <c r="N110" s="1908">
        <v>2.02</v>
      </c>
      <c r="O110" s="1906" t="s">
        <v>224</v>
      </c>
      <c r="P110" s="1906" t="s">
        <v>224</v>
      </c>
      <c r="Q110" s="1906" t="s">
        <v>224</v>
      </c>
      <c r="R110" s="1906" t="s">
        <v>153</v>
      </c>
      <c r="S110" s="1891"/>
      <c r="T110" s="1891"/>
    </row>
    <row r="111" spans="1:20">
      <c r="A111" s="1907" t="s">
        <v>226</v>
      </c>
      <c r="B111" s="1907" t="s">
        <v>226</v>
      </c>
      <c r="C111" s="1907" t="s">
        <v>226</v>
      </c>
      <c r="D111" s="1907" t="s">
        <v>226</v>
      </c>
      <c r="E111" s="1907" t="s">
        <v>226</v>
      </c>
      <c r="F111" s="1907" t="s">
        <v>226</v>
      </c>
      <c r="G111" s="1903" t="s">
        <v>226</v>
      </c>
      <c r="H111" s="1903" t="s">
        <v>226</v>
      </c>
      <c r="I111" s="1903" t="s">
        <v>226</v>
      </c>
      <c r="J111" s="1913" t="s">
        <v>226</v>
      </c>
      <c r="K111" s="1903">
        <v>2.13</v>
      </c>
      <c r="L111" s="1903" t="s">
        <v>153</v>
      </c>
      <c r="M111" s="1903" t="s">
        <v>153</v>
      </c>
      <c r="N111" s="1903" t="s">
        <v>153</v>
      </c>
      <c r="O111" s="1903" t="s">
        <v>153</v>
      </c>
      <c r="P111" s="1903" t="s">
        <v>153</v>
      </c>
      <c r="Q111" s="1903" t="s">
        <v>153</v>
      </c>
      <c r="R111" s="1903" t="s">
        <v>153</v>
      </c>
      <c r="S111" s="1891"/>
      <c r="T111" s="1891"/>
    </row>
    <row r="112" spans="1:20">
      <c r="A112" s="1900" t="s">
        <v>227</v>
      </c>
      <c r="B112" s="1900" t="s">
        <v>227</v>
      </c>
      <c r="C112" s="1900">
        <v>10.039999999999999</v>
      </c>
      <c r="D112" s="1900">
        <v>10.039999999999999</v>
      </c>
      <c r="E112" s="1900">
        <v>10.039999999999999</v>
      </c>
      <c r="F112" s="1900">
        <v>11.16</v>
      </c>
      <c r="G112" s="1911">
        <v>11.16</v>
      </c>
      <c r="H112" s="1911">
        <v>11.16</v>
      </c>
      <c r="I112" s="1911">
        <v>11.16</v>
      </c>
      <c r="J112" s="1912">
        <v>2.0299999999999998</v>
      </c>
      <c r="K112" s="1912">
        <v>2.0299999999999998</v>
      </c>
      <c r="L112" s="1912">
        <v>2.0299999999999998</v>
      </c>
      <c r="M112" s="1912">
        <v>2.0299999999999998</v>
      </c>
      <c r="N112" s="1904">
        <v>2.0299999999999998</v>
      </c>
      <c r="O112" s="1906" t="s">
        <v>228</v>
      </c>
      <c r="P112" s="1906" t="s">
        <v>228</v>
      </c>
      <c r="Q112" s="1906" t="s">
        <v>228</v>
      </c>
      <c r="R112" s="1906" t="s">
        <v>153</v>
      </c>
      <c r="S112" s="1891"/>
      <c r="T112" s="1891"/>
    </row>
    <row r="113" spans="1:20">
      <c r="A113" s="1912" t="s">
        <v>229</v>
      </c>
      <c r="B113" s="1912" t="s">
        <v>229</v>
      </c>
      <c r="C113" s="1912">
        <v>10.050000000000001</v>
      </c>
      <c r="D113" s="1912">
        <v>10.050000000000001</v>
      </c>
      <c r="E113" s="1912">
        <v>10.050000000000001</v>
      </c>
      <c r="F113" s="1912">
        <v>2.0699999999999998</v>
      </c>
      <c r="G113" s="1912">
        <v>2.0699999999999998</v>
      </c>
      <c r="H113" s="1912">
        <v>2.0699999999999998</v>
      </c>
      <c r="I113" s="1912">
        <v>2.0699999999999998</v>
      </c>
      <c r="J113" s="1912">
        <v>2.0699999999999998</v>
      </c>
      <c r="K113" s="1912">
        <v>2.0699999999999998</v>
      </c>
      <c r="L113" s="1912">
        <v>2.0699999999999998</v>
      </c>
      <c r="M113" s="1912">
        <v>2.0699999999999998</v>
      </c>
      <c r="N113" s="1904">
        <v>2.0699999999999998</v>
      </c>
      <c r="O113" s="1906" t="s">
        <v>230</v>
      </c>
      <c r="P113" s="1906" t="s">
        <v>230</v>
      </c>
      <c r="Q113" s="1906" t="s">
        <v>162</v>
      </c>
      <c r="R113" s="1906" t="s">
        <v>153</v>
      </c>
      <c r="S113" s="1891"/>
      <c r="T113" s="1891"/>
    </row>
    <row r="114" spans="1:20">
      <c r="A114" s="1911">
        <v>11.01</v>
      </c>
      <c r="B114" s="1911">
        <v>11.01</v>
      </c>
      <c r="C114" s="1911">
        <v>11.01</v>
      </c>
      <c r="D114" s="1911">
        <v>11.01</v>
      </c>
      <c r="E114" s="1911">
        <v>11.01</v>
      </c>
      <c r="F114" s="1911">
        <v>11.01</v>
      </c>
      <c r="G114" s="1903">
        <v>11.01</v>
      </c>
      <c r="H114" s="1903">
        <v>11.01</v>
      </c>
      <c r="I114" s="1903">
        <v>11.01</v>
      </c>
      <c r="J114" s="1903">
        <v>1.42</v>
      </c>
      <c r="K114" s="1903">
        <v>1.42</v>
      </c>
      <c r="L114" s="1903">
        <v>1.42</v>
      </c>
      <c r="M114" s="1903">
        <v>1.42</v>
      </c>
      <c r="N114" s="1905">
        <v>8.02</v>
      </c>
      <c r="O114" s="1906" t="s">
        <v>231</v>
      </c>
      <c r="P114" s="1906" t="s">
        <v>231</v>
      </c>
      <c r="Q114" s="1906" t="s">
        <v>231</v>
      </c>
      <c r="R114" s="1906" t="s">
        <v>231</v>
      </c>
      <c r="S114" s="1891"/>
      <c r="T114" s="1891"/>
    </row>
    <row r="115" spans="1:20">
      <c r="A115" s="1911">
        <v>11.02</v>
      </c>
      <c r="B115" s="1911">
        <v>11.02</v>
      </c>
      <c r="C115" s="1911">
        <v>11.02</v>
      </c>
      <c r="D115" s="1911">
        <v>11.02</v>
      </c>
      <c r="E115" s="1911">
        <v>11.02</v>
      </c>
      <c r="F115" s="1911">
        <v>11.02</v>
      </c>
      <c r="G115" s="1903">
        <v>11.02</v>
      </c>
      <c r="H115" s="1903">
        <v>11.02</v>
      </c>
      <c r="I115" s="1903">
        <v>11.02</v>
      </c>
      <c r="J115" s="1903">
        <v>1.02</v>
      </c>
      <c r="K115" s="1903">
        <v>1.02</v>
      </c>
      <c r="L115" s="1903">
        <v>1.02</v>
      </c>
      <c r="M115" s="1903">
        <v>1.02</v>
      </c>
      <c r="N115" s="1905">
        <v>1.02</v>
      </c>
      <c r="O115" s="1909" t="s">
        <v>153</v>
      </c>
      <c r="P115" s="1909" t="s">
        <v>153</v>
      </c>
      <c r="Q115" s="1909" t="s">
        <v>153</v>
      </c>
      <c r="R115" s="1909" t="s">
        <v>153</v>
      </c>
      <c r="S115" s="1891"/>
      <c r="T115" s="1891"/>
    </row>
    <row r="116" spans="1:20">
      <c r="A116" s="1911">
        <v>11.03</v>
      </c>
      <c r="B116" s="1911">
        <v>11.03</v>
      </c>
      <c r="C116" s="1911">
        <v>11.03</v>
      </c>
      <c r="D116" s="1911">
        <v>11.03</v>
      </c>
      <c r="E116" s="1911">
        <v>11.03</v>
      </c>
      <c r="F116" s="1911">
        <v>11.03</v>
      </c>
      <c r="G116" s="1903">
        <v>11.03</v>
      </c>
      <c r="H116" s="1903">
        <v>11.03</v>
      </c>
      <c r="I116" s="1903">
        <v>11.03</v>
      </c>
      <c r="J116" s="1903">
        <v>1.03</v>
      </c>
      <c r="K116" s="1903">
        <v>1.03</v>
      </c>
      <c r="L116" s="1903">
        <v>1.03</v>
      </c>
      <c r="M116" s="1903">
        <v>1.03</v>
      </c>
      <c r="N116" s="1905">
        <v>1.03</v>
      </c>
      <c r="O116" s="1906" t="s">
        <v>232</v>
      </c>
      <c r="P116" s="1906" t="s">
        <v>232</v>
      </c>
      <c r="Q116" s="1906" t="s">
        <v>232</v>
      </c>
      <c r="R116" s="1906" t="s">
        <v>232</v>
      </c>
      <c r="S116" s="1891"/>
      <c r="T116" s="1891"/>
    </row>
    <row r="117" spans="1:20">
      <c r="A117" s="1912">
        <v>11.04</v>
      </c>
      <c r="B117" s="1912">
        <v>11.04</v>
      </c>
      <c r="C117" s="1912">
        <v>11.04</v>
      </c>
      <c r="D117" s="1912">
        <v>11.04</v>
      </c>
      <c r="E117" s="1912">
        <v>11.04</v>
      </c>
      <c r="F117" s="1912" t="s">
        <v>153</v>
      </c>
      <c r="G117" s="1908" t="s">
        <v>153</v>
      </c>
      <c r="H117" s="1908" t="s">
        <v>153</v>
      </c>
      <c r="I117" s="1908" t="s">
        <v>153</v>
      </c>
      <c r="J117" s="1908" t="s">
        <v>153</v>
      </c>
      <c r="K117" s="1908" t="s">
        <v>153</v>
      </c>
      <c r="L117" s="1908" t="s">
        <v>153</v>
      </c>
      <c r="M117" s="1908" t="s">
        <v>153</v>
      </c>
      <c r="N117" s="1908" t="s">
        <v>153</v>
      </c>
      <c r="O117" s="1908" t="s">
        <v>153</v>
      </c>
      <c r="P117" s="1908" t="s">
        <v>153</v>
      </c>
      <c r="Q117" s="1908" t="s">
        <v>153</v>
      </c>
      <c r="R117" s="1908" t="s">
        <v>153</v>
      </c>
      <c r="S117" s="1891"/>
      <c r="T117" s="1891"/>
    </row>
    <row r="118" spans="1:20">
      <c r="A118" s="1911">
        <v>11.05</v>
      </c>
      <c r="B118" s="1911">
        <v>11.05</v>
      </c>
      <c r="C118" s="1911">
        <v>11.05</v>
      </c>
      <c r="D118" s="1911">
        <v>11.05</v>
      </c>
      <c r="E118" s="1911">
        <v>11.05</v>
      </c>
      <c r="F118" s="1911">
        <v>11.05</v>
      </c>
      <c r="G118" s="1903">
        <v>11.05</v>
      </c>
      <c r="H118" s="1903">
        <v>11.05</v>
      </c>
      <c r="I118" s="1903">
        <v>11.05</v>
      </c>
      <c r="J118" s="1903">
        <v>1.05</v>
      </c>
      <c r="K118" s="1903">
        <v>1.05</v>
      </c>
      <c r="L118" s="1903">
        <v>1.05</v>
      </c>
      <c r="M118" s="1903">
        <v>1.05</v>
      </c>
      <c r="N118" s="1905">
        <v>1.05</v>
      </c>
      <c r="O118" s="1906" t="s">
        <v>233</v>
      </c>
      <c r="P118" s="1906" t="s">
        <v>233</v>
      </c>
      <c r="Q118" s="1906" t="s">
        <v>233</v>
      </c>
      <c r="R118" s="1906" t="s">
        <v>233</v>
      </c>
      <c r="S118" s="1891"/>
      <c r="T118" s="1891"/>
    </row>
    <row r="119" spans="1:20">
      <c r="A119" s="1911">
        <v>11.06</v>
      </c>
      <c r="B119" s="1911">
        <v>11.06</v>
      </c>
      <c r="C119" s="1911">
        <v>11.06</v>
      </c>
      <c r="D119" s="1911">
        <v>11.06</v>
      </c>
      <c r="E119" s="1911">
        <v>11.06</v>
      </c>
      <c r="F119" s="1911">
        <v>11.06</v>
      </c>
      <c r="G119" s="1903">
        <v>11.06</v>
      </c>
      <c r="H119" s="1903">
        <v>11.06</v>
      </c>
      <c r="I119" s="1903">
        <v>11.06</v>
      </c>
      <c r="J119" s="1903">
        <v>1.06</v>
      </c>
      <c r="K119" s="1903">
        <v>1.06</v>
      </c>
      <c r="L119" s="1903">
        <v>1.06</v>
      </c>
      <c r="M119" s="1903">
        <v>1.06</v>
      </c>
      <c r="N119" s="1905">
        <v>1.06</v>
      </c>
      <c r="O119" s="1906" t="s">
        <v>234</v>
      </c>
      <c r="P119" s="1906" t="s">
        <v>234</v>
      </c>
      <c r="Q119" s="1906" t="s">
        <v>234</v>
      </c>
      <c r="R119" s="1906" t="s">
        <v>234</v>
      </c>
      <c r="S119" s="1891"/>
      <c r="T119" s="1891"/>
    </row>
    <row r="120" spans="1:20">
      <c r="A120" s="1911">
        <v>11.07</v>
      </c>
      <c r="B120" s="1911">
        <v>11.07</v>
      </c>
      <c r="C120" s="1911">
        <v>11.07</v>
      </c>
      <c r="D120" s="1911">
        <v>11.07</v>
      </c>
      <c r="E120" s="1911">
        <v>11.07</v>
      </c>
      <c r="F120" s="1911">
        <v>11.07</v>
      </c>
      <c r="G120" s="1903">
        <v>11.11</v>
      </c>
      <c r="H120" s="1903">
        <v>11.11</v>
      </c>
      <c r="I120" s="1903">
        <v>11.11</v>
      </c>
      <c r="J120" s="1903">
        <v>1.34</v>
      </c>
      <c r="K120" s="1903">
        <v>1.34</v>
      </c>
      <c r="L120" s="1903">
        <v>1.34</v>
      </c>
      <c r="M120" s="1903">
        <v>1.34</v>
      </c>
      <c r="N120" s="1905" t="s">
        <v>153</v>
      </c>
      <c r="O120" s="1909" t="s">
        <v>153</v>
      </c>
      <c r="P120" s="1909" t="s">
        <v>153</v>
      </c>
      <c r="Q120" s="1909" t="s">
        <v>153</v>
      </c>
      <c r="R120" s="1909" t="s">
        <v>153</v>
      </c>
      <c r="S120" s="1891"/>
      <c r="T120" s="1891"/>
    </row>
    <row r="121" spans="1:20">
      <c r="A121" s="1911">
        <v>11.08</v>
      </c>
      <c r="B121" s="1911">
        <v>11.08</v>
      </c>
      <c r="C121" s="1911">
        <v>11.08</v>
      </c>
      <c r="D121" s="1911">
        <v>11.08</v>
      </c>
      <c r="E121" s="1911">
        <v>11.08</v>
      </c>
      <c r="F121" s="1911">
        <v>11.08</v>
      </c>
      <c r="G121" s="1903">
        <v>11.08</v>
      </c>
      <c r="H121" s="1903">
        <v>11.08</v>
      </c>
      <c r="I121" s="1903">
        <v>11.08</v>
      </c>
      <c r="J121" s="1903">
        <v>1.36</v>
      </c>
      <c r="K121" s="1903">
        <v>1.36</v>
      </c>
      <c r="L121" s="1903">
        <v>1.36</v>
      </c>
      <c r="M121" s="1903">
        <v>1.36</v>
      </c>
      <c r="N121" s="1905" t="s">
        <v>153</v>
      </c>
      <c r="O121" s="1909" t="s">
        <v>153</v>
      </c>
      <c r="P121" s="1909" t="s">
        <v>153</v>
      </c>
      <c r="Q121" s="1909" t="s">
        <v>153</v>
      </c>
      <c r="R121" s="1909" t="s">
        <v>153</v>
      </c>
      <c r="S121" s="1891"/>
      <c r="T121" s="1891"/>
    </row>
    <row r="122" spans="1:20">
      <c r="A122" s="1912">
        <v>11.09</v>
      </c>
      <c r="B122" s="1912">
        <v>11.09</v>
      </c>
      <c r="C122" s="1912">
        <v>11.09</v>
      </c>
      <c r="D122" s="1912">
        <v>11.09</v>
      </c>
      <c r="E122" s="1912">
        <v>11.09</v>
      </c>
      <c r="F122" s="1912" t="s">
        <v>153</v>
      </c>
      <c r="G122" s="1908" t="s">
        <v>153</v>
      </c>
      <c r="H122" s="1908" t="s">
        <v>153</v>
      </c>
      <c r="I122" s="1908" t="s">
        <v>153</v>
      </c>
      <c r="J122" s="1908" t="s">
        <v>153</v>
      </c>
      <c r="K122" s="1908" t="s">
        <v>153</v>
      </c>
      <c r="L122" s="1908" t="s">
        <v>153</v>
      </c>
      <c r="M122" s="1908" t="s">
        <v>153</v>
      </c>
      <c r="N122" s="1908" t="s">
        <v>153</v>
      </c>
      <c r="O122" s="1908" t="s">
        <v>153</v>
      </c>
      <c r="P122" s="1908" t="s">
        <v>153</v>
      </c>
      <c r="Q122" s="1908" t="s">
        <v>153</v>
      </c>
      <c r="R122" s="1908" t="s">
        <v>153</v>
      </c>
      <c r="S122" s="1891"/>
      <c r="T122" s="1891"/>
    </row>
    <row r="123" spans="1:20">
      <c r="A123" s="1904" t="s">
        <v>133</v>
      </c>
      <c r="B123" s="1904" t="s">
        <v>133</v>
      </c>
      <c r="C123" s="1904" t="s">
        <v>133</v>
      </c>
      <c r="D123" s="1904" t="s">
        <v>133</v>
      </c>
      <c r="E123" s="1904" t="s">
        <v>133</v>
      </c>
      <c r="F123" s="1904" t="s">
        <v>133</v>
      </c>
      <c r="G123" s="1900">
        <v>11.17</v>
      </c>
      <c r="H123" s="1900">
        <v>11.17</v>
      </c>
      <c r="I123" s="1900">
        <v>11.17</v>
      </c>
      <c r="J123" s="1900">
        <v>1.49</v>
      </c>
      <c r="K123" s="1900">
        <v>1.49</v>
      </c>
      <c r="L123" s="1900" t="s">
        <v>153</v>
      </c>
      <c r="M123" s="1900" t="s">
        <v>153</v>
      </c>
      <c r="N123" s="1900" t="s">
        <v>153</v>
      </c>
      <c r="O123" s="1903" t="s">
        <v>153</v>
      </c>
      <c r="P123" s="1903" t="s">
        <v>153</v>
      </c>
      <c r="Q123" s="1903" t="s">
        <v>153</v>
      </c>
      <c r="R123" s="1903" t="s">
        <v>153</v>
      </c>
      <c r="S123" s="1891"/>
      <c r="T123" s="1891"/>
    </row>
    <row r="124" spans="1:20">
      <c r="A124" s="1904">
        <v>11.11</v>
      </c>
      <c r="B124" s="1904">
        <v>11.11</v>
      </c>
      <c r="C124" s="1904">
        <v>11.11</v>
      </c>
      <c r="D124" s="1904">
        <v>11.11</v>
      </c>
      <c r="E124" s="1904">
        <v>11.11</v>
      </c>
      <c r="F124" s="1904">
        <v>11.11</v>
      </c>
      <c r="G124" s="1903">
        <v>11.18</v>
      </c>
      <c r="H124" s="1903">
        <v>11.18</v>
      </c>
      <c r="I124" s="1903">
        <v>11.18</v>
      </c>
      <c r="J124" s="1903" t="s">
        <v>153</v>
      </c>
      <c r="K124" s="1903" t="s">
        <v>153</v>
      </c>
      <c r="L124" s="1903" t="s">
        <v>153</v>
      </c>
      <c r="M124" s="1903" t="s">
        <v>153</v>
      </c>
      <c r="N124" s="1903" t="s">
        <v>153</v>
      </c>
      <c r="O124" s="1903" t="s">
        <v>153</v>
      </c>
      <c r="P124" s="1903" t="s">
        <v>153</v>
      </c>
      <c r="Q124" s="1903" t="s">
        <v>153</v>
      </c>
      <c r="R124" s="1903" t="s">
        <v>153</v>
      </c>
      <c r="S124" s="1891"/>
      <c r="T124" s="1891"/>
    </row>
    <row r="125" spans="1:20">
      <c r="A125" s="1911">
        <v>11.12</v>
      </c>
      <c r="B125" s="1911">
        <v>11.12</v>
      </c>
      <c r="C125" s="1911">
        <v>11.12</v>
      </c>
      <c r="D125" s="1911">
        <v>11.12</v>
      </c>
      <c r="E125" s="1911">
        <v>11.12</v>
      </c>
      <c r="F125" s="1911">
        <v>11.12</v>
      </c>
      <c r="G125" s="1903">
        <v>11.12</v>
      </c>
      <c r="H125" s="1903">
        <v>11.12</v>
      </c>
      <c r="I125" s="1903">
        <v>11.12</v>
      </c>
      <c r="J125" s="1903">
        <v>1.48</v>
      </c>
      <c r="K125" s="1903">
        <v>1.48</v>
      </c>
      <c r="L125" s="1903" t="s">
        <v>153</v>
      </c>
      <c r="M125" s="1903" t="s">
        <v>153</v>
      </c>
      <c r="N125" s="1903" t="s">
        <v>153</v>
      </c>
      <c r="O125" s="1903" t="s">
        <v>153</v>
      </c>
      <c r="P125" s="1903" t="s">
        <v>153</v>
      </c>
      <c r="Q125" s="1903" t="s">
        <v>153</v>
      </c>
      <c r="R125" s="1903" t="s">
        <v>153</v>
      </c>
      <c r="S125" s="1891"/>
      <c r="T125" s="1891"/>
    </row>
    <row r="126" spans="1:20">
      <c r="A126" s="1911">
        <v>11.13</v>
      </c>
      <c r="B126" s="1911">
        <v>11.13</v>
      </c>
      <c r="C126" s="1911">
        <v>11.13</v>
      </c>
      <c r="D126" s="1911">
        <v>11.13</v>
      </c>
      <c r="E126" s="1911">
        <v>11.13</v>
      </c>
      <c r="F126" s="1911">
        <v>11.13</v>
      </c>
      <c r="G126" s="1903">
        <v>11.13</v>
      </c>
      <c r="H126" s="1903">
        <v>11.13</v>
      </c>
      <c r="I126" s="1903">
        <v>11.13</v>
      </c>
      <c r="J126" s="1903">
        <v>1.47</v>
      </c>
      <c r="K126" s="1903">
        <v>1.47</v>
      </c>
      <c r="L126" s="1903" t="s">
        <v>153</v>
      </c>
      <c r="M126" s="1903" t="s">
        <v>153</v>
      </c>
      <c r="N126" s="1903" t="s">
        <v>153</v>
      </c>
      <c r="O126" s="1903" t="s">
        <v>153</v>
      </c>
      <c r="P126" s="1903" t="s">
        <v>153</v>
      </c>
      <c r="Q126" s="1903" t="s">
        <v>153</v>
      </c>
      <c r="R126" s="1903" t="s">
        <v>153</v>
      </c>
      <c r="S126" s="1891"/>
      <c r="T126" s="1891"/>
    </row>
    <row r="127" spans="1:20">
      <c r="A127" s="1911">
        <v>11.14</v>
      </c>
      <c r="B127" s="1911">
        <v>11.14</v>
      </c>
      <c r="C127" s="1911">
        <v>11.14</v>
      </c>
      <c r="D127" s="1911">
        <v>11.14</v>
      </c>
      <c r="E127" s="1911">
        <v>11.14</v>
      </c>
      <c r="F127" s="1911">
        <v>11.14</v>
      </c>
      <c r="G127" s="1903">
        <v>11.14</v>
      </c>
      <c r="H127" s="1903">
        <v>11.14</v>
      </c>
      <c r="I127" s="1903">
        <v>11.14</v>
      </c>
      <c r="J127" s="1907">
        <v>2.0099999999999998</v>
      </c>
      <c r="K127" s="1908" t="s">
        <v>153</v>
      </c>
      <c r="L127" s="1908" t="s">
        <v>153</v>
      </c>
      <c r="M127" s="1908" t="s">
        <v>153</v>
      </c>
      <c r="N127" s="1908" t="s">
        <v>153</v>
      </c>
      <c r="O127" s="1908" t="s">
        <v>153</v>
      </c>
      <c r="P127" s="1908" t="s">
        <v>153</v>
      </c>
      <c r="Q127" s="1908" t="s">
        <v>153</v>
      </c>
      <c r="R127" s="1908" t="s">
        <v>153</v>
      </c>
      <c r="S127" s="1891"/>
      <c r="T127" s="1891"/>
    </row>
    <row r="128" spans="1:20">
      <c r="A128" s="1912">
        <v>11.15</v>
      </c>
      <c r="B128" s="1912">
        <v>11.15</v>
      </c>
      <c r="C128" s="1912">
        <v>11.15</v>
      </c>
      <c r="D128" s="1912">
        <v>11.15</v>
      </c>
      <c r="E128" s="1912">
        <v>11.15</v>
      </c>
      <c r="F128" s="1912">
        <v>11.15</v>
      </c>
      <c r="G128" s="1907">
        <v>11.15</v>
      </c>
      <c r="H128" s="1907">
        <v>11.15</v>
      </c>
      <c r="I128" s="1907">
        <v>11.15</v>
      </c>
      <c r="J128" s="1903">
        <v>2.02</v>
      </c>
      <c r="K128" s="1903">
        <v>2.12</v>
      </c>
      <c r="L128" s="1903">
        <v>2.12</v>
      </c>
      <c r="M128" s="1903" t="s">
        <v>153</v>
      </c>
      <c r="N128" s="1903" t="s">
        <v>153</v>
      </c>
      <c r="O128" s="1903" t="s">
        <v>153</v>
      </c>
      <c r="P128" s="1903" t="s">
        <v>153</v>
      </c>
      <c r="Q128" s="1903" t="s">
        <v>153</v>
      </c>
      <c r="R128" s="1903" t="s">
        <v>153</v>
      </c>
      <c r="S128" s="1891"/>
      <c r="T128" s="1891"/>
    </row>
    <row r="129" spans="1:20">
      <c r="A129" s="1912">
        <v>11.16</v>
      </c>
      <c r="B129" s="1912">
        <v>11.16</v>
      </c>
      <c r="C129" s="1912">
        <v>11.16</v>
      </c>
      <c r="D129" s="1912">
        <v>11.16</v>
      </c>
      <c r="E129" s="1912">
        <v>11.16</v>
      </c>
      <c r="F129" s="1912" t="s">
        <v>153</v>
      </c>
      <c r="G129" s="1908" t="s">
        <v>153</v>
      </c>
      <c r="H129" s="1908" t="s">
        <v>153</v>
      </c>
      <c r="I129" s="1908" t="s">
        <v>153</v>
      </c>
      <c r="J129" s="1908" t="s">
        <v>153</v>
      </c>
      <c r="K129" s="1908" t="s">
        <v>153</v>
      </c>
      <c r="L129" s="1908" t="s">
        <v>153</v>
      </c>
      <c r="M129" s="1908" t="s">
        <v>153</v>
      </c>
      <c r="N129" s="1908" t="s">
        <v>153</v>
      </c>
      <c r="O129" s="1908" t="s">
        <v>153</v>
      </c>
      <c r="P129" s="1908" t="s">
        <v>153</v>
      </c>
      <c r="Q129" s="1908" t="s">
        <v>153</v>
      </c>
      <c r="R129" s="1908" t="s">
        <v>153</v>
      </c>
      <c r="S129" s="1891"/>
      <c r="T129" s="1891"/>
    </row>
    <row r="130" spans="1:20">
      <c r="A130" s="1904">
        <v>11.17</v>
      </c>
      <c r="B130" s="1904">
        <v>11.17</v>
      </c>
      <c r="C130" s="1904">
        <v>11.17</v>
      </c>
      <c r="D130" s="1904">
        <v>11.17</v>
      </c>
      <c r="E130" s="1904">
        <v>11.17</v>
      </c>
      <c r="F130" s="1904">
        <v>11.17</v>
      </c>
      <c r="G130" s="1903">
        <v>11.19</v>
      </c>
      <c r="H130" s="1903">
        <v>11.19</v>
      </c>
      <c r="I130" s="1903" t="s">
        <v>153</v>
      </c>
      <c r="J130" s="1903" t="s">
        <v>153</v>
      </c>
      <c r="K130" s="1903" t="s">
        <v>153</v>
      </c>
      <c r="L130" s="1903" t="s">
        <v>153</v>
      </c>
      <c r="M130" s="1903" t="s">
        <v>153</v>
      </c>
      <c r="N130" s="1903" t="s">
        <v>153</v>
      </c>
      <c r="O130" s="1903" t="s">
        <v>153</v>
      </c>
      <c r="P130" s="1903" t="s">
        <v>153</v>
      </c>
      <c r="Q130" s="1903" t="s">
        <v>153</v>
      </c>
      <c r="R130" s="1903" t="s">
        <v>153</v>
      </c>
      <c r="S130" s="1891"/>
      <c r="T130" s="1891"/>
    </row>
    <row r="131" spans="1:20">
      <c r="A131" s="1904">
        <v>11.18</v>
      </c>
      <c r="B131" s="1904">
        <v>11.18</v>
      </c>
      <c r="C131" s="1904">
        <v>11.18</v>
      </c>
      <c r="D131" s="1902" t="s">
        <v>153</v>
      </c>
      <c r="E131" s="1902" t="s">
        <v>153</v>
      </c>
      <c r="F131" s="1902" t="s">
        <v>153</v>
      </c>
      <c r="G131" s="1909" t="s">
        <v>153</v>
      </c>
      <c r="H131" s="1909" t="s">
        <v>153</v>
      </c>
      <c r="I131" s="1909" t="s">
        <v>153</v>
      </c>
      <c r="J131" s="1909" t="s">
        <v>153</v>
      </c>
      <c r="K131" s="1909" t="s">
        <v>153</v>
      </c>
      <c r="L131" s="1909" t="s">
        <v>153</v>
      </c>
      <c r="M131" s="1909" t="s">
        <v>153</v>
      </c>
      <c r="N131" s="1909" t="s">
        <v>153</v>
      </c>
      <c r="O131" s="1909" t="s">
        <v>153</v>
      </c>
      <c r="P131" s="1909" t="s">
        <v>153</v>
      </c>
      <c r="Q131" s="1909" t="s">
        <v>153</v>
      </c>
      <c r="R131" s="1909" t="s">
        <v>153</v>
      </c>
      <c r="S131" s="1891"/>
      <c r="T131" s="1891"/>
    </row>
    <row r="132" spans="1:20">
      <c r="A132" s="1912">
        <v>12.01</v>
      </c>
      <c r="B132" s="1912">
        <v>12.01</v>
      </c>
      <c r="C132" s="1912">
        <v>12.01</v>
      </c>
      <c r="D132" s="1912">
        <v>3.01</v>
      </c>
      <c r="E132" s="1912">
        <v>3.01</v>
      </c>
      <c r="F132" s="1912">
        <v>3.01</v>
      </c>
      <c r="G132" s="1903">
        <v>3.01</v>
      </c>
      <c r="H132" s="1903">
        <v>3.01</v>
      </c>
      <c r="I132" s="1903">
        <v>3.01</v>
      </c>
      <c r="J132" s="1903" t="s">
        <v>153</v>
      </c>
      <c r="K132" s="1903" t="s">
        <v>153</v>
      </c>
      <c r="L132" s="1903" t="s">
        <v>153</v>
      </c>
      <c r="M132" s="1903" t="s">
        <v>153</v>
      </c>
      <c r="N132" s="1903" t="s">
        <v>153</v>
      </c>
      <c r="O132" s="1903" t="s">
        <v>153</v>
      </c>
      <c r="P132" s="1903" t="s">
        <v>153</v>
      </c>
      <c r="Q132" s="1903" t="s">
        <v>153</v>
      </c>
      <c r="R132" s="1903" t="s">
        <v>153</v>
      </c>
      <c r="S132" s="1891"/>
      <c r="T132" s="1891"/>
    </row>
    <row r="133" spans="1:20">
      <c r="A133" s="1912">
        <v>12.02</v>
      </c>
      <c r="B133" s="1912">
        <v>12.02</v>
      </c>
      <c r="C133" s="1912">
        <v>12.02</v>
      </c>
      <c r="D133" s="1912">
        <v>3.02</v>
      </c>
      <c r="E133" s="1912">
        <v>3.02</v>
      </c>
      <c r="F133" s="1912">
        <v>3.02</v>
      </c>
      <c r="G133" s="1912">
        <v>3.02</v>
      </c>
      <c r="H133" s="1912">
        <v>3.02</v>
      </c>
      <c r="I133" s="1912">
        <v>3.02</v>
      </c>
      <c r="J133" s="1911" t="s">
        <v>235</v>
      </c>
      <c r="K133" s="1911" t="s">
        <v>235</v>
      </c>
      <c r="L133" s="1911" t="s">
        <v>235</v>
      </c>
      <c r="M133" s="1912" t="s">
        <v>153</v>
      </c>
      <c r="N133" s="1912" t="s">
        <v>153</v>
      </c>
      <c r="O133" s="1912" t="s">
        <v>153</v>
      </c>
      <c r="P133" s="1912" t="s">
        <v>153</v>
      </c>
      <c r="Q133" s="1912" t="s">
        <v>153</v>
      </c>
      <c r="R133" s="1912" t="s">
        <v>153</v>
      </c>
      <c r="S133" s="1891"/>
      <c r="T133" s="1891"/>
    </row>
    <row r="134" spans="1:20">
      <c r="A134" s="1912">
        <v>12.03</v>
      </c>
      <c r="B134" s="1912">
        <v>12.03</v>
      </c>
      <c r="C134" s="1912">
        <v>12.03</v>
      </c>
      <c r="D134" s="1912">
        <v>3.03</v>
      </c>
      <c r="E134" s="1912">
        <v>3.03</v>
      </c>
      <c r="F134" s="1912">
        <v>3.03</v>
      </c>
      <c r="G134" s="1908">
        <v>3.03</v>
      </c>
      <c r="H134" s="1908">
        <v>3.03</v>
      </c>
      <c r="I134" s="1908">
        <v>3.03</v>
      </c>
      <c r="J134" s="1907" t="s">
        <v>236</v>
      </c>
      <c r="K134" s="1907" t="s">
        <v>236</v>
      </c>
      <c r="L134" s="1907" t="s">
        <v>236</v>
      </c>
      <c r="M134" s="1908" t="s">
        <v>153</v>
      </c>
      <c r="N134" s="1908" t="s">
        <v>153</v>
      </c>
      <c r="O134" s="1908" t="s">
        <v>153</v>
      </c>
      <c r="P134" s="1908" t="s">
        <v>153</v>
      </c>
      <c r="Q134" s="1908" t="s">
        <v>153</v>
      </c>
      <c r="R134" s="1908" t="s">
        <v>153</v>
      </c>
      <c r="S134" s="1891"/>
      <c r="T134" s="1891"/>
    </row>
    <row r="135" spans="1:20">
      <c r="A135" s="1912">
        <v>12.04</v>
      </c>
      <c r="B135" s="1912">
        <v>12.04</v>
      </c>
      <c r="C135" s="1912">
        <v>12.04</v>
      </c>
      <c r="D135" s="1912">
        <v>3.04</v>
      </c>
      <c r="E135" s="1912">
        <v>3.04</v>
      </c>
      <c r="F135" s="1912">
        <v>3.04</v>
      </c>
      <c r="G135" s="1908">
        <v>3.04</v>
      </c>
      <c r="H135" s="1908">
        <v>3.04</v>
      </c>
      <c r="I135" s="1908">
        <v>3.04</v>
      </c>
      <c r="J135" s="1907" t="s">
        <v>237</v>
      </c>
      <c r="K135" s="1907" t="s">
        <v>237</v>
      </c>
      <c r="L135" s="1907" t="s">
        <v>237</v>
      </c>
      <c r="M135" s="1908" t="s">
        <v>153</v>
      </c>
      <c r="N135" s="1908" t="s">
        <v>153</v>
      </c>
      <c r="O135" s="1908" t="s">
        <v>153</v>
      </c>
      <c r="P135" s="1908" t="s">
        <v>153</v>
      </c>
      <c r="Q135" s="1908" t="s">
        <v>153</v>
      </c>
      <c r="R135" s="1908" t="s">
        <v>153</v>
      </c>
      <c r="S135" s="1891"/>
      <c r="T135" s="1891"/>
    </row>
    <row r="136" spans="1:20">
      <c r="A136" s="1912">
        <v>12.05</v>
      </c>
      <c r="B136" s="1912">
        <v>12.05</v>
      </c>
      <c r="C136" s="1912">
        <v>12.05</v>
      </c>
      <c r="D136" s="1912">
        <v>3.05</v>
      </c>
      <c r="E136" s="1912">
        <v>3.05</v>
      </c>
      <c r="F136" s="1912">
        <v>3.05</v>
      </c>
      <c r="G136" s="1903">
        <v>3.05</v>
      </c>
      <c r="H136" s="1903">
        <v>3.05</v>
      </c>
      <c r="I136" s="1903">
        <v>3.05</v>
      </c>
      <c r="J136" s="1908">
        <v>3.07</v>
      </c>
      <c r="K136" s="1908">
        <v>3.07</v>
      </c>
      <c r="L136" s="1908">
        <v>3.07</v>
      </c>
      <c r="M136" s="1908">
        <v>3.07</v>
      </c>
      <c r="N136" s="1906" t="s">
        <v>153</v>
      </c>
      <c r="O136" s="1909" t="s">
        <v>153</v>
      </c>
      <c r="P136" s="1909" t="s">
        <v>153</v>
      </c>
      <c r="Q136" s="1909" t="s">
        <v>153</v>
      </c>
      <c r="R136" s="1909" t="s">
        <v>153</v>
      </c>
      <c r="S136" s="1891"/>
      <c r="T136" s="1891"/>
    </row>
    <row r="137" spans="1:20">
      <c r="A137" s="1912">
        <v>12.06</v>
      </c>
      <c r="B137" s="1912">
        <v>12.06</v>
      </c>
      <c r="C137" s="1912">
        <v>12.06</v>
      </c>
      <c r="D137" s="1912">
        <v>3.06</v>
      </c>
      <c r="E137" s="1912">
        <v>3.06</v>
      </c>
      <c r="F137" s="1912">
        <v>3.06</v>
      </c>
      <c r="G137" s="1903">
        <v>3.06</v>
      </c>
      <c r="H137" s="1903">
        <v>3.06</v>
      </c>
      <c r="I137" s="1903">
        <v>3.06</v>
      </c>
      <c r="J137" s="1908">
        <v>3.08</v>
      </c>
      <c r="K137" s="1908">
        <v>3.08</v>
      </c>
      <c r="L137" s="1908">
        <v>3.08</v>
      </c>
      <c r="M137" s="1908">
        <v>3.08</v>
      </c>
      <c r="N137" s="1906" t="s">
        <v>153</v>
      </c>
      <c r="O137" s="1909" t="s">
        <v>153</v>
      </c>
      <c r="P137" s="1909" t="s">
        <v>153</v>
      </c>
      <c r="Q137" s="1909" t="s">
        <v>153</v>
      </c>
      <c r="R137" s="1909" t="s">
        <v>153</v>
      </c>
      <c r="S137" s="1891"/>
      <c r="T137" s="1891"/>
    </row>
    <row r="138" spans="1:20">
      <c r="A138" s="1912">
        <v>12.07</v>
      </c>
      <c r="B138" s="1912">
        <v>12.07</v>
      </c>
      <c r="C138" s="1912">
        <v>12.07</v>
      </c>
      <c r="D138" s="1912">
        <v>3.07</v>
      </c>
      <c r="E138" s="1912">
        <v>3.07</v>
      </c>
      <c r="F138" s="1912">
        <v>3.07</v>
      </c>
      <c r="G138" s="1903">
        <v>3.07</v>
      </c>
      <c r="H138" s="1903">
        <v>3.07</v>
      </c>
      <c r="I138" s="1903">
        <v>3.07</v>
      </c>
      <c r="J138" s="1908">
        <v>3.09</v>
      </c>
      <c r="K138" s="1908">
        <v>3.09</v>
      </c>
      <c r="L138" s="1908">
        <v>3.09</v>
      </c>
      <c r="M138" s="1908">
        <v>3.09</v>
      </c>
      <c r="N138" s="1906" t="s">
        <v>153</v>
      </c>
      <c r="O138" s="1909" t="s">
        <v>153</v>
      </c>
      <c r="P138" s="1909" t="s">
        <v>153</v>
      </c>
      <c r="Q138" s="1909" t="s">
        <v>153</v>
      </c>
      <c r="R138" s="1909" t="s">
        <v>153</v>
      </c>
      <c r="S138" s="1891"/>
      <c r="T138" s="1891"/>
    </row>
    <row r="139" spans="1:20">
      <c r="A139" s="1911" t="s">
        <v>153</v>
      </c>
      <c r="B139" s="1912" t="s">
        <v>153</v>
      </c>
      <c r="C139" s="1912">
        <v>7.02</v>
      </c>
      <c r="D139" s="1912">
        <v>7.02</v>
      </c>
      <c r="E139" s="1912">
        <v>7.02</v>
      </c>
      <c r="F139" s="1912">
        <v>7.02</v>
      </c>
      <c r="G139" s="1908">
        <v>7.02</v>
      </c>
      <c r="H139" s="1908">
        <v>7.02</v>
      </c>
      <c r="I139" s="1908">
        <v>7.02</v>
      </c>
      <c r="J139" s="1908">
        <v>7.02</v>
      </c>
      <c r="K139" s="1908">
        <v>7.02</v>
      </c>
      <c r="L139" s="1908">
        <v>7.02</v>
      </c>
      <c r="M139" s="1908">
        <v>7.02</v>
      </c>
      <c r="N139" s="1906">
        <v>7.02</v>
      </c>
      <c r="O139" s="1906" t="s">
        <v>238</v>
      </c>
      <c r="P139" s="1906" t="s">
        <v>238</v>
      </c>
      <c r="Q139" s="1906" t="s">
        <v>238</v>
      </c>
      <c r="R139" s="1906" t="s">
        <v>238</v>
      </c>
      <c r="S139" s="1891"/>
      <c r="T139" s="1891"/>
    </row>
    <row r="140" spans="1:20">
      <c r="A140" s="1911" t="s">
        <v>153</v>
      </c>
      <c r="B140" s="1912" t="s">
        <v>153</v>
      </c>
      <c r="C140" s="1912">
        <v>7.03</v>
      </c>
      <c r="D140" s="1912">
        <v>7.03</v>
      </c>
      <c r="E140" s="1912">
        <v>7.03</v>
      </c>
      <c r="F140" s="1912">
        <v>7.03</v>
      </c>
      <c r="G140" s="1908">
        <v>7.03</v>
      </c>
      <c r="H140" s="1908">
        <v>7.03</v>
      </c>
      <c r="I140" s="1908">
        <v>7.03</v>
      </c>
      <c r="J140" s="1908">
        <v>7.03</v>
      </c>
      <c r="K140" s="1908">
        <v>7.03</v>
      </c>
      <c r="L140" s="1908">
        <v>7.03</v>
      </c>
      <c r="M140" s="1908">
        <v>7.03</v>
      </c>
      <c r="N140" s="1906">
        <v>7.03</v>
      </c>
      <c r="O140" s="1906" t="s">
        <v>239</v>
      </c>
      <c r="P140" s="1906" t="s">
        <v>239</v>
      </c>
      <c r="Q140" s="1906" t="s">
        <v>239</v>
      </c>
      <c r="R140" s="1906" t="s">
        <v>239</v>
      </c>
      <c r="S140" s="1891"/>
      <c r="T140" s="1891"/>
    </row>
    <row r="141" spans="1:20">
      <c r="A141" s="1912" t="s">
        <v>153</v>
      </c>
      <c r="B141" s="1911" t="s">
        <v>153</v>
      </c>
      <c r="C141" s="1911">
        <v>7.04</v>
      </c>
      <c r="D141" s="1911">
        <v>7.04</v>
      </c>
      <c r="E141" s="1911">
        <v>7.04</v>
      </c>
      <c r="F141" s="1911">
        <v>7.04</v>
      </c>
      <c r="G141" s="1908">
        <v>7.04</v>
      </c>
      <c r="H141" s="1908">
        <v>7.04</v>
      </c>
      <c r="I141" s="1908">
        <v>7.04</v>
      </c>
      <c r="J141" s="1908">
        <v>7.04</v>
      </c>
      <c r="K141" s="1908">
        <v>7.04</v>
      </c>
      <c r="L141" s="1908">
        <v>7.04</v>
      </c>
      <c r="M141" s="1908">
        <v>7.04</v>
      </c>
      <c r="N141" s="1906">
        <v>7.04</v>
      </c>
      <c r="O141" s="1906" t="s">
        <v>240</v>
      </c>
      <c r="P141" s="1906" t="s">
        <v>240</v>
      </c>
      <c r="Q141" s="1906" t="s">
        <v>240</v>
      </c>
      <c r="R141" s="1906" t="s">
        <v>240</v>
      </c>
      <c r="S141" s="1891"/>
      <c r="T141" s="1891"/>
    </row>
    <row r="142" spans="1:20">
      <c r="A142" s="1911" t="s">
        <v>153</v>
      </c>
      <c r="B142" s="1911" t="s">
        <v>153</v>
      </c>
      <c r="C142" s="1911">
        <v>7.05</v>
      </c>
      <c r="D142" s="1911">
        <v>7.05</v>
      </c>
      <c r="E142" s="1911">
        <v>7.05</v>
      </c>
      <c r="F142" s="1911">
        <v>7.05</v>
      </c>
      <c r="G142" s="1908">
        <v>7.05</v>
      </c>
      <c r="H142" s="1908">
        <v>7.05</v>
      </c>
      <c r="I142" s="1908">
        <v>7.05</v>
      </c>
      <c r="J142" s="1908">
        <v>7.05</v>
      </c>
      <c r="K142" s="1908">
        <v>7.05</v>
      </c>
      <c r="L142" s="1908">
        <v>7.05</v>
      </c>
      <c r="M142" s="1908">
        <v>7.05</v>
      </c>
      <c r="N142" s="1906">
        <v>7.05</v>
      </c>
      <c r="O142" s="1906" t="s">
        <v>241</v>
      </c>
      <c r="P142" s="1906" t="s">
        <v>241</v>
      </c>
      <c r="Q142" s="1906" t="s">
        <v>241</v>
      </c>
      <c r="R142" s="1906" t="s">
        <v>241</v>
      </c>
      <c r="S142" s="1891"/>
      <c r="T142" s="1891"/>
    </row>
    <row r="143" spans="1:20">
      <c r="A143" s="1911" t="s">
        <v>153</v>
      </c>
      <c r="B143" s="1911" t="s">
        <v>153</v>
      </c>
      <c r="C143" s="1911">
        <v>8.0500000000000007</v>
      </c>
      <c r="D143" s="1911">
        <v>8.0500000000000007</v>
      </c>
      <c r="E143" s="1911">
        <v>8.0500000000000007</v>
      </c>
      <c r="F143" s="1911">
        <v>8.0500000000000007</v>
      </c>
      <c r="G143" s="1908">
        <v>8.0500000000000007</v>
      </c>
      <c r="H143" s="1908">
        <v>8.0500000000000007</v>
      </c>
      <c r="I143" s="1908">
        <v>8.0500000000000007</v>
      </c>
      <c r="J143" s="1903">
        <v>8.0500000000000007</v>
      </c>
      <c r="K143" s="1903">
        <v>8.0500000000000007</v>
      </c>
      <c r="L143" s="1903">
        <v>8.0500000000000007</v>
      </c>
      <c r="M143" s="1903">
        <v>8.0500000000000007</v>
      </c>
      <c r="N143" s="1905">
        <v>8.0500000000000007</v>
      </c>
      <c r="O143" s="1906" t="s">
        <v>242</v>
      </c>
      <c r="P143" s="1906" t="s">
        <v>242</v>
      </c>
      <c r="Q143" s="1906" t="s">
        <v>242</v>
      </c>
      <c r="R143" s="1906" t="s">
        <v>242</v>
      </c>
      <c r="S143" s="1891"/>
      <c r="T143" s="1891"/>
    </row>
    <row r="144" spans="1:20">
      <c r="A144" s="1911" t="s">
        <v>153</v>
      </c>
      <c r="B144" s="1911" t="s">
        <v>153</v>
      </c>
      <c r="C144" s="1911">
        <v>8.06</v>
      </c>
      <c r="D144" s="1911">
        <v>8.06</v>
      </c>
      <c r="E144" s="1911">
        <v>8.06</v>
      </c>
      <c r="F144" s="1911">
        <v>8.06</v>
      </c>
      <c r="G144" s="1908">
        <v>8.06</v>
      </c>
      <c r="H144" s="1908">
        <v>8.06</v>
      </c>
      <c r="I144" s="1908">
        <v>8.06</v>
      </c>
      <c r="J144" s="1903">
        <v>8.06</v>
      </c>
      <c r="K144" s="1903">
        <v>8.06</v>
      </c>
      <c r="L144" s="1903">
        <v>8.06</v>
      </c>
      <c r="M144" s="1903">
        <v>8.06</v>
      </c>
      <c r="N144" s="1905">
        <v>8.06</v>
      </c>
      <c r="O144" s="1906" t="s">
        <v>243</v>
      </c>
      <c r="P144" s="1906" t="s">
        <v>243</v>
      </c>
      <c r="Q144" s="1906" t="s">
        <v>243</v>
      </c>
      <c r="R144" s="1906" t="s">
        <v>243</v>
      </c>
      <c r="S144" s="1891"/>
      <c r="T144" s="1891"/>
    </row>
    <row r="145" spans="1:20">
      <c r="A145" s="1912" t="s">
        <v>153</v>
      </c>
      <c r="B145" s="1912" t="s">
        <v>153</v>
      </c>
      <c r="C145" s="1912" t="s">
        <v>244</v>
      </c>
      <c r="D145" s="1912" t="s">
        <v>244</v>
      </c>
      <c r="E145" s="1912" t="s">
        <v>244</v>
      </c>
      <c r="F145" s="1912" t="s">
        <v>244</v>
      </c>
      <c r="G145" s="1908" t="s">
        <v>244</v>
      </c>
      <c r="H145" s="1908" t="s">
        <v>244</v>
      </c>
      <c r="I145" s="1908" t="s">
        <v>244</v>
      </c>
      <c r="J145" s="1903">
        <v>8.11</v>
      </c>
      <c r="K145" s="1903">
        <v>8.11</v>
      </c>
      <c r="L145" s="1903" t="s">
        <v>153</v>
      </c>
      <c r="M145" s="1903" t="s">
        <v>153</v>
      </c>
      <c r="N145" s="1903" t="s">
        <v>153</v>
      </c>
      <c r="O145" s="1903" t="s">
        <v>153</v>
      </c>
      <c r="P145" s="1903" t="s">
        <v>153</v>
      </c>
      <c r="Q145" s="1903" t="s">
        <v>153</v>
      </c>
      <c r="R145" s="1903" t="s">
        <v>153</v>
      </c>
      <c r="S145" s="1891"/>
      <c r="T145" s="1891"/>
    </row>
    <row r="146" spans="1:20">
      <c r="A146" s="1911" t="s">
        <v>153</v>
      </c>
      <c r="B146" s="1911" t="s">
        <v>153</v>
      </c>
      <c r="C146" s="1911">
        <v>8.1199999999999992</v>
      </c>
      <c r="D146" s="1911">
        <v>8.1199999999999992</v>
      </c>
      <c r="E146" s="1911">
        <v>8.1199999999999992</v>
      </c>
      <c r="F146" s="1911">
        <v>8.1199999999999992</v>
      </c>
      <c r="G146" s="1908">
        <v>8.1199999999999992</v>
      </c>
      <c r="H146" s="1908">
        <v>8.1199999999999992</v>
      </c>
      <c r="I146" s="1908">
        <v>8.1199999999999992</v>
      </c>
      <c r="J146" s="1903">
        <v>8.02</v>
      </c>
      <c r="K146" s="1903">
        <v>8.1199999999999992</v>
      </c>
      <c r="L146" s="1903" t="s">
        <v>153</v>
      </c>
      <c r="M146" s="1903" t="s">
        <v>153</v>
      </c>
      <c r="N146" s="1903" t="s">
        <v>153</v>
      </c>
      <c r="O146" s="1903" t="s">
        <v>153</v>
      </c>
      <c r="P146" s="1903" t="s">
        <v>153</v>
      </c>
      <c r="Q146" s="1903" t="s">
        <v>153</v>
      </c>
      <c r="R146" s="1903" t="s">
        <v>153</v>
      </c>
      <c r="S146" s="1891"/>
      <c r="T146" s="1891"/>
    </row>
    <row r="147" spans="1:20">
      <c r="A147" s="1911" t="s">
        <v>153</v>
      </c>
      <c r="B147" s="1911" t="s">
        <v>153</v>
      </c>
      <c r="C147" s="1911" t="s">
        <v>153</v>
      </c>
      <c r="D147" s="1911">
        <v>9.01</v>
      </c>
      <c r="E147" s="1911">
        <v>9.01</v>
      </c>
      <c r="F147" s="1911">
        <v>9.01</v>
      </c>
      <c r="G147" s="1903">
        <v>9.01</v>
      </c>
      <c r="H147" s="1903">
        <v>9.01</v>
      </c>
      <c r="I147" s="1903">
        <v>9.01</v>
      </c>
      <c r="J147" s="1903">
        <v>9.01</v>
      </c>
      <c r="K147" s="1903">
        <v>9.01</v>
      </c>
      <c r="L147" s="1903" t="s">
        <v>153</v>
      </c>
      <c r="M147" s="1903" t="s">
        <v>153</v>
      </c>
      <c r="N147" s="1903" t="s">
        <v>153</v>
      </c>
      <c r="O147" s="1909" t="s">
        <v>153</v>
      </c>
      <c r="P147" s="1909" t="s">
        <v>153</v>
      </c>
      <c r="Q147" s="1909" t="s">
        <v>153</v>
      </c>
      <c r="R147" s="1909" t="s">
        <v>153</v>
      </c>
      <c r="S147" s="1891"/>
      <c r="T147" s="1891"/>
    </row>
    <row r="148" spans="1:20">
      <c r="A148" s="1911" t="s">
        <v>153</v>
      </c>
      <c r="B148" s="1911" t="s">
        <v>153</v>
      </c>
      <c r="C148" s="1911" t="s">
        <v>153</v>
      </c>
      <c r="D148" s="1911">
        <v>9.02</v>
      </c>
      <c r="E148" s="1911">
        <v>9.02</v>
      </c>
      <c r="F148" s="1911">
        <v>9.02</v>
      </c>
      <c r="G148" s="1903">
        <v>9.02</v>
      </c>
      <c r="H148" s="1903">
        <v>9.02</v>
      </c>
      <c r="I148" s="1903">
        <v>9.02</v>
      </c>
      <c r="J148" s="1903">
        <v>9.02</v>
      </c>
      <c r="K148" s="1903">
        <v>9.02</v>
      </c>
      <c r="L148" s="1903">
        <v>9.02</v>
      </c>
      <c r="M148" s="1903">
        <v>9.02</v>
      </c>
      <c r="N148" s="1905">
        <v>9.02</v>
      </c>
      <c r="O148" s="1909" t="s">
        <v>153</v>
      </c>
      <c r="P148" s="1909" t="s">
        <v>153</v>
      </c>
      <c r="Q148" s="1909" t="s">
        <v>153</v>
      </c>
      <c r="R148" s="1909" t="s">
        <v>153</v>
      </c>
      <c r="S148" s="1891"/>
      <c r="T148" s="1891"/>
    </row>
    <row r="149" spans="1:20">
      <c r="A149" s="1911" t="s">
        <v>153</v>
      </c>
      <c r="B149" s="1911" t="s">
        <v>153</v>
      </c>
      <c r="C149" s="1911" t="s">
        <v>153</v>
      </c>
      <c r="D149" s="1911">
        <v>9.0500000000000007</v>
      </c>
      <c r="E149" s="1911">
        <v>9.0500000000000007</v>
      </c>
      <c r="F149" s="1911">
        <v>9.0500000000000007</v>
      </c>
      <c r="G149" s="1903">
        <v>9.0500000000000007</v>
      </c>
      <c r="H149" s="1903">
        <v>9.0500000000000007</v>
      </c>
      <c r="I149" s="1903">
        <v>9.0500000000000007</v>
      </c>
      <c r="J149" s="1903">
        <v>9.0500000000000007</v>
      </c>
      <c r="K149" s="1903">
        <v>9.0500000000000007</v>
      </c>
      <c r="L149" s="1903">
        <v>9.0500000000000007</v>
      </c>
      <c r="M149" s="1903">
        <v>9.0500000000000007</v>
      </c>
      <c r="N149" s="1916" t="s">
        <v>153</v>
      </c>
      <c r="O149" s="1909" t="s">
        <v>153</v>
      </c>
      <c r="P149" s="1909" t="s">
        <v>153</v>
      </c>
      <c r="Q149" s="1909" t="s">
        <v>153</v>
      </c>
      <c r="R149" s="1909" t="s">
        <v>153</v>
      </c>
      <c r="S149" s="1891"/>
      <c r="T149" s="1891"/>
    </row>
    <row r="150" spans="1:20">
      <c r="A150" s="1911" t="s">
        <v>153</v>
      </c>
      <c r="B150" s="1911" t="s">
        <v>153</v>
      </c>
      <c r="C150" s="1911" t="s">
        <v>153</v>
      </c>
      <c r="D150" s="1911">
        <v>9.06</v>
      </c>
      <c r="E150" s="1911">
        <v>9.06</v>
      </c>
      <c r="F150" s="1911">
        <v>9.06</v>
      </c>
      <c r="G150" s="1917">
        <v>9.06</v>
      </c>
      <c r="H150" s="1917">
        <v>9.06</v>
      </c>
      <c r="I150" s="1917">
        <v>9.06</v>
      </c>
      <c r="J150" s="1903">
        <v>9.06</v>
      </c>
      <c r="K150" s="1903">
        <v>9.06</v>
      </c>
      <c r="L150" s="1903">
        <v>9.06</v>
      </c>
      <c r="M150" s="1903">
        <v>9.06</v>
      </c>
      <c r="N150" s="1905" t="s">
        <v>153</v>
      </c>
      <c r="O150" s="1906" t="s">
        <v>153</v>
      </c>
      <c r="P150" s="1906" t="s">
        <v>153</v>
      </c>
      <c r="Q150" s="1906" t="s">
        <v>153</v>
      </c>
      <c r="R150" s="1906" t="s">
        <v>153</v>
      </c>
      <c r="S150" s="1891"/>
      <c r="T150" s="1891"/>
    </row>
    <row r="151" spans="1:20">
      <c r="A151" s="1907" t="s">
        <v>153</v>
      </c>
      <c r="B151" s="1911" t="s">
        <v>153</v>
      </c>
      <c r="C151" s="1911" t="s">
        <v>153</v>
      </c>
      <c r="D151" s="1911">
        <v>9.07</v>
      </c>
      <c r="E151" s="1911">
        <v>9.07</v>
      </c>
      <c r="F151" s="1911">
        <v>9.07</v>
      </c>
      <c r="G151" s="1903">
        <v>9.07</v>
      </c>
      <c r="H151" s="1903">
        <v>9.07</v>
      </c>
      <c r="I151" s="1903">
        <v>9.07</v>
      </c>
      <c r="J151" s="1907">
        <v>9.2100000000000009</v>
      </c>
      <c r="K151" s="1908" t="s">
        <v>153</v>
      </c>
      <c r="L151" s="1908" t="s">
        <v>153</v>
      </c>
      <c r="M151" s="1908" t="s">
        <v>153</v>
      </c>
      <c r="N151" s="1908" t="s">
        <v>153</v>
      </c>
      <c r="O151" s="1908" t="s">
        <v>153</v>
      </c>
      <c r="P151" s="1908" t="s">
        <v>153</v>
      </c>
      <c r="Q151" s="1908" t="s">
        <v>153</v>
      </c>
      <c r="R151" s="1908" t="s">
        <v>153</v>
      </c>
      <c r="S151" s="1891"/>
      <c r="T151" s="1891"/>
    </row>
    <row r="152" spans="1:20">
      <c r="A152" s="1911" t="s">
        <v>153</v>
      </c>
      <c r="B152" s="1911" t="s">
        <v>153</v>
      </c>
      <c r="C152" s="1911" t="s">
        <v>153</v>
      </c>
      <c r="D152" s="1911">
        <v>9.08</v>
      </c>
      <c r="E152" s="1911">
        <v>9.08</v>
      </c>
      <c r="F152" s="1911">
        <v>9.08</v>
      </c>
      <c r="G152" s="1903">
        <v>9.08</v>
      </c>
      <c r="H152" s="1903">
        <v>9.08</v>
      </c>
      <c r="I152" s="1903">
        <v>9.08</v>
      </c>
      <c r="J152" s="1903">
        <v>9.08</v>
      </c>
      <c r="K152" s="1903">
        <v>9.08</v>
      </c>
      <c r="L152" s="1903">
        <v>9.08</v>
      </c>
      <c r="M152" s="1903">
        <v>9.08</v>
      </c>
      <c r="N152" s="1905" t="s">
        <v>153</v>
      </c>
      <c r="O152" s="1906" t="s">
        <v>153</v>
      </c>
      <c r="P152" s="1906" t="s">
        <v>153</v>
      </c>
      <c r="Q152" s="1906" t="s">
        <v>153</v>
      </c>
      <c r="R152" s="1906" t="s">
        <v>153</v>
      </c>
      <c r="S152" s="1891"/>
      <c r="T152" s="1891"/>
    </row>
    <row r="153" spans="1:20">
      <c r="A153" s="1900" t="s">
        <v>153</v>
      </c>
      <c r="B153" s="1900" t="s">
        <v>153</v>
      </c>
      <c r="C153" s="1900" t="s">
        <v>153</v>
      </c>
      <c r="D153" s="1900" t="s">
        <v>153</v>
      </c>
      <c r="E153" s="1900" t="s">
        <v>153</v>
      </c>
      <c r="F153" s="1900">
        <v>1.1399999999999999</v>
      </c>
      <c r="G153" s="1903">
        <v>1.1399999999999999</v>
      </c>
      <c r="H153" s="1903" t="s">
        <v>153</v>
      </c>
      <c r="I153" s="1903" t="s">
        <v>153</v>
      </c>
      <c r="J153" s="1903" t="s">
        <v>153</v>
      </c>
      <c r="K153" s="1903" t="s">
        <v>153</v>
      </c>
      <c r="L153" s="1903" t="s">
        <v>153</v>
      </c>
      <c r="M153" s="1903" t="s">
        <v>153</v>
      </c>
      <c r="N153" s="1905" t="s">
        <v>153</v>
      </c>
      <c r="O153" s="1905" t="s">
        <v>153</v>
      </c>
      <c r="P153" s="1905" t="s">
        <v>153</v>
      </c>
      <c r="Q153" s="1905" t="s">
        <v>153</v>
      </c>
      <c r="R153" s="1905" t="s">
        <v>153</v>
      </c>
      <c r="S153" s="1891"/>
      <c r="T153" s="1891"/>
    </row>
    <row r="154" spans="1:20">
      <c r="A154" s="1900" t="s">
        <v>153</v>
      </c>
      <c r="B154" s="1900" t="s">
        <v>153</v>
      </c>
      <c r="C154" s="1900" t="s">
        <v>153</v>
      </c>
      <c r="D154" s="1900" t="s">
        <v>153</v>
      </c>
      <c r="E154" s="1900" t="s">
        <v>153</v>
      </c>
      <c r="F154" s="1900">
        <v>1.1499999999999999</v>
      </c>
      <c r="G154" s="1903">
        <v>1.1499999999999999</v>
      </c>
      <c r="H154" s="1908" t="s">
        <v>153</v>
      </c>
      <c r="I154" s="1908" t="s">
        <v>153</v>
      </c>
      <c r="J154" s="1908" t="s">
        <v>153</v>
      </c>
      <c r="K154" s="1908" t="s">
        <v>153</v>
      </c>
      <c r="L154" s="1908" t="s">
        <v>153</v>
      </c>
      <c r="M154" s="1908" t="s">
        <v>153</v>
      </c>
      <c r="N154" s="1906" t="s">
        <v>153</v>
      </c>
      <c r="O154" s="1906" t="s">
        <v>153</v>
      </c>
      <c r="P154" s="1906" t="s">
        <v>153</v>
      </c>
      <c r="Q154" s="1906" t="s">
        <v>153</v>
      </c>
      <c r="R154" s="1906" t="s">
        <v>153</v>
      </c>
      <c r="S154" s="1891"/>
      <c r="T154" s="1891"/>
    </row>
    <row r="155" spans="1:20">
      <c r="A155" s="1908" t="s">
        <v>153</v>
      </c>
      <c r="B155" s="1908" t="s">
        <v>153</v>
      </c>
      <c r="C155" s="1908" t="s">
        <v>153</v>
      </c>
      <c r="D155" s="1908" t="s">
        <v>153</v>
      </c>
      <c r="E155" s="1908" t="s">
        <v>153</v>
      </c>
      <c r="F155" s="1908">
        <v>2.08</v>
      </c>
      <c r="G155" s="1908">
        <v>2.08</v>
      </c>
      <c r="H155" s="1908">
        <v>2.08</v>
      </c>
      <c r="I155" s="1908">
        <v>2.08</v>
      </c>
      <c r="J155" s="1908">
        <v>2.08</v>
      </c>
      <c r="K155" s="1908">
        <v>2.08</v>
      </c>
      <c r="L155" s="1908">
        <v>2.08</v>
      </c>
      <c r="M155" s="1908">
        <v>2.08</v>
      </c>
      <c r="N155" s="1906">
        <v>2.08</v>
      </c>
      <c r="O155" s="1906" t="s">
        <v>245</v>
      </c>
      <c r="P155" s="1906" t="s">
        <v>245</v>
      </c>
      <c r="Q155" s="1906" t="s">
        <v>163</v>
      </c>
      <c r="R155" s="1906" t="s">
        <v>153</v>
      </c>
      <c r="S155" s="1891"/>
      <c r="T155" s="1891"/>
    </row>
    <row r="156" spans="1:20">
      <c r="A156" s="1908" t="s">
        <v>153</v>
      </c>
      <c r="B156" s="1908" t="s">
        <v>153</v>
      </c>
      <c r="C156" s="1908" t="s">
        <v>153</v>
      </c>
      <c r="D156" s="1908" t="s">
        <v>153</v>
      </c>
      <c r="E156" s="1908" t="s">
        <v>153</v>
      </c>
      <c r="F156" s="1908" t="s">
        <v>80</v>
      </c>
      <c r="G156" s="1908" t="s">
        <v>80</v>
      </c>
      <c r="H156" s="1908" t="s">
        <v>80</v>
      </c>
      <c r="I156" s="1908" t="s">
        <v>80</v>
      </c>
      <c r="J156" s="1913" t="s">
        <v>80</v>
      </c>
      <c r="K156" s="1913" t="s">
        <v>80</v>
      </c>
      <c r="L156" s="1913" t="s">
        <v>80</v>
      </c>
      <c r="M156" s="1913" t="s">
        <v>80</v>
      </c>
      <c r="N156" s="1905" t="s">
        <v>153</v>
      </c>
      <c r="O156" s="1909" t="s">
        <v>153</v>
      </c>
      <c r="P156" s="1909" t="s">
        <v>153</v>
      </c>
      <c r="Q156" s="1909" t="s">
        <v>153</v>
      </c>
      <c r="R156" s="1909" t="s">
        <v>153</v>
      </c>
      <c r="S156" s="1891"/>
      <c r="T156" s="1891"/>
    </row>
    <row r="157" spans="1:20">
      <c r="A157" s="1908" t="s">
        <v>153</v>
      </c>
      <c r="B157" s="1908" t="s">
        <v>153</v>
      </c>
      <c r="C157" s="1908" t="s">
        <v>153</v>
      </c>
      <c r="D157" s="1908" t="s">
        <v>153</v>
      </c>
      <c r="E157" s="1908" t="s">
        <v>153</v>
      </c>
      <c r="F157" s="1908">
        <v>2.23</v>
      </c>
      <c r="G157" s="1903">
        <v>2.23</v>
      </c>
      <c r="H157" s="1903">
        <v>2.23</v>
      </c>
      <c r="I157" s="1903">
        <v>2.23</v>
      </c>
      <c r="J157" s="1903">
        <v>1.4</v>
      </c>
      <c r="K157" s="1903">
        <v>1.4</v>
      </c>
      <c r="L157" s="1903">
        <v>1.4</v>
      </c>
      <c r="M157" s="1903">
        <v>1.4</v>
      </c>
      <c r="N157" s="1905" t="s">
        <v>153</v>
      </c>
      <c r="O157" s="1906" t="s">
        <v>246</v>
      </c>
      <c r="P157" s="1906" t="s">
        <v>246</v>
      </c>
      <c r="Q157" s="1906" t="s">
        <v>246</v>
      </c>
      <c r="R157" s="1906" t="s">
        <v>246</v>
      </c>
      <c r="S157" s="1891"/>
      <c r="T157" s="1891"/>
    </row>
    <row r="158" spans="1:20">
      <c r="A158" s="1908" t="s">
        <v>153</v>
      </c>
      <c r="B158" s="1908" t="s">
        <v>153</v>
      </c>
      <c r="C158" s="1908" t="s">
        <v>153</v>
      </c>
      <c r="D158" s="1908" t="s">
        <v>153</v>
      </c>
      <c r="E158" s="1908" t="s">
        <v>153</v>
      </c>
      <c r="F158" s="1908">
        <v>3.11</v>
      </c>
      <c r="G158" s="1903">
        <v>3.11</v>
      </c>
      <c r="H158" s="1903">
        <v>3.11</v>
      </c>
      <c r="I158" s="1903">
        <v>3.11</v>
      </c>
      <c r="J158" s="1903">
        <v>1.1200000000000001</v>
      </c>
      <c r="K158" s="1903">
        <v>1.1200000000000001</v>
      </c>
      <c r="L158" s="1903">
        <v>1.1200000000000001</v>
      </c>
      <c r="M158" s="1903">
        <v>1.1200000000000001</v>
      </c>
      <c r="N158" s="1905">
        <v>1.1200000000000001</v>
      </c>
      <c r="O158" s="1906" t="s">
        <v>247</v>
      </c>
      <c r="P158" s="1906" t="s">
        <v>247</v>
      </c>
      <c r="Q158" s="1906" t="s">
        <v>247</v>
      </c>
      <c r="R158" s="1906" t="s">
        <v>247</v>
      </c>
      <c r="S158" s="1891"/>
      <c r="T158" s="1891"/>
    </row>
    <row r="159" spans="1:20">
      <c r="A159" s="1908" t="s">
        <v>153</v>
      </c>
      <c r="B159" s="1908" t="s">
        <v>153</v>
      </c>
      <c r="C159" s="1908" t="s">
        <v>153</v>
      </c>
      <c r="D159" s="1908" t="s">
        <v>153</v>
      </c>
      <c r="E159" s="1908" t="s">
        <v>153</v>
      </c>
      <c r="F159" s="1907">
        <v>4.0599999999999996</v>
      </c>
      <c r="G159" s="1908">
        <v>4.1100000000000003</v>
      </c>
      <c r="H159" s="1908">
        <v>4.1100000000000003</v>
      </c>
      <c r="I159" s="1908">
        <v>4.1100000000000003</v>
      </c>
      <c r="J159" s="1903">
        <v>4.13</v>
      </c>
      <c r="K159" s="1903">
        <v>4.13</v>
      </c>
      <c r="L159" s="1903">
        <v>4.13</v>
      </c>
      <c r="M159" s="1903" t="s">
        <v>153</v>
      </c>
      <c r="N159" s="1903" t="s">
        <v>153</v>
      </c>
      <c r="O159" s="1903" t="s">
        <v>153</v>
      </c>
      <c r="P159" s="1903" t="s">
        <v>153</v>
      </c>
      <c r="Q159" s="1903" t="s">
        <v>153</v>
      </c>
      <c r="R159" s="1903" t="s">
        <v>153</v>
      </c>
      <c r="S159" s="1891"/>
      <c r="T159" s="1891"/>
    </row>
    <row r="160" spans="1:20">
      <c r="A160" s="1908" t="s">
        <v>153</v>
      </c>
      <c r="B160" s="1908" t="s">
        <v>153</v>
      </c>
      <c r="C160" s="1908" t="s">
        <v>153</v>
      </c>
      <c r="D160" s="1908" t="s">
        <v>153</v>
      </c>
      <c r="E160" s="1908" t="s">
        <v>153</v>
      </c>
      <c r="F160" s="1908">
        <v>4.07</v>
      </c>
      <c r="G160" s="1918">
        <v>4.07</v>
      </c>
      <c r="H160" s="1918">
        <v>4.07</v>
      </c>
      <c r="I160" s="1918">
        <v>4.07</v>
      </c>
      <c r="J160" s="1908">
        <v>4.07</v>
      </c>
      <c r="K160" s="1908">
        <v>4.07</v>
      </c>
      <c r="L160" s="1908">
        <v>4.07</v>
      </c>
      <c r="M160" s="1908">
        <v>4.07</v>
      </c>
      <c r="N160" s="1906">
        <v>4.07</v>
      </c>
      <c r="O160" s="1906" t="s">
        <v>248</v>
      </c>
      <c r="P160" s="1906" t="s">
        <v>248</v>
      </c>
      <c r="Q160" s="1906" t="s">
        <v>153</v>
      </c>
      <c r="R160" s="1906" t="s">
        <v>153</v>
      </c>
      <c r="S160" s="1891"/>
      <c r="T160" s="1891"/>
    </row>
    <row r="161" spans="1:20">
      <c r="A161" s="1908" t="s">
        <v>153</v>
      </c>
      <c r="B161" s="1908" t="s">
        <v>153</v>
      </c>
      <c r="C161" s="1908" t="s">
        <v>153</v>
      </c>
      <c r="D161" s="1908" t="s">
        <v>153</v>
      </c>
      <c r="E161" s="1908" t="s">
        <v>153</v>
      </c>
      <c r="F161" s="1907">
        <v>8.1300000000000008</v>
      </c>
      <c r="G161" s="1903">
        <v>8.1300000000000008</v>
      </c>
      <c r="H161" s="1908" t="s">
        <v>153</v>
      </c>
      <c r="I161" s="1908" t="s">
        <v>153</v>
      </c>
      <c r="J161" s="1908" t="s">
        <v>153</v>
      </c>
      <c r="K161" s="1908" t="s">
        <v>153</v>
      </c>
      <c r="L161" s="1908" t="s">
        <v>153</v>
      </c>
      <c r="M161" s="1908" t="s">
        <v>153</v>
      </c>
      <c r="N161" s="1906" t="s">
        <v>153</v>
      </c>
      <c r="O161" s="1906" t="s">
        <v>153</v>
      </c>
      <c r="P161" s="1906" t="s">
        <v>153</v>
      </c>
      <c r="Q161" s="1906" t="s">
        <v>153</v>
      </c>
      <c r="R161" s="1906" t="s">
        <v>153</v>
      </c>
      <c r="S161" s="1891"/>
      <c r="T161" s="1891"/>
    </row>
    <row r="162" spans="1:20">
      <c r="A162" s="1908" t="s">
        <v>153</v>
      </c>
      <c r="B162" s="1908" t="s">
        <v>153</v>
      </c>
      <c r="C162" s="1908" t="s">
        <v>153</v>
      </c>
      <c r="D162" s="1908" t="s">
        <v>153</v>
      </c>
      <c r="E162" s="1908" t="s">
        <v>153</v>
      </c>
      <c r="F162" s="1907" t="s">
        <v>220</v>
      </c>
      <c r="G162" s="1903" t="s">
        <v>220</v>
      </c>
      <c r="H162" s="1903" t="s">
        <v>220</v>
      </c>
      <c r="I162" s="1903" t="s">
        <v>220</v>
      </c>
      <c r="J162" s="1903">
        <v>9.1999999999999993</v>
      </c>
      <c r="K162" s="1903">
        <v>9.1999999999999993</v>
      </c>
      <c r="L162" s="1903" t="s">
        <v>153</v>
      </c>
      <c r="M162" s="1903" t="s">
        <v>153</v>
      </c>
      <c r="N162" s="1903" t="s">
        <v>153</v>
      </c>
      <c r="O162" s="1903" t="s">
        <v>153</v>
      </c>
      <c r="P162" s="1903" t="s">
        <v>153</v>
      </c>
      <c r="Q162" s="1903" t="s">
        <v>153</v>
      </c>
      <c r="R162" s="1903" t="s">
        <v>153</v>
      </c>
      <c r="S162" s="1891"/>
      <c r="T162" s="1891"/>
    </row>
    <row r="163" spans="1:20">
      <c r="A163" s="1908" t="s">
        <v>153</v>
      </c>
      <c r="B163" s="1908" t="s">
        <v>153</v>
      </c>
      <c r="C163" s="1908" t="s">
        <v>153</v>
      </c>
      <c r="D163" s="1908" t="s">
        <v>153</v>
      </c>
      <c r="E163" s="1908" t="s">
        <v>153</v>
      </c>
      <c r="F163" s="1907">
        <v>11.04</v>
      </c>
      <c r="G163" s="1903">
        <v>11.04</v>
      </c>
      <c r="H163" s="1903">
        <v>11.04</v>
      </c>
      <c r="I163" s="1903">
        <v>11.04</v>
      </c>
      <c r="J163" s="1903">
        <v>1.04</v>
      </c>
      <c r="K163" s="1903">
        <v>1.04</v>
      </c>
      <c r="L163" s="1903">
        <v>1.04</v>
      </c>
      <c r="M163" s="1903">
        <v>1.04</v>
      </c>
      <c r="N163" s="1905">
        <v>1.04</v>
      </c>
      <c r="O163" s="1906" t="s">
        <v>249</v>
      </c>
      <c r="P163" s="1906" t="s">
        <v>249</v>
      </c>
      <c r="Q163" s="1906" t="s">
        <v>249</v>
      </c>
      <c r="R163" s="1906" t="s">
        <v>249</v>
      </c>
      <c r="S163" s="1891"/>
      <c r="T163" s="1891"/>
    </row>
    <row r="164" spans="1:20">
      <c r="A164" s="1908" t="s">
        <v>153</v>
      </c>
      <c r="B164" s="1908" t="s">
        <v>153</v>
      </c>
      <c r="C164" s="1908" t="s">
        <v>153</v>
      </c>
      <c r="D164" s="1908" t="s">
        <v>153</v>
      </c>
      <c r="E164" s="1908" t="s">
        <v>153</v>
      </c>
      <c r="F164" s="1907">
        <v>11.09</v>
      </c>
      <c r="G164" s="1903">
        <v>11.07</v>
      </c>
      <c r="H164" s="1903">
        <v>11.07</v>
      </c>
      <c r="I164" s="1903">
        <v>11.07</v>
      </c>
      <c r="J164" s="1903">
        <v>1.35</v>
      </c>
      <c r="K164" s="1903">
        <v>1.35</v>
      </c>
      <c r="L164" s="1903">
        <v>1.35</v>
      </c>
      <c r="M164" s="1903">
        <v>1.35</v>
      </c>
      <c r="N164" s="1905" t="s">
        <v>153</v>
      </c>
      <c r="O164" s="1909" t="s">
        <v>153</v>
      </c>
      <c r="P164" s="1909" t="s">
        <v>153</v>
      </c>
      <c r="Q164" s="1909" t="s">
        <v>153</v>
      </c>
      <c r="R164" s="1909" t="s">
        <v>153</v>
      </c>
      <c r="S164" s="1891"/>
      <c r="T164" s="1891"/>
    </row>
    <row r="165" spans="1:20">
      <c r="A165" s="1908" t="s">
        <v>153</v>
      </c>
      <c r="B165" s="1908" t="s">
        <v>153</v>
      </c>
      <c r="C165" s="1908" t="s">
        <v>153</v>
      </c>
      <c r="D165" s="1908" t="s">
        <v>153</v>
      </c>
      <c r="E165" s="1908" t="s">
        <v>153</v>
      </c>
      <c r="F165" s="1908" t="s">
        <v>153</v>
      </c>
      <c r="G165" s="1907">
        <v>4.0599999999999996</v>
      </c>
      <c r="H165" s="1907">
        <v>4.0599999999999996</v>
      </c>
      <c r="I165" s="1907">
        <v>4.0599999999999996</v>
      </c>
      <c r="J165" s="1908">
        <v>4.0599999999999996</v>
      </c>
      <c r="K165" s="1908">
        <v>4.0599999999999996</v>
      </c>
      <c r="L165" s="1908">
        <v>4.0599999999999996</v>
      </c>
      <c r="M165" s="1908">
        <v>4.0599999999999996</v>
      </c>
      <c r="N165" s="1906">
        <v>4.0599999999999996</v>
      </c>
      <c r="O165" s="1906" t="s">
        <v>250</v>
      </c>
      <c r="P165" s="1906" t="s">
        <v>250</v>
      </c>
      <c r="Q165" s="1906" t="s">
        <v>182</v>
      </c>
      <c r="R165" s="1906" t="s">
        <v>182</v>
      </c>
      <c r="S165" s="1891"/>
      <c r="T165" s="1891"/>
    </row>
    <row r="166" spans="1:20">
      <c r="A166" s="1908" t="s">
        <v>153</v>
      </c>
      <c r="B166" s="1908" t="s">
        <v>153</v>
      </c>
      <c r="C166" s="1908" t="s">
        <v>153</v>
      </c>
      <c r="D166" s="1908" t="s">
        <v>153</v>
      </c>
      <c r="E166" s="1908" t="s">
        <v>153</v>
      </c>
      <c r="F166" s="1908" t="s">
        <v>153</v>
      </c>
      <c r="G166" s="1907">
        <v>4.09</v>
      </c>
      <c r="H166" s="1907">
        <v>4.09</v>
      </c>
      <c r="I166" s="1907">
        <v>4.09</v>
      </c>
      <c r="J166" s="1908">
        <v>4.09</v>
      </c>
      <c r="K166" s="1908">
        <v>4.09</v>
      </c>
      <c r="L166" s="1908">
        <v>4.09</v>
      </c>
      <c r="M166" s="1908">
        <v>4.09</v>
      </c>
      <c r="N166" s="1906">
        <v>4.09</v>
      </c>
      <c r="O166" s="1906" t="s">
        <v>187</v>
      </c>
      <c r="P166" s="1906" t="s">
        <v>187</v>
      </c>
      <c r="Q166" s="1906" t="s">
        <v>183</v>
      </c>
      <c r="R166" s="1906" t="s">
        <v>183</v>
      </c>
      <c r="S166" s="1891"/>
      <c r="T166" s="1891"/>
    </row>
    <row r="167" spans="1:20">
      <c r="A167" s="1908" t="s">
        <v>153</v>
      </c>
      <c r="B167" s="1908" t="s">
        <v>153</v>
      </c>
      <c r="C167" s="1908" t="s">
        <v>153</v>
      </c>
      <c r="D167" s="1908" t="s">
        <v>153</v>
      </c>
      <c r="E167" s="1908" t="s">
        <v>153</v>
      </c>
      <c r="F167" s="1908" t="s">
        <v>153</v>
      </c>
      <c r="G167" s="1903">
        <v>9.16</v>
      </c>
      <c r="H167" s="1903">
        <v>9.16</v>
      </c>
      <c r="I167" s="1903">
        <v>9.16</v>
      </c>
      <c r="J167" s="1903">
        <v>9.16</v>
      </c>
      <c r="K167" s="1903">
        <v>9.16</v>
      </c>
      <c r="L167" s="1903">
        <v>9.16</v>
      </c>
      <c r="M167" s="1903">
        <v>9.16</v>
      </c>
      <c r="N167" s="1905">
        <v>9.1</v>
      </c>
      <c r="O167" s="1906" t="s">
        <v>209</v>
      </c>
      <c r="P167" s="1906" t="s">
        <v>209</v>
      </c>
      <c r="Q167" s="1906" t="s">
        <v>209</v>
      </c>
      <c r="R167" s="1906" t="s">
        <v>230</v>
      </c>
      <c r="S167" s="1891"/>
      <c r="T167" s="1891"/>
    </row>
    <row r="168" spans="1:20" ht="9.75" customHeight="1">
      <c r="A168" s="1908" t="s">
        <v>153</v>
      </c>
      <c r="B168" s="1908" t="s">
        <v>153</v>
      </c>
      <c r="C168" s="1908" t="s">
        <v>153</v>
      </c>
      <c r="D168" s="1908" t="s">
        <v>153</v>
      </c>
      <c r="E168" s="1908" t="s">
        <v>153</v>
      </c>
      <c r="F168" s="1908" t="s">
        <v>153</v>
      </c>
      <c r="G168" s="1903">
        <v>11.09</v>
      </c>
      <c r="H168" s="1903">
        <v>11.09</v>
      </c>
      <c r="I168" s="1903">
        <v>11.09</v>
      </c>
      <c r="J168" s="1903">
        <v>1.37</v>
      </c>
      <c r="K168" s="1903">
        <v>1.37</v>
      </c>
      <c r="L168" s="1903">
        <v>1.37</v>
      </c>
      <c r="M168" s="1903">
        <v>1.37</v>
      </c>
      <c r="N168" s="1905" t="s">
        <v>153</v>
      </c>
      <c r="O168" s="1909" t="s">
        <v>153</v>
      </c>
      <c r="P168" s="1909" t="s">
        <v>153</v>
      </c>
      <c r="Q168" s="1909" t="s">
        <v>153</v>
      </c>
      <c r="R168" s="1909" t="s">
        <v>153</v>
      </c>
      <c r="S168" s="1891"/>
      <c r="T168" s="1891"/>
    </row>
    <row r="169" spans="1:20" ht="9.75" customHeight="1">
      <c r="A169" s="1908" t="s">
        <v>153</v>
      </c>
      <c r="B169" s="1908" t="s">
        <v>153</v>
      </c>
      <c r="C169" s="1908" t="s">
        <v>153</v>
      </c>
      <c r="D169" s="1908" t="s">
        <v>153</v>
      </c>
      <c r="E169" s="1908" t="s">
        <v>153</v>
      </c>
      <c r="F169" s="1908" t="s">
        <v>153</v>
      </c>
      <c r="G169" s="1903" t="s">
        <v>133</v>
      </c>
      <c r="H169" s="1903" t="s">
        <v>133</v>
      </c>
      <c r="I169" s="1903" t="s">
        <v>133</v>
      </c>
      <c r="J169" s="1903">
        <v>1.38</v>
      </c>
      <c r="K169" s="1903">
        <v>1.38</v>
      </c>
      <c r="L169" s="1903">
        <v>1.38</v>
      </c>
      <c r="M169" s="1903">
        <v>1.38</v>
      </c>
      <c r="N169" s="1905" t="s">
        <v>153</v>
      </c>
      <c r="O169" s="1909" t="s">
        <v>153</v>
      </c>
      <c r="P169" s="1909" t="s">
        <v>153</v>
      </c>
      <c r="Q169" s="1909" t="s">
        <v>153</v>
      </c>
      <c r="R169" s="1909" t="s">
        <v>153</v>
      </c>
      <c r="S169" s="1891"/>
      <c r="T169" s="1891"/>
    </row>
    <row r="170" spans="1:20">
      <c r="A170" s="1908" t="s">
        <v>153</v>
      </c>
      <c r="B170" s="1908" t="s">
        <v>153</v>
      </c>
      <c r="C170" s="1908" t="s">
        <v>153</v>
      </c>
      <c r="D170" s="1908" t="s">
        <v>153</v>
      </c>
      <c r="E170" s="1908" t="s">
        <v>153</v>
      </c>
      <c r="F170" s="1908" t="s">
        <v>153</v>
      </c>
      <c r="G170" s="1908" t="s">
        <v>153</v>
      </c>
      <c r="H170" s="1908" t="s">
        <v>153</v>
      </c>
      <c r="I170" s="1908" t="s">
        <v>153</v>
      </c>
      <c r="J170" s="1903">
        <v>1.44</v>
      </c>
      <c r="K170" s="1903">
        <v>1.44</v>
      </c>
      <c r="L170" s="1903">
        <v>1.44</v>
      </c>
      <c r="M170" s="1903" t="s">
        <v>153</v>
      </c>
      <c r="N170" s="1903" t="s">
        <v>153</v>
      </c>
      <c r="O170" s="1903" t="s">
        <v>153</v>
      </c>
      <c r="P170" s="1903" t="s">
        <v>153</v>
      </c>
      <c r="Q170" s="1903" t="s">
        <v>153</v>
      </c>
      <c r="R170" s="1903" t="s">
        <v>153</v>
      </c>
      <c r="S170" s="1891"/>
      <c r="T170" s="1891"/>
    </row>
    <row r="171" spans="1:20">
      <c r="A171" s="1908" t="s">
        <v>153</v>
      </c>
      <c r="B171" s="1908" t="s">
        <v>153</v>
      </c>
      <c r="C171" s="1908" t="s">
        <v>153</v>
      </c>
      <c r="D171" s="1908" t="s">
        <v>153</v>
      </c>
      <c r="E171" s="1908" t="s">
        <v>153</v>
      </c>
      <c r="F171" s="1908" t="s">
        <v>153</v>
      </c>
      <c r="G171" s="1903" t="s">
        <v>153</v>
      </c>
      <c r="H171" s="1903" t="s">
        <v>153</v>
      </c>
      <c r="I171" s="1903" t="s">
        <v>153</v>
      </c>
      <c r="J171" s="1903">
        <v>1.45</v>
      </c>
      <c r="K171" s="1903">
        <v>1.45</v>
      </c>
      <c r="L171" s="1903" t="s">
        <v>153</v>
      </c>
      <c r="M171" s="1903" t="s">
        <v>153</v>
      </c>
      <c r="N171" s="1903" t="s">
        <v>153</v>
      </c>
      <c r="O171" s="1903" t="s">
        <v>153</v>
      </c>
      <c r="P171" s="1903" t="s">
        <v>153</v>
      </c>
      <c r="Q171" s="1903" t="s">
        <v>153</v>
      </c>
      <c r="R171" s="1903" t="s">
        <v>153</v>
      </c>
      <c r="S171" s="1891"/>
      <c r="T171" s="1891"/>
    </row>
    <row r="172" spans="1:20">
      <c r="A172" s="1908" t="s">
        <v>153</v>
      </c>
      <c r="B172" s="1908" t="s">
        <v>153</v>
      </c>
      <c r="C172" s="1908" t="s">
        <v>153</v>
      </c>
      <c r="D172" s="1908" t="s">
        <v>153</v>
      </c>
      <c r="E172" s="1908" t="s">
        <v>153</v>
      </c>
      <c r="F172" s="1908" t="s">
        <v>153</v>
      </c>
      <c r="G172" s="1903" t="s">
        <v>153</v>
      </c>
      <c r="H172" s="1903" t="s">
        <v>153</v>
      </c>
      <c r="I172" s="1903" t="s">
        <v>153</v>
      </c>
      <c r="J172" s="1903">
        <v>1.46</v>
      </c>
      <c r="K172" s="1903">
        <v>1.46</v>
      </c>
      <c r="L172" s="1903" t="s">
        <v>153</v>
      </c>
      <c r="M172" s="1903" t="s">
        <v>153</v>
      </c>
      <c r="N172" s="1903" t="s">
        <v>153</v>
      </c>
      <c r="O172" s="1903" t="s">
        <v>153</v>
      </c>
      <c r="P172" s="1903" t="s">
        <v>153</v>
      </c>
      <c r="Q172" s="1903" t="s">
        <v>153</v>
      </c>
      <c r="R172" s="1903" t="s">
        <v>153</v>
      </c>
      <c r="S172" s="1891"/>
      <c r="T172" s="1891"/>
    </row>
    <row r="173" spans="1:20">
      <c r="A173" s="1908" t="s">
        <v>153</v>
      </c>
      <c r="B173" s="1908" t="s">
        <v>153</v>
      </c>
      <c r="C173" s="1908" t="s">
        <v>153</v>
      </c>
      <c r="D173" s="1908" t="s">
        <v>153</v>
      </c>
      <c r="E173" s="1908" t="s">
        <v>153</v>
      </c>
      <c r="F173" s="1908" t="s">
        <v>153</v>
      </c>
      <c r="G173" s="1909" t="s">
        <v>153</v>
      </c>
      <c r="H173" s="1909" t="s">
        <v>153</v>
      </c>
      <c r="I173" s="1909" t="s">
        <v>153</v>
      </c>
      <c r="J173" s="1908">
        <v>3.01</v>
      </c>
      <c r="K173" s="1908">
        <v>3.01</v>
      </c>
      <c r="L173" s="1908">
        <v>3.01</v>
      </c>
      <c r="M173" s="1908">
        <v>3.01</v>
      </c>
      <c r="N173" s="1906">
        <v>3.01</v>
      </c>
      <c r="O173" s="1906" t="s">
        <v>251</v>
      </c>
      <c r="P173" s="1906" t="s">
        <v>251</v>
      </c>
      <c r="Q173" s="1906" t="s">
        <v>252</v>
      </c>
      <c r="R173" s="1906" t="s">
        <v>253</v>
      </c>
      <c r="S173" s="1891"/>
      <c r="T173" s="1891"/>
    </row>
    <row r="174" spans="1:20">
      <c r="A174" s="1908" t="s">
        <v>153</v>
      </c>
      <c r="B174" s="1908" t="s">
        <v>153</v>
      </c>
      <c r="C174" s="1908" t="s">
        <v>153</v>
      </c>
      <c r="D174" s="1908" t="s">
        <v>153</v>
      </c>
      <c r="E174" s="1908" t="s">
        <v>153</v>
      </c>
      <c r="F174" s="1908" t="s">
        <v>153</v>
      </c>
      <c r="G174" s="1902" t="s">
        <v>153</v>
      </c>
      <c r="H174" s="1902" t="s">
        <v>153</v>
      </c>
      <c r="I174" s="1902" t="s">
        <v>153</v>
      </c>
      <c r="J174" s="1912">
        <v>3.02</v>
      </c>
      <c r="K174" s="1912">
        <v>3.02</v>
      </c>
      <c r="L174" s="1912">
        <v>3.02</v>
      </c>
      <c r="M174" s="1912">
        <v>3.02</v>
      </c>
      <c r="N174" s="1904">
        <v>3.02</v>
      </c>
      <c r="O174" s="1902" t="s">
        <v>153</v>
      </c>
      <c r="P174" s="1902" t="s">
        <v>153</v>
      </c>
      <c r="Q174" s="1902" t="s">
        <v>153</v>
      </c>
      <c r="R174" s="1902" t="s">
        <v>153</v>
      </c>
      <c r="S174" s="1891"/>
      <c r="T174" s="1891"/>
    </row>
    <row r="175" spans="1:20">
      <c r="A175" s="1908" t="s">
        <v>153</v>
      </c>
      <c r="B175" s="1908" t="s">
        <v>153</v>
      </c>
      <c r="C175" s="1908" t="s">
        <v>153</v>
      </c>
      <c r="D175" s="1908" t="s">
        <v>153</v>
      </c>
      <c r="E175" s="1908" t="s">
        <v>153</v>
      </c>
      <c r="F175" s="1908" t="s">
        <v>153</v>
      </c>
      <c r="G175" s="1909" t="s">
        <v>153</v>
      </c>
      <c r="H175" s="1909" t="s">
        <v>153</v>
      </c>
      <c r="I175" s="1909" t="s">
        <v>153</v>
      </c>
      <c r="J175" s="1908">
        <v>3.03</v>
      </c>
      <c r="K175" s="1908">
        <v>3.03</v>
      </c>
      <c r="L175" s="1908">
        <v>3.03</v>
      </c>
      <c r="M175" s="1908">
        <v>3.03</v>
      </c>
      <c r="N175" s="1906">
        <v>3.03</v>
      </c>
      <c r="O175" s="1906" t="s">
        <v>254</v>
      </c>
      <c r="P175" s="1906" t="s">
        <v>254</v>
      </c>
      <c r="Q175" s="1906" t="s">
        <v>153</v>
      </c>
      <c r="R175" s="1906" t="s">
        <v>153</v>
      </c>
      <c r="S175" s="1891"/>
      <c r="T175" s="1891"/>
    </row>
    <row r="176" spans="1:20">
      <c r="A176" s="1908" t="s">
        <v>153</v>
      </c>
      <c r="B176" s="1908" t="s">
        <v>153</v>
      </c>
      <c r="C176" s="1908" t="s">
        <v>153</v>
      </c>
      <c r="D176" s="1908" t="s">
        <v>153</v>
      </c>
      <c r="E176" s="1908" t="s">
        <v>153</v>
      </c>
      <c r="F176" s="1908" t="s">
        <v>153</v>
      </c>
      <c r="G176" s="1909" t="s">
        <v>153</v>
      </c>
      <c r="H176" s="1909" t="s">
        <v>153</v>
      </c>
      <c r="I176" s="1909" t="s">
        <v>153</v>
      </c>
      <c r="J176" s="1908">
        <v>3.05</v>
      </c>
      <c r="K176" s="1908">
        <v>3.05</v>
      </c>
      <c r="L176" s="1908">
        <v>3.05</v>
      </c>
      <c r="M176" s="1908">
        <v>3.05</v>
      </c>
      <c r="N176" s="1906">
        <v>3.05</v>
      </c>
      <c r="O176" s="1906" t="s">
        <v>255</v>
      </c>
      <c r="P176" s="1906" t="s">
        <v>255</v>
      </c>
      <c r="Q176" s="1906" t="s">
        <v>153</v>
      </c>
      <c r="R176" s="1906" t="s">
        <v>153</v>
      </c>
      <c r="S176" s="1891"/>
      <c r="T176" s="1891"/>
    </row>
    <row r="177" spans="1:20">
      <c r="A177" s="1908" t="s">
        <v>153</v>
      </c>
      <c r="B177" s="1908" t="s">
        <v>153</v>
      </c>
      <c r="C177" s="1908" t="s">
        <v>153</v>
      </c>
      <c r="D177" s="1908" t="s">
        <v>153</v>
      </c>
      <c r="E177" s="1908" t="s">
        <v>153</v>
      </c>
      <c r="F177" s="1908" t="s">
        <v>153</v>
      </c>
      <c r="G177" s="1908" t="s">
        <v>153</v>
      </c>
      <c r="H177" s="1908" t="s">
        <v>153</v>
      </c>
      <c r="I177" s="1908" t="s">
        <v>153</v>
      </c>
      <c r="J177" s="1908">
        <v>3.06</v>
      </c>
      <c r="K177" s="1908">
        <v>3.06</v>
      </c>
      <c r="L177" s="1908">
        <v>3.06</v>
      </c>
      <c r="M177" s="1908">
        <v>3.06</v>
      </c>
      <c r="N177" s="1906">
        <v>3.06</v>
      </c>
      <c r="O177" s="1909" t="s">
        <v>153</v>
      </c>
      <c r="P177" s="1909" t="s">
        <v>153</v>
      </c>
      <c r="Q177" s="1909" t="s">
        <v>153</v>
      </c>
      <c r="R177" s="1909" t="s">
        <v>153</v>
      </c>
      <c r="S177" s="1891"/>
      <c r="T177" s="1891"/>
    </row>
    <row r="178" spans="1:20">
      <c r="A178" s="1908" t="s">
        <v>153</v>
      </c>
      <c r="B178" s="1908" t="s">
        <v>153</v>
      </c>
      <c r="C178" s="1908" t="s">
        <v>153</v>
      </c>
      <c r="D178" s="1908" t="s">
        <v>153</v>
      </c>
      <c r="E178" s="1908" t="s">
        <v>153</v>
      </c>
      <c r="F178" s="1908" t="s">
        <v>153</v>
      </c>
      <c r="G178" s="1903" t="s">
        <v>153</v>
      </c>
      <c r="H178" s="1903" t="s">
        <v>153</v>
      </c>
      <c r="I178" s="1903" t="s">
        <v>153</v>
      </c>
      <c r="J178" s="1903">
        <v>4.1100000000000003</v>
      </c>
      <c r="K178" s="1903">
        <v>4.1100000000000003</v>
      </c>
      <c r="L178" s="1903">
        <v>4.1100000000000003</v>
      </c>
      <c r="M178" s="1903" t="s">
        <v>153</v>
      </c>
      <c r="N178" s="1903" t="s">
        <v>153</v>
      </c>
      <c r="O178" s="1903" t="s">
        <v>153</v>
      </c>
      <c r="P178" s="1903" t="s">
        <v>153</v>
      </c>
      <c r="Q178" s="1903" t="s">
        <v>153</v>
      </c>
      <c r="R178" s="1903" t="s">
        <v>153</v>
      </c>
      <c r="S178" s="1891"/>
      <c r="T178" s="1891"/>
    </row>
    <row r="179" spans="1:20">
      <c r="A179" s="1908" t="s">
        <v>153</v>
      </c>
      <c r="B179" s="1908" t="s">
        <v>153</v>
      </c>
      <c r="C179" s="1908" t="s">
        <v>153</v>
      </c>
      <c r="D179" s="1908" t="s">
        <v>153</v>
      </c>
      <c r="E179" s="1908" t="s">
        <v>153</v>
      </c>
      <c r="F179" s="1908" t="s">
        <v>153</v>
      </c>
      <c r="G179" s="1903" t="s">
        <v>153</v>
      </c>
      <c r="H179" s="1903" t="s">
        <v>153</v>
      </c>
      <c r="I179" s="1903" t="s">
        <v>153</v>
      </c>
      <c r="J179" s="1903">
        <v>4.12</v>
      </c>
      <c r="K179" s="1903">
        <v>4.12</v>
      </c>
      <c r="L179" s="1903">
        <v>4.12</v>
      </c>
      <c r="M179" s="1903" t="s">
        <v>153</v>
      </c>
      <c r="N179" s="1903" t="s">
        <v>153</v>
      </c>
      <c r="O179" s="1903" t="s">
        <v>153</v>
      </c>
      <c r="P179" s="1903" t="s">
        <v>153</v>
      </c>
      <c r="Q179" s="1903" t="s">
        <v>153</v>
      </c>
      <c r="R179" s="1903" t="s">
        <v>153</v>
      </c>
      <c r="S179" s="1891"/>
      <c r="T179" s="1891"/>
    </row>
    <row r="180" spans="1:20">
      <c r="A180" s="1908" t="s">
        <v>153</v>
      </c>
      <c r="B180" s="1908" t="s">
        <v>153</v>
      </c>
      <c r="C180" s="1908" t="s">
        <v>153</v>
      </c>
      <c r="D180" s="1908" t="s">
        <v>153</v>
      </c>
      <c r="E180" s="1908" t="s">
        <v>153</v>
      </c>
      <c r="F180" s="1908" t="s">
        <v>153</v>
      </c>
      <c r="G180" s="1906" t="s">
        <v>153</v>
      </c>
      <c r="H180" s="1906" t="s">
        <v>153</v>
      </c>
      <c r="I180" s="1906" t="s">
        <v>153</v>
      </c>
      <c r="J180" s="1903">
        <v>9.07</v>
      </c>
      <c r="K180" s="1903">
        <v>9.07</v>
      </c>
      <c r="L180" s="1903">
        <v>9.07</v>
      </c>
      <c r="M180" s="1903">
        <v>9.07</v>
      </c>
      <c r="N180" s="1905" t="s">
        <v>153</v>
      </c>
      <c r="O180" s="1906" t="s">
        <v>153</v>
      </c>
      <c r="P180" s="1906" t="s">
        <v>153</v>
      </c>
      <c r="Q180" s="1906" t="s">
        <v>153</v>
      </c>
      <c r="R180" s="1906" t="s">
        <v>153</v>
      </c>
      <c r="S180" s="1891"/>
      <c r="T180" s="1891"/>
    </row>
    <row r="181" spans="1:20">
      <c r="A181" s="1908" t="s">
        <v>153</v>
      </c>
      <c r="B181" s="1908" t="s">
        <v>153</v>
      </c>
      <c r="C181" s="1908" t="s">
        <v>153</v>
      </c>
      <c r="D181" s="1908" t="s">
        <v>153</v>
      </c>
      <c r="E181" s="1908" t="s">
        <v>153</v>
      </c>
      <c r="F181" s="1908" t="s">
        <v>153</v>
      </c>
      <c r="G181" s="1906" t="s">
        <v>153</v>
      </c>
      <c r="H181" s="1906" t="s">
        <v>153</v>
      </c>
      <c r="I181" s="1906" t="s">
        <v>153</v>
      </c>
      <c r="J181" s="1903">
        <v>9.15</v>
      </c>
      <c r="K181" s="1903">
        <v>9.15</v>
      </c>
      <c r="L181" s="1903">
        <v>9.15</v>
      </c>
      <c r="M181" s="1903">
        <v>9.15</v>
      </c>
      <c r="N181" s="1905" t="s">
        <v>153</v>
      </c>
      <c r="O181" s="1909" t="s">
        <v>153</v>
      </c>
      <c r="P181" s="1909" t="s">
        <v>153</v>
      </c>
      <c r="Q181" s="1909" t="s">
        <v>153</v>
      </c>
      <c r="R181" s="1909" t="s">
        <v>153</v>
      </c>
      <c r="S181" s="1891"/>
      <c r="T181" s="1891"/>
    </row>
    <row r="182" spans="1:20">
      <c r="A182" s="1908" t="s">
        <v>153</v>
      </c>
      <c r="B182" s="1908" t="s">
        <v>153</v>
      </c>
      <c r="C182" s="1908" t="s">
        <v>153</v>
      </c>
      <c r="D182" s="1908" t="s">
        <v>153</v>
      </c>
      <c r="E182" s="1908" t="s">
        <v>153</v>
      </c>
      <c r="F182" s="1908" t="s">
        <v>153</v>
      </c>
      <c r="G182" s="1903" t="s">
        <v>153</v>
      </c>
      <c r="H182" s="1903" t="s">
        <v>153</v>
      </c>
      <c r="I182" s="1903" t="s">
        <v>153</v>
      </c>
      <c r="J182" s="1903" t="s">
        <v>153</v>
      </c>
      <c r="K182" s="1903">
        <v>1.41</v>
      </c>
      <c r="L182" s="1903">
        <v>1.41</v>
      </c>
      <c r="M182" s="1903">
        <v>1.41</v>
      </c>
      <c r="N182" s="1905">
        <v>9.07</v>
      </c>
      <c r="O182" s="1909" t="s">
        <v>153</v>
      </c>
      <c r="P182" s="1909" t="s">
        <v>153</v>
      </c>
      <c r="Q182" s="1909" t="s">
        <v>153</v>
      </c>
      <c r="R182" s="1909" t="s">
        <v>153</v>
      </c>
      <c r="S182" s="1891"/>
      <c r="T182" s="1891"/>
    </row>
    <row r="183" spans="1:20">
      <c r="A183" s="1908" t="s">
        <v>153</v>
      </c>
      <c r="B183" s="1908" t="s">
        <v>153</v>
      </c>
      <c r="C183" s="1908" t="s">
        <v>153</v>
      </c>
      <c r="D183" s="1908" t="s">
        <v>153</v>
      </c>
      <c r="E183" s="1908" t="s">
        <v>153</v>
      </c>
      <c r="F183" s="1908" t="s">
        <v>153</v>
      </c>
      <c r="G183" s="1908" t="s">
        <v>153</v>
      </c>
      <c r="H183" s="1908" t="s">
        <v>153</v>
      </c>
      <c r="I183" s="1908" t="s">
        <v>153</v>
      </c>
      <c r="J183" s="1908" t="s">
        <v>153</v>
      </c>
      <c r="K183" s="1907" t="s">
        <v>173</v>
      </c>
      <c r="L183" s="1907" t="s">
        <v>173</v>
      </c>
      <c r="M183" s="1908" t="s">
        <v>153</v>
      </c>
      <c r="N183" s="1908" t="s">
        <v>153</v>
      </c>
      <c r="O183" s="1908" t="s">
        <v>153</v>
      </c>
      <c r="P183" s="1908" t="s">
        <v>256</v>
      </c>
      <c r="Q183" s="1908" t="s">
        <v>153</v>
      </c>
      <c r="R183" s="1908" t="s">
        <v>153</v>
      </c>
      <c r="S183" s="1891"/>
      <c r="T183" s="1891"/>
    </row>
    <row r="184" spans="1:20">
      <c r="A184" s="1908" t="s">
        <v>153</v>
      </c>
      <c r="B184" s="1908" t="s">
        <v>153</v>
      </c>
      <c r="C184" s="1908" t="s">
        <v>153</v>
      </c>
      <c r="D184" s="1908" t="s">
        <v>153</v>
      </c>
      <c r="E184" s="1908" t="s">
        <v>153</v>
      </c>
      <c r="F184" s="1908" t="s">
        <v>153</v>
      </c>
      <c r="G184" s="1903" t="s">
        <v>153</v>
      </c>
      <c r="H184" s="1903" t="s">
        <v>153</v>
      </c>
      <c r="I184" s="1903" t="s">
        <v>153</v>
      </c>
      <c r="J184" s="1903" t="s">
        <v>153</v>
      </c>
      <c r="K184" s="1903">
        <v>8.02</v>
      </c>
      <c r="L184" s="1903">
        <v>8.02</v>
      </c>
      <c r="M184" s="1903">
        <v>8.02</v>
      </c>
      <c r="N184" s="1905">
        <v>8.01</v>
      </c>
      <c r="O184" s="1906" t="s">
        <v>198</v>
      </c>
      <c r="P184" s="1906" t="s">
        <v>198</v>
      </c>
      <c r="Q184" s="1906" t="s">
        <v>198</v>
      </c>
      <c r="R184" s="1906" t="s">
        <v>198</v>
      </c>
      <c r="S184" s="1891"/>
      <c r="T184" s="1891"/>
    </row>
    <row r="185" spans="1:20">
      <c r="A185" s="1908" t="s">
        <v>153</v>
      </c>
      <c r="B185" s="1908" t="s">
        <v>153</v>
      </c>
      <c r="C185" s="1908" t="s">
        <v>153</v>
      </c>
      <c r="D185" s="1908" t="s">
        <v>153</v>
      </c>
      <c r="E185" s="1908" t="s">
        <v>153</v>
      </c>
      <c r="F185" s="1908" t="s">
        <v>153</v>
      </c>
      <c r="G185" s="1903" t="s">
        <v>153</v>
      </c>
      <c r="H185" s="1903" t="s">
        <v>153</v>
      </c>
      <c r="I185" s="1903" t="s">
        <v>153</v>
      </c>
      <c r="J185" s="1903" t="s">
        <v>153</v>
      </c>
      <c r="K185" s="1903" t="s">
        <v>153</v>
      </c>
      <c r="L185" s="1903" t="s">
        <v>153</v>
      </c>
      <c r="M185" s="1903" t="s">
        <v>153</v>
      </c>
      <c r="N185" s="1905" t="s">
        <v>153</v>
      </c>
      <c r="O185" s="1906" t="s">
        <v>257</v>
      </c>
      <c r="P185" s="1906" t="s">
        <v>257</v>
      </c>
      <c r="Q185" s="1906" t="s">
        <v>257</v>
      </c>
      <c r="R185" s="1906" t="s">
        <v>257</v>
      </c>
      <c r="S185" s="1891"/>
      <c r="T185" s="1891"/>
    </row>
    <row r="186" spans="1:20">
      <c r="A186" s="1908" t="s">
        <v>153</v>
      </c>
      <c r="B186" s="1908" t="s">
        <v>153</v>
      </c>
      <c r="C186" s="1908" t="s">
        <v>153</v>
      </c>
      <c r="D186" s="1908" t="s">
        <v>153</v>
      </c>
      <c r="E186" s="1908" t="s">
        <v>153</v>
      </c>
      <c r="F186" s="1908" t="s">
        <v>153</v>
      </c>
      <c r="G186" s="1903" t="s">
        <v>153</v>
      </c>
      <c r="H186" s="1903" t="s">
        <v>153</v>
      </c>
      <c r="I186" s="1903" t="s">
        <v>153</v>
      </c>
      <c r="J186" s="1903" t="s">
        <v>153</v>
      </c>
      <c r="K186" s="1903" t="s">
        <v>153</v>
      </c>
      <c r="L186" s="1903" t="s">
        <v>153</v>
      </c>
      <c r="M186" s="1903" t="s">
        <v>153</v>
      </c>
      <c r="N186" s="1905" t="s">
        <v>153</v>
      </c>
      <c r="O186" s="1906" t="s">
        <v>258</v>
      </c>
      <c r="P186" s="1906" t="s">
        <v>258</v>
      </c>
      <c r="Q186" s="1906" t="s">
        <v>258</v>
      </c>
      <c r="R186" s="1906" t="s">
        <v>258</v>
      </c>
      <c r="S186" s="1891"/>
      <c r="T186" s="1891"/>
    </row>
    <row r="187" spans="1:20">
      <c r="A187" s="1908" t="s">
        <v>153</v>
      </c>
      <c r="B187" s="1908" t="s">
        <v>153</v>
      </c>
      <c r="C187" s="1908" t="s">
        <v>153</v>
      </c>
      <c r="D187" s="1908" t="s">
        <v>153</v>
      </c>
      <c r="E187" s="1908" t="s">
        <v>153</v>
      </c>
      <c r="F187" s="1908" t="s">
        <v>153</v>
      </c>
      <c r="G187" s="1903" t="s">
        <v>153</v>
      </c>
      <c r="H187" s="1903" t="s">
        <v>153</v>
      </c>
      <c r="I187" s="1903" t="s">
        <v>153</v>
      </c>
      <c r="J187" s="1903" t="s">
        <v>153</v>
      </c>
      <c r="K187" s="1903" t="s">
        <v>153</v>
      </c>
      <c r="L187" s="1903" t="s">
        <v>153</v>
      </c>
      <c r="M187" s="1903" t="s">
        <v>153</v>
      </c>
      <c r="N187" s="1905" t="s">
        <v>153</v>
      </c>
      <c r="O187" s="1906" t="s">
        <v>259</v>
      </c>
      <c r="P187" s="1906" t="s">
        <v>259</v>
      </c>
      <c r="Q187" s="1906" t="s">
        <v>259</v>
      </c>
      <c r="R187" s="1906" t="s">
        <v>259</v>
      </c>
      <c r="S187" s="1891"/>
      <c r="T187" s="1891"/>
    </row>
    <row r="188" spans="1:20">
      <c r="A188" s="1908" t="s">
        <v>153</v>
      </c>
      <c r="B188" s="1908" t="s">
        <v>153</v>
      </c>
      <c r="C188" s="1908" t="s">
        <v>153</v>
      </c>
      <c r="D188" s="1908" t="s">
        <v>153</v>
      </c>
      <c r="E188" s="1908" t="s">
        <v>153</v>
      </c>
      <c r="F188" s="1908" t="s">
        <v>153</v>
      </c>
      <c r="G188" s="1903" t="s">
        <v>153</v>
      </c>
      <c r="H188" s="1903" t="s">
        <v>153</v>
      </c>
      <c r="I188" s="1903" t="s">
        <v>153</v>
      </c>
      <c r="J188" s="1903" t="s">
        <v>153</v>
      </c>
      <c r="K188" s="1903" t="s">
        <v>153</v>
      </c>
      <c r="L188" s="1903" t="s">
        <v>153</v>
      </c>
      <c r="M188" s="1903" t="s">
        <v>153</v>
      </c>
      <c r="N188" s="1905" t="s">
        <v>153</v>
      </c>
      <c r="O188" s="1906" t="s">
        <v>260</v>
      </c>
      <c r="P188" s="1906" t="s">
        <v>260</v>
      </c>
      <c r="Q188" s="1906" t="s">
        <v>260</v>
      </c>
      <c r="R188" s="1906" t="s">
        <v>260</v>
      </c>
      <c r="S188" s="1891"/>
      <c r="T188" s="1891"/>
    </row>
    <row r="189" spans="1:20">
      <c r="A189" s="1908" t="s">
        <v>153</v>
      </c>
      <c r="B189" s="1908" t="s">
        <v>153</v>
      </c>
      <c r="C189" s="1908" t="s">
        <v>153</v>
      </c>
      <c r="D189" s="1908" t="s">
        <v>153</v>
      </c>
      <c r="E189" s="1908" t="s">
        <v>153</v>
      </c>
      <c r="F189" s="1908" t="s">
        <v>153</v>
      </c>
      <c r="G189" s="1903" t="s">
        <v>153</v>
      </c>
      <c r="H189" s="1903" t="s">
        <v>153</v>
      </c>
      <c r="I189" s="1903" t="s">
        <v>153</v>
      </c>
      <c r="J189" s="1903" t="s">
        <v>153</v>
      </c>
      <c r="K189" s="1903" t="s">
        <v>153</v>
      </c>
      <c r="L189" s="1903" t="s">
        <v>153</v>
      </c>
      <c r="M189" s="1903" t="s">
        <v>153</v>
      </c>
      <c r="N189" s="1905" t="s">
        <v>153</v>
      </c>
      <c r="O189" s="1906" t="s">
        <v>261</v>
      </c>
      <c r="P189" s="1906" t="s">
        <v>261</v>
      </c>
      <c r="Q189" s="1906" t="s">
        <v>261</v>
      </c>
      <c r="R189" s="1906" t="s">
        <v>261</v>
      </c>
      <c r="S189" s="1891"/>
      <c r="T189" s="1891"/>
    </row>
    <row r="190" spans="1:20">
      <c r="A190" s="1908" t="s">
        <v>153</v>
      </c>
      <c r="B190" s="1908" t="s">
        <v>153</v>
      </c>
      <c r="C190" s="1908" t="s">
        <v>153</v>
      </c>
      <c r="D190" s="1908" t="s">
        <v>153</v>
      </c>
      <c r="E190" s="1908" t="s">
        <v>153</v>
      </c>
      <c r="F190" s="1908" t="s">
        <v>153</v>
      </c>
      <c r="G190" s="1903" t="s">
        <v>153</v>
      </c>
      <c r="H190" s="1903" t="s">
        <v>153</v>
      </c>
      <c r="I190" s="1903" t="s">
        <v>153</v>
      </c>
      <c r="J190" s="1903" t="s">
        <v>153</v>
      </c>
      <c r="K190" s="1903" t="s">
        <v>153</v>
      </c>
      <c r="L190" s="1903" t="s">
        <v>153</v>
      </c>
      <c r="M190" s="1903" t="s">
        <v>153</v>
      </c>
      <c r="N190" s="1905" t="s">
        <v>153</v>
      </c>
      <c r="O190" s="1906" t="s">
        <v>262</v>
      </c>
      <c r="P190" s="1906" t="s">
        <v>262</v>
      </c>
      <c r="Q190" s="1906" t="s">
        <v>262</v>
      </c>
      <c r="R190" s="1906" t="s">
        <v>262</v>
      </c>
      <c r="S190" s="1891"/>
      <c r="T190" s="1891"/>
    </row>
    <row r="191" spans="1:20">
      <c r="A191" s="1908" t="s">
        <v>153</v>
      </c>
      <c r="B191" s="1908" t="s">
        <v>153</v>
      </c>
      <c r="C191" s="1908" t="s">
        <v>153</v>
      </c>
      <c r="D191" s="1908" t="s">
        <v>153</v>
      </c>
      <c r="E191" s="1908" t="s">
        <v>153</v>
      </c>
      <c r="F191" s="1908" t="s">
        <v>153</v>
      </c>
      <c r="G191" s="1903" t="s">
        <v>153</v>
      </c>
      <c r="H191" s="1903" t="s">
        <v>153</v>
      </c>
      <c r="I191" s="1903" t="s">
        <v>153</v>
      </c>
      <c r="J191" s="1903" t="s">
        <v>153</v>
      </c>
      <c r="K191" s="1903" t="s">
        <v>153</v>
      </c>
      <c r="L191" s="1903" t="s">
        <v>153</v>
      </c>
      <c r="M191" s="1903" t="s">
        <v>153</v>
      </c>
      <c r="N191" s="1905" t="s">
        <v>153</v>
      </c>
      <c r="O191" s="1906" t="s">
        <v>263</v>
      </c>
      <c r="P191" s="1906" t="s">
        <v>263</v>
      </c>
      <c r="Q191" s="1906" t="s">
        <v>263</v>
      </c>
      <c r="R191" s="1906" t="s">
        <v>263</v>
      </c>
      <c r="S191" s="1891"/>
      <c r="T191" s="1891"/>
    </row>
    <row r="192" spans="1:20">
      <c r="A192" s="1908" t="s">
        <v>153</v>
      </c>
      <c r="B192" s="1908" t="s">
        <v>153</v>
      </c>
      <c r="C192" s="1908" t="s">
        <v>153</v>
      </c>
      <c r="D192" s="1908" t="s">
        <v>153</v>
      </c>
      <c r="E192" s="1908" t="s">
        <v>153</v>
      </c>
      <c r="F192" s="1908" t="s">
        <v>153</v>
      </c>
      <c r="G192" s="1903" t="s">
        <v>153</v>
      </c>
      <c r="H192" s="1903" t="s">
        <v>153</v>
      </c>
      <c r="I192" s="1903" t="s">
        <v>153</v>
      </c>
      <c r="J192" s="1903" t="s">
        <v>153</v>
      </c>
      <c r="K192" s="1903" t="s">
        <v>153</v>
      </c>
      <c r="L192" s="1903" t="s">
        <v>153</v>
      </c>
      <c r="M192" s="1903" t="s">
        <v>153</v>
      </c>
      <c r="N192" s="1905" t="s">
        <v>153</v>
      </c>
      <c r="O192" s="1906" t="s">
        <v>264</v>
      </c>
      <c r="P192" s="1906" t="s">
        <v>264</v>
      </c>
      <c r="Q192" s="1906" t="s">
        <v>264</v>
      </c>
      <c r="R192" s="1906" t="s">
        <v>264</v>
      </c>
      <c r="S192" s="1891"/>
      <c r="T192" s="1891"/>
    </row>
    <row r="193" spans="1:20">
      <c r="A193" s="1908" t="s">
        <v>153</v>
      </c>
      <c r="B193" s="1908" t="s">
        <v>153</v>
      </c>
      <c r="C193" s="1908" t="s">
        <v>153</v>
      </c>
      <c r="D193" s="1908" t="s">
        <v>153</v>
      </c>
      <c r="E193" s="1908" t="s">
        <v>153</v>
      </c>
      <c r="F193" s="1908" t="s">
        <v>153</v>
      </c>
      <c r="G193" s="1903" t="s">
        <v>153</v>
      </c>
      <c r="H193" s="1903" t="s">
        <v>153</v>
      </c>
      <c r="I193" s="1903" t="s">
        <v>153</v>
      </c>
      <c r="J193" s="1903" t="s">
        <v>153</v>
      </c>
      <c r="K193" s="1903" t="s">
        <v>153</v>
      </c>
      <c r="L193" s="1903" t="s">
        <v>153</v>
      </c>
      <c r="M193" s="1903" t="s">
        <v>153</v>
      </c>
      <c r="N193" s="1905" t="s">
        <v>153</v>
      </c>
      <c r="O193" s="1906" t="s">
        <v>265</v>
      </c>
      <c r="P193" s="1906" t="s">
        <v>265</v>
      </c>
      <c r="Q193" s="1906" t="s">
        <v>265</v>
      </c>
      <c r="R193" s="1906" t="s">
        <v>265</v>
      </c>
      <c r="S193" s="1891"/>
      <c r="T193" s="1891"/>
    </row>
    <row r="194" spans="1:20">
      <c r="A194" s="1908" t="s">
        <v>153</v>
      </c>
      <c r="B194" s="1908" t="s">
        <v>153</v>
      </c>
      <c r="C194" s="1908" t="s">
        <v>153</v>
      </c>
      <c r="D194" s="1908" t="s">
        <v>153</v>
      </c>
      <c r="E194" s="1908" t="s">
        <v>153</v>
      </c>
      <c r="F194" s="1908" t="s">
        <v>153</v>
      </c>
      <c r="G194" s="1903" t="s">
        <v>153</v>
      </c>
      <c r="H194" s="1903" t="s">
        <v>153</v>
      </c>
      <c r="I194" s="1903" t="s">
        <v>153</v>
      </c>
      <c r="J194" s="1903" t="s">
        <v>153</v>
      </c>
      <c r="K194" s="1903" t="s">
        <v>153</v>
      </c>
      <c r="L194" s="1903" t="s">
        <v>153</v>
      </c>
      <c r="M194" s="1903" t="s">
        <v>153</v>
      </c>
      <c r="N194" s="1905" t="s">
        <v>153</v>
      </c>
      <c r="O194" s="1906" t="s">
        <v>266</v>
      </c>
      <c r="P194" s="1906" t="s">
        <v>266</v>
      </c>
      <c r="Q194" s="1906" t="s">
        <v>266</v>
      </c>
      <c r="R194" s="1906" t="s">
        <v>266</v>
      </c>
      <c r="S194" s="1891"/>
      <c r="T194" s="1891"/>
    </row>
    <row r="195" spans="1:20">
      <c r="A195" s="1908" t="s">
        <v>153</v>
      </c>
      <c r="B195" s="1908" t="s">
        <v>153</v>
      </c>
      <c r="C195" s="1908" t="s">
        <v>153</v>
      </c>
      <c r="D195" s="1908" t="s">
        <v>153</v>
      </c>
      <c r="E195" s="1908" t="s">
        <v>153</v>
      </c>
      <c r="F195" s="1908" t="s">
        <v>153</v>
      </c>
      <c r="G195" s="1903" t="s">
        <v>153</v>
      </c>
      <c r="H195" s="1903" t="s">
        <v>153</v>
      </c>
      <c r="I195" s="1903" t="s">
        <v>153</v>
      </c>
      <c r="J195" s="1903" t="s">
        <v>153</v>
      </c>
      <c r="K195" s="1903" t="s">
        <v>153</v>
      </c>
      <c r="L195" s="1903" t="s">
        <v>153</v>
      </c>
      <c r="M195" s="1903" t="s">
        <v>153</v>
      </c>
      <c r="N195" s="1905" t="s">
        <v>153</v>
      </c>
      <c r="O195" s="1906" t="s">
        <v>267</v>
      </c>
      <c r="P195" s="1906" t="s">
        <v>267</v>
      </c>
      <c r="Q195" s="1906" t="s">
        <v>267</v>
      </c>
      <c r="R195" s="1906" t="s">
        <v>267</v>
      </c>
      <c r="S195" s="1891"/>
      <c r="T195" s="1891"/>
    </row>
    <row r="196" spans="1:20">
      <c r="A196" s="1908" t="s">
        <v>153</v>
      </c>
      <c r="B196" s="1908" t="s">
        <v>153</v>
      </c>
      <c r="C196" s="1908" t="s">
        <v>153</v>
      </c>
      <c r="D196" s="1908" t="s">
        <v>153</v>
      </c>
      <c r="E196" s="1908" t="s">
        <v>153</v>
      </c>
      <c r="F196" s="1908" t="s">
        <v>153</v>
      </c>
      <c r="G196" s="1903" t="s">
        <v>153</v>
      </c>
      <c r="H196" s="1903" t="s">
        <v>153</v>
      </c>
      <c r="I196" s="1903" t="s">
        <v>153</v>
      </c>
      <c r="J196" s="1903" t="s">
        <v>153</v>
      </c>
      <c r="K196" s="1903" t="s">
        <v>153</v>
      </c>
      <c r="L196" s="1903" t="s">
        <v>153</v>
      </c>
      <c r="M196" s="1903" t="s">
        <v>153</v>
      </c>
      <c r="N196" s="1905" t="s">
        <v>153</v>
      </c>
      <c r="O196" s="1906" t="s">
        <v>268</v>
      </c>
      <c r="P196" s="1906" t="s">
        <v>268</v>
      </c>
      <c r="Q196" s="1906" t="s">
        <v>268</v>
      </c>
      <c r="R196" s="1906" t="s">
        <v>268</v>
      </c>
      <c r="S196" s="1891"/>
      <c r="T196" s="1891"/>
    </row>
    <row r="197" spans="1:20">
      <c r="A197" s="1908" t="s">
        <v>153</v>
      </c>
      <c r="B197" s="1908" t="s">
        <v>153</v>
      </c>
      <c r="C197" s="1908" t="s">
        <v>153</v>
      </c>
      <c r="D197" s="1908" t="s">
        <v>153</v>
      </c>
      <c r="E197" s="1908" t="s">
        <v>153</v>
      </c>
      <c r="F197" s="1908" t="s">
        <v>153</v>
      </c>
      <c r="G197" s="1903" t="s">
        <v>153</v>
      </c>
      <c r="H197" s="1903" t="s">
        <v>153</v>
      </c>
      <c r="I197" s="1903" t="s">
        <v>153</v>
      </c>
      <c r="J197" s="1903" t="s">
        <v>153</v>
      </c>
      <c r="K197" s="1903" t="s">
        <v>153</v>
      </c>
      <c r="L197" s="1903" t="s">
        <v>153</v>
      </c>
      <c r="M197" s="1903" t="s">
        <v>153</v>
      </c>
      <c r="N197" s="1905" t="s">
        <v>153</v>
      </c>
      <c r="O197" s="1906" t="s">
        <v>269</v>
      </c>
      <c r="P197" s="1906" t="s">
        <v>269</v>
      </c>
      <c r="Q197" s="1906" t="s">
        <v>269</v>
      </c>
      <c r="R197" s="1906" t="s">
        <v>269</v>
      </c>
      <c r="S197" s="1891"/>
      <c r="T197" s="1891"/>
    </row>
    <row r="198" spans="1:20">
      <c r="A198" s="1908" t="s">
        <v>153</v>
      </c>
      <c r="B198" s="1908" t="s">
        <v>153</v>
      </c>
      <c r="C198" s="1908" t="s">
        <v>153</v>
      </c>
      <c r="D198" s="1908" t="s">
        <v>153</v>
      </c>
      <c r="E198" s="1908" t="s">
        <v>153</v>
      </c>
      <c r="F198" s="1908" t="s">
        <v>153</v>
      </c>
      <c r="G198" s="1903" t="s">
        <v>153</v>
      </c>
      <c r="H198" s="1903" t="s">
        <v>153</v>
      </c>
      <c r="I198" s="1903" t="s">
        <v>153</v>
      </c>
      <c r="J198" s="1903" t="s">
        <v>153</v>
      </c>
      <c r="K198" s="1903" t="s">
        <v>153</v>
      </c>
      <c r="L198" s="1903" t="s">
        <v>153</v>
      </c>
      <c r="M198" s="1903" t="s">
        <v>153</v>
      </c>
      <c r="N198" s="1905" t="s">
        <v>153</v>
      </c>
      <c r="O198" s="1906" t="s">
        <v>270</v>
      </c>
      <c r="P198" s="1906" t="s">
        <v>270</v>
      </c>
      <c r="Q198" s="1906" t="s">
        <v>270</v>
      </c>
      <c r="R198" s="1906" t="s">
        <v>270</v>
      </c>
      <c r="S198" s="1891"/>
      <c r="T198" s="1891"/>
    </row>
    <row r="199" spans="1:20">
      <c r="A199" s="1908" t="s">
        <v>153</v>
      </c>
      <c r="B199" s="1908" t="s">
        <v>153</v>
      </c>
      <c r="C199" s="1908" t="s">
        <v>153</v>
      </c>
      <c r="D199" s="1908" t="s">
        <v>153</v>
      </c>
      <c r="E199" s="1908" t="s">
        <v>153</v>
      </c>
      <c r="F199" s="1908" t="s">
        <v>153</v>
      </c>
      <c r="G199" s="1903" t="s">
        <v>153</v>
      </c>
      <c r="H199" s="1903" t="s">
        <v>153</v>
      </c>
      <c r="I199" s="1903" t="s">
        <v>153</v>
      </c>
      <c r="J199" s="1903" t="s">
        <v>153</v>
      </c>
      <c r="K199" s="1903" t="s">
        <v>153</v>
      </c>
      <c r="L199" s="1903" t="s">
        <v>153</v>
      </c>
      <c r="M199" s="1903" t="s">
        <v>153</v>
      </c>
      <c r="N199" s="1905" t="s">
        <v>153</v>
      </c>
      <c r="O199" s="1906" t="s">
        <v>271</v>
      </c>
      <c r="P199" s="1906" t="s">
        <v>271</v>
      </c>
      <c r="Q199" s="1906" t="s">
        <v>271</v>
      </c>
      <c r="R199" s="1906" t="s">
        <v>271</v>
      </c>
      <c r="S199" s="1891"/>
      <c r="T199" s="1891"/>
    </row>
    <row r="200" spans="1:20">
      <c r="A200" s="1908" t="s">
        <v>153</v>
      </c>
      <c r="B200" s="1908" t="s">
        <v>153</v>
      </c>
      <c r="C200" s="1908" t="s">
        <v>153</v>
      </c>
      <c r="D200" s="1908" t="s">
        <v>153</v>
      </c>
      <c r="E200" s="1908" t="s">
        <v>153</v>
      </c>
      <c r="F200" s="1908" t="s">
        <v>153</v>
      </c>
      <c r="G200" s="1903" t="s">
        <v>153</v>
      </c>
      <c r="H200" s="1903" t="s">
        <v>153</v>
      </c>
      <c r="I200" s="1903" t="s">
        <v>153</v>
      </c>
      <c r="J200" s="1903" t="s">
        <v>153</v>
      </c>
      <c r="K200" s="1903" t="s">
        <v>153</v>
      </c>
      <c r="L200" s="1903" t="s">
        <v>153</v>
      </c>
      <c r="M200" s="1903" t="s">
        <v>153</v>
      </c>
      <c r="N200" s="1905" t="s">
        <v>153</v>
      </c>
      <c r="O200" s="1906" t="s">
        <v>272</v>
      </c>
      <c r="P200" s="1906" t="s">
        <v>272</v>
      </c>
      <c r="Q200" s="1906" t="s">
        <v>272</v>
      </c>
      <c r="R200" s="1906" t="s">
        <v>272</v>
      </c>
      <c r="S200" s="1891"/>
      <c r="T200" s="1891"/>
    </row>
    <row r="201" spans="1:20">
      <c r="A201" s="1908" t="s">
        <v>153</v>
      </c>
      <c r="B201" s="1908" t="s">
        <v>153</v>
      </c>
      <c r="C201" s="1908" t="s">
        <v>153</v>
      </c>
      <c r="D201" s="1908" t="s">
        <v>153</v>
      </c>
      <c r="E201" s="1908" t="s">
        <v>153</v>
      </c>
      <c r="F201" s="1908" t="s">
        <v>153</v>
      </c>
      <c r="G201" s="1903" t="s">
        <v>153</v>
      </c>
      <c r="H201" s="1903" t="s">
        <v>153</v>
      </c>
      <c r="I201" s="1903" t="s">
        <v>153</v>
      </c>
      <c r="J201" s="1903" t="s">
        <v>153</v>
      </c>
      <c r="K201" s="1903" t="s">
        <v>153</v>
      </c>
      <c r="L201" s="1903" t="s">
        <v>153</v>
      </c>
      <c r="M201" s="1903" t="s">
        <v>153</v>
      </c>
      <c r="N201" s="1905" t="s">
        <v>153</v>
      </c>
      <c r="O201" s="1906" t="s">
        <v>273</v>
      </c>
      <c r="P201" s="1906" t="s">
        <v>273</v>
      </c>
      <c r="Q201" s="1906" t="s">
        <v>273</v>
      </c>
      <c r="R201" s="1906" t="s">
        <v>273</v>
      </c>
      <c r="S201" s="1891"/>
      <c r="T201" s="1891"/>
    </row>
    <row r="202" spans="1:20">
      <c r="A202" s="1908" t="s">
        <v>153</v>
      </c>
      <c r="B202" s="1908" t="s">
        <v>153</v>
      </c>
      <c r="C202" s="1908" t="s">
        <v>153</v>
      </c>
      <c r="D202" s="1908" t="s">
        <v>153</v>
      </c>
      <c r="E202" s="1908" t="s">
        <v>153</v>
      </c>
      <c r="F202" s="1908" t="s">
        <v>153</v>
      </c>
      <c r="G202" s="1903" t="s">
        <v>153</v>
      </c>
      <c r="H202" s="1903" t="s">
        <v>153</v>
      </c>
      <c r="I202" s="1903" t="s">
        <v>153</v>
      </c>
      <c r="J202" s="1903" t="s">
        <v>153</v>
      </c>
      <c r="K202" s="1903" t="s">
        <v>153</v>
      </c>
      <c r="L202" s="1903" t="s">
        <v>153</v>
      </c>
      <c r="M202" s="1903" t="s">
        <v>153</v>
      </c>
      <c r="N202" s="1905" t="s">
        <v>153</v>
      </c>
      <c r="O202" s="1906" t="s">
        <v>274</v>
      </c>
      <c r="P202" s="1906" t="s">
        <v>274</v>
      </c>
      <c r="Q202" s="1906" t="s">
        <v>178</v>
      </c>
      <c r="R202" s="1906" t="s">
        <v>178</v>
      </c>
      <c r="S202" s="1891"/>
      <c r="T202" s="1891"/>
    </row>
    <row r="203" spans="1:20">
      <c r="A203" s="1908" t="s">
        <v>153</v>
      </c>
      <c r="B203" s="1908" t="s">
        <v>153</v>
      </c>
      <c r="C203" s="1908" t="s">
        <v>153</v>
      </c>
      <c r="D203" s="1908" t="s">
        <v>153</v>
      </c>
      <c r="E203" s="1908" t="s">
        <v>153</v>
      </c>
      <c r="F203" s="1908" t="s">
        <v>153</v>
      </c>
      <c r="G203" s="1903" t="s">
        <v>153</v>
      </c>
      <c r="H203" s="1903" t="s">
        <v>153</v>
      </c>
      <c r="I203" s="1903" t="s">
        <v>153</v>
      </c>
      <c r="J203" s="1903" t="s">
        <v>153</v>
      </c>
      <c r="K203" s="1903" t="s">
        <v>153</v>
      </c>
      <c r="L203" s="1903" t="s">
        <v>153</v>
      </c>
      <c r="M203" s="1903" t="s">
        <v>153</v>
      </c>
      <c r="N203" s="1905" t="s">
        <v>153</v>
      </c>
      <c r="O203" s="1906" t="s">
        <v>275</v>
      </c>
      <c r="P203" s="1906" t="s">
        <v>275</v>
      </c>
      <c r="Q203" s="1906" t="s">
        <v>274</v>
      </c>
      <c r="R203" s="1906" t="s">
        <v>274</v>
      </c>
      <c r="S203" s="1891"/>
      <c r="T203" s="1891"/>
    </row>
    <row r="204" spans="1:20">
      <c r="A204" s="1908" t="s">
        <v>153</v>
      </c>
      <c r="B204" s="1908" t="s">
        <v>153</v>
      </c>
      <c r="C204" s="1908" t="s">
        <v>153</v>
      </c>
      <c r="D204" s="1908" t="s">
        <v>153</v>
      </c>
      <c r="E204" s="1908" t="s">
        <v>153</v>
      </c>
      <c r="F204" s="1908" t="s">
        <v>153</v>
      </c>
      <c r="G204" s="1903" t="s">
        <v>153</v>
      </c>
      <c r="H204" s="1903" t="s">
        <v>153</v>
      </c>
      <c r="I204" s="1903" t="s">
        <v>153</v>
      </c>
      <c r="J204" s="1903" t="s">
        <v>153</v>
      </c>
      <c r="K204" s="1903" t="s">
        <v>153</v>
      </c>
      <c r="L204" s="1903" t="s">
        <v>153</v>
      </c>
      <c r="M204" s="1903" t="s">
        <v>153</v>
      </c>
      <c r="N204" s="1905" t="s">
        <v>153</v>
      </c>
      <c r="O204" s="1906" t="s">
        <v>181</v>
      </c>
      <c r="P204" s="1906" t="s">
        <v>181</v>
      </c>
      <c r="Q204" s="1906" t="s">
        <v>275</v>
      </c>
      <c r="R204" s="1906" t="s">
        <v>275</v>
      </c>
      <c r="S204" s="1891"/>
      <c r="T204" s="1891"/>
    </row>
    <row r="205" spans="1:20">
      <c r="A205" s="1908" t="s">
        <v>153</v>
      </c>
      <c r="B205" s="1908" t="s">
        <v>153</v>
      </c>
      <c r="C205" s="1908" t="s">
        <v>153</v>
      </c>
      <c r="D205" s="1908" t="s">
        <v>153</v>
      </c>
      <c r="E205" s="1908" t="s">
        <v>153</v>
      </c>
      <c r="F205" s="1908" t="s">
        <v>153</v>
      </c>
      <c r="G205" s="1903" t="s">
        <v>153</v>
      </c>
      <c r="H205" s="1903" t="s">
        <v>153</v>
      </c>
      <c r="I205" s="1903" t="s">
        <v>153</v>
      </c>
      <c r="J205" s="1903" t="s">
        <v>153</v>
      </c>
      <c r="K205" s="1903" t="s">
        <v>153</v>
      </c>
      <c r="L205" s="1903" t="s">
        <v>153</v>
      </c>
      <c r="M205" s="1903" t="s">
        <v>153</v>
      </c>
      <c r="N205" s="1905" t="s">
        <v>153</v>
      </c>
      <c r="O205" s="1906" t="s">
        <v>212</v>
      </c>
      <c r="P205" s="1906" t="s">
        <v>212</v>
      </c>
      <c r="Q205" s="1906" t="s">
        <v>212</v>
      </c>
      <c r="R205" s="1906" t="s">
        <v>153</v>
      </c>
      <c r="S205" s="1891"/>
      <c r="T205" s="1891"/>
    </row>
    <row r="206" spans="1:20">
      <c r="A206" s="1908" t="s">
        <v>153</v>
      </c>
      <c r="B206" s="1908" t="s">
        <v>153</v>
      </c>
      <c r="C206" s="1908" t="s">
        <v>153</v>
      </c>
      <c r="D206" s="1908" t="s">
        <v>153</v>
      </c>
      <c r="E206" s="1908" t="s">
        <v>153</v>
      </c>
      <c r="F206" s="1908" t="s">
        <v>153</v>
      </c>
      <c r="G206" s="1903" t="s">
        <v>153</v>
      </c>
      <c r="H206" s="1903" t="s">
        <v>153</v>
      </c>
      <c r="I206" s="1903" t="s">
        <v>153</v>
      </c>
      <c r="J206" s="1903" t="s">
        <v>153</v>
      </c>
      <c r="K206" s="1903" t="s">
        <v>153</v>
      </c>
      <c r="L206" s="1903" t="s">
        <v>153</v>
      </c>
      <c r="M206" s="1903" t="s">
        <v>153</v>
      </c>
      <c r="N206" s="1905" t="s">
        <v>153</v>
      </c>
      <c r="O206" s="1906" t="s">
        <v>214</v>
      </c>
      <c r="P206" s="1906" t="s">
        <v>214</v>
      </c>
      <c r="Q206" s="1906" t="s">
        <v>214</v>
      </c>
      <c r="R206" s="1906" t="s">
        <v>153</v>
      </c>
      <c r="S206" s="1891"/>
      <c r="T206" s="1891"/>
    </row>
    <row r="207" spans="1:20">
      <c r="A207" s="1908" t="s">
        <v>153</v>
      </c>
      <c r="B207" s="1908" t="s">
        <v>153</v>
      </c>
      <c r="C207" s="1908" t="s">
        <v>153</v>
      </c>
      <c r="D207" s="1908" t="s">
        <v>153</v>
      </c>
      <c r="E207" s="1908" t="s">
        <v>153</v>
      </c>
      <c r="F207" s="1908" t="s">
        <v>153</v>
      </c>
      <c r="G207" s="1903" t="s">
        <v>153</v>
      </c>
      <c r="H207" s="1903" t="s">
        <v>153</v>
      </c>
      <c r="I207" s="1903" t="s">
        <v>153</v>
      </c>
      <c r="J207" s="1903" t="s">
        <v>153</v>
      </c>
      <c r="K207" s="1903" t="s">
        <v>153</v>
      </c>
      <c r="L207" s="1903" t="s">
        <v>153</v>
      </c>
      <c r="M207" s="1903" t="s">
        <v>153</v>
      </c>
      <c r="N207" s="1905" t="s">
        <v>153</v>
      </c>
      <c r="O207" s="1906" t="s">
        <v>276</v>
      </c>
      <c r="P207" s="1906" t="s">
        <v>276</v>
      </c>
      <c r="Q207" s="1906" t="s">
        <v>276</v>
      </c>
      <c r="R207" s="1906" t="s">
        <v>153</v>
      </c>
      <c r="S207" s="1891"/>
      <c r="T207" s="1891"/>
    </row>
    <row r="208" spans="1:20">
      <c r="A208" s="1908" t="s">
        <v>153</v>
      </c>
      <c r="B208" s="1908" t="s">
        <v>153</v>
      </c>
      <c r="C208" s="1908" t="s">
        <v>153</v>
      </c>
      <c r="D208" s="1908" t="s">
        <v>153</v>
      </c>
      <c r="E208" s="1908" t="s">
        <v>153</v>
      </c>
      <c r="F208" s="1908" t="s">
        <v>153</v>
      </c>
      <c r="G208" s="1903" t="s">
        <v>153</v>
      </c>
      <c r="H208" s="1903" t="s">
        <v>153</v>
      </c>
      <c r="I208" s="1903" t="s">
        <v>153</v>
      </c>
      <c r="J208" s="1903" t="s">
        <v>153</v>
      </c>
      <c r="K208" s="1903" t="s">
        <v>153</v>
      </c>
      <c r="L208" s="1903" t="s">
        <v>153</v>
      </c>
      <c r="M208" s="1903" t="s">
        <v>153</v>
      </c>
      <c r="N208" s="1905" t="s">
        <v>153</v>
      </c>
      <c r="O208" s="1906" t="s">
        <v>277</v>
      </c>
      <c r="P208" s="1906" t="s">
        <v>277</v>
      </c>
      <c r="Q208" s="1906" t="s">
        <v>277</v>
      </c>
      <c r="R208" s="1906" t="s">
        <v>153</v>
      </c>
      <c r="S208" s="1891"/>
      <c r="T208" s="1891"/>
    </row>
    <row r="209" spans="1:22">
      <c r="A209" s="1908" t="s">
        <v>153</v>
      </c>
      <c r="B209" s="1908" t="s">
        <v>153</v>
      </c>
      <c r="C209" s="1908" t="s">
        <v>153</v>
      </c>
      <c r="D209" s="1908" t="s">
        <v>153</v>
      </c>
      <c r="E209" s="1908" t="s">
        <v>153</v>
      </c>
      <c r="F209" s="1908" t="s">
        <v>153</v>
      </c>
      <c r="G209" s="1903" t="s">
        <v>153</v>
      </c>
      <c r="H209" s="1903" t="s">
        <v>153</v>
      </c>
      <c r="I209" s="1903" t="s">
        <v>153</v>
      </c>
      <c r="J209" s="1903" t="s">
        <v>153</v>
      </c>
      <c r="K209" s="1903" t="s">
        <v>153</v>
      </c>
      <c r="L209" s="1903" t="s">
        <v>153</v>
      </c>
      <c r="M209" s="1903" t="s">
        <v>153</v>
      </c>
      <c r="N209" s="1905" t="s">
        <v>153</v>
      </c>
      <c r="O209" s="1906" t="s">
        <v>278</v>
      </c>
      <c r="P209" s="1906" t="s">
        <v>278</v>
      </c>
      <c r="Q209" s="1906" t="s">
        <v>153</v>
      </c>
      <c r="R209" s="1906" t="s">
        <v>153</v>
      </c>
      <c r="S209" s="1891"/>
      <c r="T209" s="1891"/>
    </row>
    <row r="210" spans="1:22">
      <c r="A210" s="1908" t="s">
        <v>153</v>
      </c>
      <c r="B210" s="1908" t="s">
        <v>153</v>
      </c>
      <c r="C210" s="1908" t="s">
        <v>153</v>
      </c>
      <c r="D210" s="1908" t="s">
        <v>153</v>
      </c>
      <c r="E210" s="1908" t="s">
        <v>153</v>
      </c>
      <c r="F210" s="1908" t="s">
        <v>153</v>
      </c>
      <c r="G210" s="1903" t="s">
        <v>153</v>
      </c>
      <c r="H210" s="1903" t="s">
        <v>153</v>
      </c>
      <c r="I210" s="1903" t="s">
        <v>153</v>
      </c>
      <c r="J210" s="1903" t="s">
        <v>153</v>
      </c>
      <c r="K210" s="1903" t="s">
        <v>153</v>
      </c>
      <c r="L210" s="1903" t="s">
        <v>153</v>
      </c>
      <c r="M210" s="1903" t="s">
        <v>153</v>
      </c>
      <c r="N210" s="1905" t="s">
        <v>153</v>
      </c>
      <c r="O210" s="1906" t="s">
        <v>279</v>
      </c>
      <c r="P210" s="1906" t="s">
        <v>153</v>
      </c>
      <c r="Q210" s="1906" t="s">
        <v>153</v>
      </c>
      <c r="R210" s="1906" t="s">
        <v>153</v>
      </c>
      <c r="S210" s="1891"/>
      <c r="T210" s="1891"/>
    </row>
    <row r="211" spans="1:22">
      <c r="A211" s="1908" t="s">
        <v>153</v>
      </c>
      <c r="B211" s="1908" t="s">
        <v>153</v>
      </c>
      <c r="C211" s="1908" t="s">
        <v>153</v>
      </c>
      <c r="D211" s="1908" t="s">
        <v>153</v>
      </c>
      <c r="E211" s="1908" t="s">
        <v>153</v>
      </c>
      <c r="F211" s="1908" t="s">
        <v>153</v>
      </c>
      <c r="G211" s="1903" t="s">
        <v>153</v>
      </c>
      <c r="H211" s="1903" t="s">
        <v>153</v>
      </c>
      <c r="I211" s="1903" t="s">
        <v>153</v>
      </c>
      <c r="J211" s="1903" t="s">
        <v>153</v>
      </c>
      <c r="K211" s="1903" t="s">
        <v>153</v>
      </c>
      <c r="L211" s="1903" t="s">
        <v>153</v>
      </c>
      <c r="M211" s="1903" t="s">
        <v>153</v>
      </c>
      <c r="N211" s="1905" t="s">
        <v>153</v>
      </c>
      <c r="O211" s="1906" t="s">
        <v>280</v>
      </c>
      <c r="P211" s="1906" t="s">
        <v>280</v>
      </c>
      <c r="Q211" s="1906" t="s">
        <v>280</v>
      </c>
      <c r="R211" s="1906" t="s">
        <v>281</v>
      </c>
      <c r="S211" s="1891"/>
      <c r="T211" s="1891"/>
    </row>
    <row r="212" spans="1:22">
      <c r="A212" s="1908" t="s">
        <v>153</v>
      </c>
      <c r="B212" s="1908" t="s">
        <v>153</v>
      </c>
      <c r="C212" s="1908" t="s">
        <v>153</v>
      </c>
      <c r="D212" s="1908" t="s">
        <v>153</v>
      </c>
      <c r="E212" s="1908" t="s">
        <v>153</v>
      </c>
      <c r="F212" s="1908" t="s">
        <v>153</v>
      </c>
      <c r="G212" s="1903" t="s">
        <v>153</v>
      </c>
      <c r="H212" s="1903" t="s">
        <v>153</v>
      </c>
      <c r="I212" s="1903" t="s">
        <v>153</v>
      </c>
      <c r="J212" s="1903" t="s">
        <v>153</v>
      </c>
      <c r="K212" s="1903" t="s">
        <v>153</v>
      </c>
      <c r="L212" s="1903" t="s">
        <v>153</v>
      </c>
      <c r="M212" s="1903" t="s">
        <v>153</v>
      </c>
      <c r="N212" s="1905" t="s">
        <v>153</v>
      </c>
      <c r="O212" s="1906" t="s">
        <v>282</v>
      </c>
      <c r="P212" s="1906" t="s">
        <v>282</v>
      </c>
      <c r="Q212" s="1906" t="s">
        <v>282</v>
      </c>
      <c r="R212" s="1906" t="s">
        <v>283</v>
      </c>
      <c r="S212" s="1891"/>
      <c r="T212" s="1891"/>
    </row>
    <row r="213" spans="1:22">
      <c r="A213" s="1908" t="s">
        <v>153</v>
      </c>
      <c r="B213" s="1908" t="s">
        <v>153</v>
      </c>
      <c r="C213" s="1908" t="s">
        <v>153</v>
      </c>
      <c r="D213" s="1908" t="s">
        <v>153</v>
      </c>
      <c r="E213" s="1908" t="s">
        <v>153</v>
      </c>
      <c r="F213" s="1908" t="s">
        <v>153</v>
      </c>
      <c r="G213" s="1903" t="s">
        <v>153</v>
      </c>
      <c r="H213" s="1903" t="s">
        <v>153</v>
      </c>
      <c r="I213" s="1903" t="s">
        <v>153</v>
      </c>
      <c r="J213" s="1903" t="s">
        <v>153</v>
      </c>
      <c r="K213" s="1903" t="s">
        <v>153</v>
      </c>
      <c r="L213" s="1903" t="s">
        <v>153</v>
      </c>
      <c r="M213" s="1903" t="s">
        <v>153</v>
      </c>
      <c r="N213" s="1905" t="s">
        <v>153</v>
      </c>
      <c r="O213" s="1906" t="s">
        <v>284</v>
      </c>
      <c r="P213" s="1906" t="s">
        <v>284</v>
      </c>
      <c r="Q213" s="1906" t="s">
        <v>284</v>
      </c>
      <c r="R213" s="1906" t="s">
        <v>285</v>
      </c>
      <c r="S213" s="1891"/>
      <c r="T213" s="1891"/>
    </row>
    <row r="214" spans="1:22">
      <c r="A214" s="1908" t="s">
        <v>153</v>
      </c>
      <c r="B214" s="1908" t="s">
        <v>153</v>
      </c>
      <c r="C214" s="1908" t="s">
        <v>153</v>
      </c>
      <c r="D214" s="1908" t="s">
        <v>153</v>
      </c>
      <c r="E214" s="1908" t="s">
        <v>153</v>
      </c>
      <c r="F214" s="1908" t="s">
        <v>153</v>
      </c>
      <c r="G214" s="1903" t="s">
        <v>153</v>
      </c>
      <c r="H214" s="1903" t="s">
        <v>153</v>
      </c>
      <c r="I214" s="1903" t="s">
        <v>153</v>
      </c>
      <c r="J214" s="1903" t="s">
        <v>153</v>
      </c>
      <c r="K214" s="1903" t="s">
        <v>153</v>
      </c>
      <c r="L214" s="1903" t="s">
        <v>153</v>
      </c>
      <c r="M214" s="1903" t="s">
        <v>153</v>
      </c>
      <c r="N214" s="1905" t="s">
        <v>153</v>
      </c>
      <c r="O214" s="1906" t="s">
        <v>286</v>
      </c>
      <c r="P214" s="1906" t="s">
        <v>286</v>
      </c>
      <c r="Q214" s="1906" t="s">
        <v>286</v>
      </c>
      <c r="R214" s="1906" t="s">
        <v>162</v>
      </c>
      <c r="S214" s="1891"/>
      <c r="T214" s="1891"/>
    </row>
    <row r="215" spans="1:22">
      <c r="A215" s="1908" t="s">
        <v>153</v>
      </c>
      <c r="B215" s="1908" t="s">
        <v>153</v>
      </c>
      <c r="C215" s="1908" t="s">
        <v>153</v>
      </c>
      <c r="D215" s="1908" t="s">
        <v>153</v>
      </c>
      <c r="E215" s="1908" t="s">
        <v>153</v>
      </c>
      <c r="F215" s="1908" t="s">
        <v>153</v>
      </c>
      <c r="G215" s="1908" t="s">
        <v>153</v>
      </c>
      <c r="H215" s="1908" t="s">
        <v>153</v>
      </c>
      <c r="I215" s="1908" t="s">
        <v>153</v>
      </c>
      <c r="J215" s="1908" t="s">
        <v>153</v>
      </c>
      <c r="K215" s="1908" t="s">
        <v>153</v>
      </c>
      <c r="L215" s="1908" t="s">
        <v>153</v>
      </c>
      <c r="M215" s="1908" t="s">
        <v>153</v>
      </c>
      <c r="N215" s="1906" t="s">
        <v>153</v>
      </c>
      <c r="O215" s="1906" t="s">
        <v>153</v>
      </c>
      <c r="P215" s="1906" t="s">
        <v>256</v>
      </c>
      <c r="Q215" s="1906" t="s">
        <v>153</v>
      </c>
      <c r="R215" s="1906" t="s">
        <v>153</v>
      </c>
      <c r="S215" s="1891"/>
      <c r="T215" s="1891"/>
    </row>
    <row r="216" spans="1:22">
      <c r="A216" s="1908" t="s">
        <v>153</v>
      </c>
      <c r="B216" s="1908" t="s">
        <v>153</v>
      </c>
      <c r="C216" s="1908" t="s">
        <v>153</v>
      </c>
      <c r="D216" s="1908" t="s">
        <v>153</v>
      </c>
      <c r="E216" s="1908" t="s">
        <v>153</v>
      </c>
      <c r="F216" s="1908" t="s">
        <v>153</v>
      </c>
      <c r="G216" s="1908" t="s">
        <v>153</v>
      </c>
      <c r="H216" s="1908" t="s">
        <v>153</v>
      </c>
      <c r="I216" s="1908" t="s">
        <v>153</v>
      </c>
      <c r="J216" s="1908" t="s">
        <v>153</v>
      </c>
      <c r="K216" s="1908" t="s">
        <v>153</v>
      </c>
      <c r="L216" s="1908" t="s">
        <v>153</v>
      </c>
      <c r="M216" s="1908" t="s">
        <v>153</v>
      </c>
      <c r="N216" s="1906" t="s">
        <v>153</v>
      </c>
      <c r="O216" s="1906" t="s">
        <v>153</v>
      </c>
      <c r="P216" s="1906" t="s">
        <v>153</v>
      </c>
      <c r="Q216" s="1906" t="s">
        <v>251</v>
      </c>
      <c r="R216" s="1906" t="s">
        <v>256</v>
      </c>
      <c r="S216" s="1891"/>
      <c r="T216" s="1891"/>
    </row>
    <row r="217" spans="1:22">
      <c r="A217" s="1908" t="s">
        <v>153</v>
      </c>
      <c r="B217" s="1908" t="s">
        <v>153</v>
      </c>
      <c r="C217" s="1908" t="s">
        <v>153</v>
      </c>
      <c r="D217" s="1908" t="s">
        <v>153</v>
      </c>
      <c r="E217" s="1908" t="s">
        <v>153</v>
      </c>
      <c r="F217" s="1908" t="s">
        <v>153</v>
      </c>
      <c r="G217" s="1908" t="s">
        <v>153</v>
      </c>
      <c r="H217" s="1908" t="s">
        <v>153</v>
      </c>
      <c r="I217" s="1908" t="s">
        <v>153</v>
      </c>
      <c r="J217" s="1908" t="s">
        <v>153</v>
      </c>
      <c r="K217" s="1908" t="s">
        <v>153</v>
      </c>
      <c r="L217" s="1908" t="s">
        <v>153</v>
      </c>
      <c r="M217" s="1908" t="s">
        <v>153</v>
      </c>
      <c r="N217" s="1906" t="s">
        <v>153</v>
      </c>
      <c r="O217" s="1906" t="s">
        <v>153</v>
      </c>
      <c r="P217" s="1906" t="s">
        <v>153</v>
      </c>
      <c r="Q217" s="1906" t="s">
        <v>153</v>
      </c>
      <c r="R217" s="1906" t="s">
        <v>153</v>
      </c>
      <c r="S217" s="1891"/>
      <c r="T217" s="1891"/>
    </row>
    <row r="218" spans="1:22">
      <c r="A218" s="1919">
        <f t="shared" ref="A218:R218" si="0">COUNTIF(A7:A217,"&lt;&gt;-")</f>
        <v>132</v>
      </c>
      <c r="B218" s="1919">
        <f t="shared" si="0"/>
        <v>128</v>
      </c>
      <c r="C218" s="1919">
        <f t="shared" si="0"/>
        <v>131</v>
      </c>
      <c r="D218" s="1919">
        <f t="shared" si="0"/>
        <v>133</v>
      </c>
      <c r="E218" s="1919">
        <f t="shared" si="0"/>
        <v>131</v>
      </c>
      <c r="F218" s="1919">
        <f t="shared" si="0"/>
        <v>130</v>
      </c>
      <c r="G218" s="1919">
        <f t="shared" si="0"/>
        <v>133</v>
      </c>
      <c r="H218" s="1919">
        <f t="shared" si="0"/>
        <v>130</v>
      </c>
      <c r="I218" s="1919">
        <f t="shared" si="0"/>
        <v>129</v>
      </c>
      <c r="J218" s="1919">
        <f t="shared" si="0"/>
        <v>139</v>
      </c>
      <c r="K218" s="1919">
        <f t="shared" si="0"/>
        <v>135</v>
      </c>
      <c r="L218" s="1919">
        <f t="shared" si="0"/>
        <v>125</v>
      </c>
      <c r="M218" s="1919">
        <f t="shared" si="0"/>
        <v>113</v>
      </c>
      <c r="N218" s="1919">
        <f t="shared" si="0"/>
        <v>92</v>
      </c>
      <c r="O218" s="1919">
        <f t="shared" si="0"/>
        <v>103</v>
      </c>
      <c r="P218" s="1919">
        <f t="shared" si="0"/>
        <v>103</v>
      </c>
      <c r="Q218" s="1919">
        <f t="shared" si="0"/>
        <v>94</v>
      </c>
      <c r="R218" s="1919">
        <f t="shared" si="0"/>
        <v>85</v>
      </c>
      <c r="S218" s="1891"/>
      <c r="T218" s="1891"/>
    </row>
    <row r="219" spans="1:22">
      <c r="H219" s="1920"/>
      <c r="I219" s="1920"/>
      <c r="J219" s="1920"/>
      <c r="K219" s="1920"/>
      <c r="L219" s="1920"/>
      <c r="M219" s="1920"/>
      <c r="N219" s="1920"/>
      <c r="O219" s="1920"/>
      <c r="P219" s="1920"/>
      <c r="Q219" s="1920"/>
      <c r="S219" s="1891"/>
      <c r="T219" s="1891"/>
    </row>
    <row r="220" spans="1:22" ht="13">
      <c r="A220" s="1891" t="s">
        <v>287</v>
      </c>
      <c r="I220" s="1891"/>
      <c r="J220" s="1891"/>
      <c r="K220" s="393"/>
      <c r="L220" s="393"/>
      <c r="O220" s="1892"/>
      <c r="P220" s="1892"/>
      <c r="Q220" s="1921"/>
      <c r="R220" s="1921"/>
      <c r="S220" s="1921"/>
      <c r="T220" s="1921"/>
      <c r="U220" s="1922"/>
      <c r="V220" s="1922"/>
    </row>
    <row r="221" spans="1:22" ht="9.75" customHeight="1">
      <c r="I221" s="1891"/>
      <c r="J221" s="393"/>
      <c r="K221" s="393"/>
      <c r="O221" s="1892"/>
      <c r="S221" s="1891"/>
      <c r="U221" s="1892"/>
    </row>
    <row r="222" spans="1:22">
      <c r="I222" s="1891"/>
      <c r="O222" s="1892"/>
      <c r="S222" s="1891"/>
      <c r="U222" s="1892"/>
    </row>
    <row r="223" spans="1:22">
      <c r="I223" s="1891"/>
      <c r="O223" s="1892"/>
      <c r="S223" s="1891"/>
      <c r="U223" s="1892"/>
    </row>
  </sheetData>
  <pageMargins left="0.55118110236220474" right="0.39370078740157483" top="0.31496062992125984" bottom="0.35433070866141736" header="0.23622047244094491" footer="0.23622047244094491"/>
  <pageSetup paperSize="9" scale="58" fitToHeight="2" orientation="landscape"/>
  <headerFooter alignWithMargins="0">
    <oddFooter>&amp;R&amp;P/&amp;N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46B91-B1BE-F64C-BF85-512B7499C200}">
  <sheetPr>
    <pageSetUpPr fitToPage="1"/>
  </sheetPr>
  <dimension ref="A1:C87"/>
  <sheetViews>
    <sheetView workbookViewId="0">
      <selection activeCell="A2" sqref="A2"/>
    </sheetView>
  </sheetViews>
  <sheetFormatPr baseColWidth="10" defaultColWidth="11.3984375" defaultRowHeight="13"/>
  <cols>
    <col min="1" max="1" width="25.59765625" style="399" customWidth="1"/>
    <col min="2" max="2" width="23" style="399" customWidth="1"/>
    <col min="3" max="3" width="28.59765625" style="399" customWidth="1"/>
    <col min="4" max="4" width="7.796875" style="399" customWidth="1"/>
    <col min="5" max="5" width="4.59765625" style="399" customWidth="1"/>
    <col min="6" max="16384" width="11.3984375" style="399"/>
  </cols>
  <sheetData>
    <row r="1" spans="1:2" ht="14">
      <c r="A1" s="1841" t="s">
        <v>2558</v>
      </c>
    </row>
    <row r="2" spans="1:2" ht="16">
      <c r="A2" s="1878"/>
    </row>
    <row r="3" spans="1:2" ht="14">
      <c r="A3" s="1841" t="s">
        <v>2559</v>
      </c>
    </row>
    <row r="4" spans="1:2" ht="15.75" customHeight="1"/>
    <row r="5" spans="1:2" ht="21" customHeight="1">
      <c r="A5" s="1879" t="s">
        <v>2560</v>
      </c>
      <c r="B5" s="1844" t="s">
        <v>2527</v>
      </c>
    </row>
    <row r="6" spans="1:2" ht="18.75" customHeight="1">
      <c r="A6" s="1845" t="s">
        <v>2528</v>
      </c>
      <c r="B6" s="1846" t="s">
        <v>2561</v>
      </c>
    </row>
    <row r="7" spans="1:2" ht="41.25" customHeight="1">
      <c r="A7" s="1847" t="s">
        <v>2530</v>
      </c>
      <c r="B7" s="1848" t="s">
        <v>2531</v>
      </c>
    </row>
    <row r="8" spans="1:2" ht="22.5" customHeight="1">
      <c r="A8" s="1849" t="s">
        <v>2562</v>
      </c>
      <c r="B8" s="1850" t="s">
        <v>153</v>
      </c>
    </row>
    <row r="9" spans="1:2" ht="14">
      <c r="A9" s="1849" t="s">
        <v>2563</v>
      </c>
      <c r="B9" s="1851">
        <v>0.1</v>
      </c>
    </row>
    <row r="10" spans="1:2" ht="14">
      <c r="A10" s="1849" t="s">
        <v>2564</v>
      </c>
      <c r="B10" s="1851">
        <v>0.2</v>
      </c>
    </row>
    <row r="11" spans="1:2" ht="14">
      <c r="A11" s="1849" t="s">
        <v>2565</v>
      </c>
      <c r="B11" s="1851">
        <v>0.35</v>
      </c>
    </row>
    <row r="12" spans="1:2" ht="14">
      <c r="A12" s="1849" t="s">
        <v>2566</v>
      </c>
      <c r="B12" s="1851">
        <v>0.4</v>
      </c>
    </row>
    <row r="13" spans="1:2" ht="25.5" customHeight="1">
      <c r="A13" s="1852"/>
    </row>
    <row r="14" spans="1:2" ht="21" customHeight="1">
      <c r="A14" s="1879" t="s">
        <v>2560</v>
      </c>
      <c r="B14" s="1853" t="s">
        <v>2536</v>
      </c>
    </row>
    <row r="15" spans="1:2" ht="19.5" customHeight="1">
      <c r="A15" s="1854" t="s">
        <v>2528</v>
      </c>
      <c r="B15" s="1855" t="s">
        <v>2561</v>
      </c>
    </row>
    <row r="16" spans="1:2" ht="42" customHeight="1">
      <c r="A16" s="1847" t="s">
        <v>2530</v>
      </c>
      <c r="B16" s="1848" t="s">
        <v>2531</v>
      </c>
    </row>
    <row r="17" spans="1:3" ht="24" customHeight="1">
      <c r="A17" s="1880" t="s">
        <v>2567</v>
      </c>
      <c r="B17" s="1850" t="s">
        <v>153</v>
      </c>
    </row>
    <row r="18" spans="1:3" ht="14">
      <c r="A18" s="1881" t="s">
        <v>2568</v>
      </c>
      <c r="B18" s="1856">
        <v>0.08</v>
      </c>
    </row>
    <row r="19" spans="1:3" ht="14">
      <c r="A19" s="1849" t="s">
        <v>2564</v>
      </c>
      <c r="B19" s="1856">
        <v>0.15</v>
      </c>
    </row>
    <row r="20" spans="1:3" ht="14">
      <c r="A20" s="1849" t="s">
        <v>2565</v>
      </c>
      <c r="B20" s="1856">
        <v>0.3</v>
      </c>
    </row>
    <row r="21" spans="1:3" ht="14">
      <c r="A21" s="1849" t="s">
        <v>2566</v>
      </c>
      <c r="B21" s="1851">
        <v>0.4</v>
      </c>
    </row>
    <row r="22" spans="1:3" ht="24" customHeight="1">
      <c r="A22" s="1852"/>
    </row>
    <row r="23" spans="1:3" ht="21" customHeight="1">
      <c r="A23" s="1879" t="s">
        <v>2560</v>
      </c>
      <c r="B23" s="1853" t="s">
        <v>2537</v>
      </c>
      <c r="C23" s="1857"/>
    </row>
    <row r="24" spans="1:3" ht="21.75" customHeight="1">
      <c r="A24" s="1854" t="s">
        <v>2528</v>
      </c>
      <c r="B24" s="1855" t="s">
        <v>2561</v>
      </c>
      <c r="C24" s="1858"/>
    </row>
    <row r="25" spans="1:3" ht="21" customHeight="1">
      <c r="A25" s="1993" t="s">
        <v>2530</v>
      </c>
      <c r="B25" s="1995" t="s">
        <v>2531</v>
      </c>
      <c r="C25" s="1865" t="s">
        <v>2538</v>
      </c>
    </row>
    <row r="26" spans="1:3" ht="29.25" customHeight="1">
      <c r="A26" s="1994"/>
      <c r="B26" s="1996"/>
      <c r="C26" s="1860" t="s">
        <v>2539</v>
      </c>
    </row>
    <row r="27" spans="1:3" ht="18.75" customHeight="1">
      <c r="A27" s="1871" t="s">
        <v>2569</v>
      </c>
      <c r="B27" s="1850" t="s">
        <v>153</v>
      </c>
      <c r="C27" s="1866" t="s">
        <v>153</v>
      </c>
    </row>
    <row r="28" spans="1:3" ht="14">
      <c r="A28" s="1849" t="s">
        <v>2570</v>
      </c>
      <c r="B28" s="1851">
        <v>0.08</v>
      </c>
      <c r="C28" s="1862">
        <v>170</v>
      </c>
    </row>
    <row r="29" spans="1:3" ht="14">
      <c r="A29" s="1849" t="s">
        <v>2564</v>
      </c>
      <c r="B29" s="1851">
        <v>0.15</v>
      </c>
      <c r="C29" s="1862">
        <v>370</v>
      </c>
    </row>
    <row r="30" spans="1:3" ht="14">
      <c r="A30" s="1849" t="s">
        <v>2565</v>
      </c>
      <c r="B30" s="1851">
        <v>0.3</v>
      </c>
      <c r="C30" s="1862">
        <v>970</v>
      </c>
    </row>
    <row r="31" spans="1:3" ht="14">
      <c r="A31" s="1849" t="s">
        <v>2566</v>
      </c>
      <c r="B31" s="1851">
        <v>0.4</v>
      </c>
      <c r="C31" s="1862">
        <v>1270</v>
      </c>
    </row>
    <row r="32" spans="1:3" ht="25.5" customHeight="1">
      <c r="A32" s="1852"/>
    </row>
    <row r="33" spans="1:3" ht="15" customHeight="1">
      <c r="A33" s="1852"/>
    </row>
    <row r="34" spans="1:3" ht="21" customHeight="1">
      <c r="A34" s="1879" t="s">
        <v>2560</v>
      </c>
      <c r="B34" s="1863">
        <v>2004</v>
      </c>
      <c r="C34" s="1857"/>
    </row>
    <row r="35" spans="1:3" ht="21.75" customHeight="1">
      <c r="A35" s="1854" t="s">
        <v>2528</v>
      </c>
      <c r="B35" s="1864" t="s">
        <v>2571</v>
      </c>
      <c r="C35" s="1858"/>
    </row>
    <row r="36" spans="1:3" ht="19.5" customHeight="1">
      <c r="A36" s="1993" t="s">
        <v>2530</v>
      </c>
      <c r="B36" s="1995" t="s">
        <v>2531</v>
      </c>
      <c r="C36" s="1865" t="s">
        <v>2538</v>
      </c>
    </row>
    <row r="37" spans="1:3" ht="42" customHeight="1">
      <c r="A37" s="1994"/>
      <c r="B37" s="1996"/>
      <c r="C37" s="1860" t="s">
        <v>2541</v>
      </c>
    </row>
    <row r="38" spans="1:3" ht="16.5" customHeight="1">
      <c r="A38" s="1880" t="s">
        <v>2572</v>
      </c>
      <c r="B38" s="1850" t="s">
        <v>153</v>
      </c>
      <c r="C38" s="1866" t="s">
        <v>153</v>
      </c>
    </row>
    <row r="39" spans="1:3" ht="14">
      <c r="A39" s="1849" t="s">
        <v>2570</v>
      </c>
      <c r="B39" s="1856">
        <v>0.03</v>
      </c>
      <c r="C39" s="1862">
        <v>80</v>
      </c>
    </row>
    <row r="40" spans="1:3" ht="14">
      <c r="A40" s="1849" t="s">
        <v>2564</v>
      </c>
      <c r="B40" s="1856">
        <v>0.09</v>
      </c>
      <c r="C40" s="1862">
        <v>240</v>
      </c>
    </row>
    <row r="41" spans="1:3" ht="14">
      <c r="A41" s="1849" t="s">
        <v>2565</v>
      </c>
      <c r="B41" s="1856">
        <v>0.24</v>
      </c>
      <c r="C41" s="1862">
        <v>720</v>
      </c>
    </row>
    <row r="42" spans="1:3" ht="14">
      <c r="A42" s="1849" t="s">
        <v>2566</v>
      </c>
      <c r="B42" s="1856">
        <v>0.3</v>
      </c>
      <c r="C42" s="1862">
        <v>960</v>
      </c>
    </row>
    <row r="43" spans="1:3" ht="22.5" customHeight="1">
      <c r="A43" s="1852"/>
    </row>
    <row r="44" spans="1:3" ht="21" customHeight="1">
      <c r="A44" s="1879" t="s">
        <v>2560</v>
      </c>
      <c r="B44" s="1863">
        <v>2005</v>
      </c>
      <c r="C44" s="1857"/>
    </row>
    <row r="45" spans="1:3" ht="21" customHeight="1">
      <c r="A45" s="1854" t="s">
        <v>2528</v>
      </c>
      <c r="B45" s="1855" t="s">
        <v>2573</v>
      </c>
      <c r="C45" s="1858"/>
    </row>
    <row r="46" spans="1:3" ht="20.25" customHeight="1">
      <c r="A46" s="1993" t="s">
        <v>2530</v>
      </c>
      <c r="B46" s="1995" t="s">
        <v>2531</v>
      </c>
      <c r="C46" s="1865" t="s">
        <v>2538</v>
      </c>
    </row>
    <row r="47" spans="1:3" ht="41.25" customHeight="1">
      <c r="A47" s="1994"/>
      <c r="B47" s="1996"/>
      <c r="C47" s="1868" t="s">
        <v>2541</v>
      </c>
    </row>
    <row r="48" spans="1:3" ht="15" customHeight="1">
      <c r="A48" s="1849" t="s">
        <v>2574</v>
      </c>
      <c r="B48" s="1850" t="s">
        <v>153</v>
      </c>
      <c r="C48" s="1866" t="s">
        <v>153</v>
      </c>
    </row>
    <row r="49" spans="1:3" ht="14">
      <c r="A49" s="1869" t="s">
        <v>2575</v>
      </c>
      <c r="B49" s="1856">
        <v>0.5</v>
      </c>
      <c r="C49" s="1862">
        <v>160</v>
      </c>
    </row>
    <row r="50" spans="1:3" ht="14">
      <c r="A50" s="1869" t="s">
        <v>2576</v>
      </c>
      <c r="B50" s="1856">
        <v>0.5</v>
      </c>
      <c r="C50" s="1862">
        <v>560</v>
      </c>
    </row>
    <row r="51" spans="1:3" ht="14">
      <c r="A51" s="1849" t="s">
        <v>2577</v>
      </c>
      <c r="B51" s="1856">
        <v>0.5</v>
      </c>
      <c r="C51" s="1866">
        <v>960</v>
      </c>
    </row>
    <row r="52" spans="1:3" ht="14">
      <c r="A52" s="1869" t="s">
        <v>2578</v>
      </c>
      <c r="B52" s="1856">
        <v>0.5</v>
      </c>
      <c r="C52" s="1862">
        <v>1360</v>
      </c>
    </row>
    <row r="53" spans="1:3" ht="14">
      <c r="A53" s="1869" t="s">
        <v>2579</v>
      </c>
      <c r="B53" s="1856">
        <v>0.5</v>
      </c>
      <c r="C53" s="1862">
        <v>1760</v>
      </c>
    </row>
    <row r="54" spans="1:3" ht="22.5" customHeight="1">
      <c r="A54" s="1876"/>
    </row>
    <row r="55" spans="1:3" ht="23.25" customHeight="1">
      <c r="A55" s="1879" t="s">
        <v>2560</v>
      </c>
      <c r="B55" s="1853" t="s">
        <v>2549</v>
      </c>
      <c r="C55" s="1857"/>
    </row>
    <row r="56" spans="1:3" ht="21" customHeight="1">
      <c r="A56" s="1854" t="s">
        <v>2528</v>
      </c>
      <c r="B56" s="1870" t="s">
        <v>2580</v>
      </c>
      <c r="C56" s="1858"/>
    </row>
    <row r="57" spans="1:3" ht="20.25" customHeight="1">
      <c r="A57" s="1993" t="s">
        <v>2530</v>
      </c>
      <c r="B57" s="1995" t="s">
        <v>2531</v>
      </c>
      <c r="C57" s="1865" t="s">
        <v>2538</v>
      </c>
    </row>
    <row r="58" spans="1:3" ht="41.25" customHeight="1">
      <c r="A58" s="1994"/>
      <c r="B58" s="1996"/>
      <c r="C58" s="1868" t="s">
        <v>2541</v>
      </c>
    </row>
    <row r="59" spans="1:3" ht="12.75" customHeight="1">
      <c r="A59" s="1849" t="s">
        <v>2574</v>
      </c>
      <c r="B59" s="1850" t="s">
        <v>153</v>
      </c>
      <c r="C59" s="1866" t="s">
        <v>153</v>
      </c>
    </row>
    <row r="60" spans="1:3" ht="14">
      <c r="A60" s="1871" t="s">
        <v>2575</v>
      </c>
      <c r="B60" s="1872">
        <v>0.5</v>
      </c>
      <c r="C60" s="1861">
        <v>160</v>
      </c>
    </row>
    <row r="61" spans="1:3" ht="14">
      <c r="A61" s="1871" t="s">
        <v>2576</v>
      </c>
      <c r="B61" s="1872">
        <v>0.5</v>
      </c>
      <c r="C61" s="1861">
        <v>560</v>
      </c>
    </row>
    <row r="62" spans="1:3" ht="14">
      <c r="A62" s="1871" t="s">
        <v>2577</v>
      </c>
      <c r="B62" s="1872">
        <v>0.5</v>
      </c>
      <c r="C62" s="1861">
        <v>960</v>
      </c>
    </row>
    <row r="63" spans="1:3" ht="14">
      <c r="A63" s="1871" t="s">
        <v>2578</v>
      </c>
      <c r="B63" s="1872">
        <v>0.5</v>
      </c>
      <c r="C63" s="1861">
        <v>1360</v>
      </c>
    </row>
    <row r="64" spans="1:3" ht="14">
      <c r="A64" s="1871" t="s">
        <v>2579</v>
      </c>
      <c r="B64" s="1872">
        <v>0.5</v>
      </c>
      <c r="C64" s="1861">
        <v>1760</v>
      </c>
    </row>
    <row r="65" spans="1:3" ht="22.5" customHeight="1">
      <c r="A65" s="1876"/>
    </row>
    <row r="66" spans="1:3" ht="23.25" customHeight="1">
      <c r="A66" s="1879" t="s">
        <v>2560</v>
      </c>
      <c r="B66" s="1853" t="s">
        <v>2551</v>
      </c>
      <c r="C66" s="1857"/>
    </row>
    <row r="67" spans="1:3" ht="21" customHeight="1">
      <c r="A67" s="1854" t="s">
        <v>2528</v>
      </c>
      <c r="B67" s="1873" t="s">
        <v>2580</v>
      </c>
      <c r="C67" s="1858"/>
    </row>
    <row r="68" spans="1:3" ht="20.25" customHeight="1">
      <c r="A68" s="1993" t="s">
        <v>2530</v>
      </c>
      <c r="B68" s="1995" t="s">
        <v>2531</v>
      </c>
      <c r="C68" s="1865" t="s">
        <v>2538</v>
      </c>
    </row>
    <row r="69" spans="1:3" ht="41.25" customHeight="1">
      <c r="A69" s="1994"/>
      <c r="B69" s="1996"/>
      <c r="C69" s="1874" t="s">
        <v>2552</v>
      </c>
    </row>
    <row r="70" spans="1:3" ht="12.75" customHeight="1">
      <c r="A70" s="1849" t="s">
        <v>2574</v>
      </c>
      <c r="B70" s="1850" t="s">
        <v>153</v>
      </c>
      <c r="C70" s="1882" t="s">
        <v>153</v>
      </c>
    </row>
    <row r="71" spans="1:3" ht="14">
      <c r="A71" s="1871" t="s">
        <v>2575</v>
      </c>
      <c r="B71" s="1872">
        <v>0.5</v>
      </c>
      <c r="C71" s="1874">
        <f>(0.7*(500-300))</f>
        <v>140</v>
      </c>
    </row>
    <row r="72" spans="1:3" ht="14">
      <c r="A72" s="1871" t="s">
        <v>2576</v>
      </c>
      <c r="B72" s="1872">
        <v>0.5</v>
      </c>
      <c r="C72" s="1874">
        <f>(0.7*(1000-300))</f>
        <v>489.99999999999994</v>
      </c>
    </row>
    <row r="73" spans="1:3" ht="14">
      <c r="A73" s="1871" t="s">
        <v>2577</v>
      </c>
      <c r="B73" s="1872">
        <v>0.5</v>
      </c>
      <c r="C73" s="1874">
        <f>(0.7*(1500-300))</f>
        <v>840</v>
      </c>
    </row>
    <row r="74" spans="1:3" ht="14">
      <c r="A74" s="1871" t="s">
        <v>2578</v>
      </c>
      <c r="B74" s="1872">
        <v>0.5</v>
      </c>
      <c r="C74" s="1874">
        <f>(0.7*(2000-300))</f>
        <v>1190</v>
      </c>
    </row>
    <row r="75" spans="1:3" ht="14">
      <c r="A75" s="1871" t="s">
        <v>2579</v>
      </c>
      <c r="B75" s="1872">
        <v>0.5</v>
      </c>
      <c r="C75" s="1874">
        <f>(0.7*(2500-300))</f>
        <v>1540</v>
      </c>
    </row>
    <row r="76" spans="1:3" ht="15.75" customHeight="1">
      <c r="A76" s="1883" t="s">
        <v>2553</v>
      </c>
    </row>
    <row r="77" spans="1:3" ht="9" customHeight="1">
      <c r="A77" s="396"/>
    </row>
    <row r="78" spans="1:3">
      <c r="A78" s="396" t="s">
        <v>2554</v>
      </c>
    </row>
    <row r="79" spans="1:3">
      <c r="A79" s="396"/>
    </row>
    <row r="80" spans="1:3">
      <c r="A80" s="396" t="s">
        <v>2581</v>
      </c>
    </row>
    <row r="81" spans="1:1">
      <c r="A81" s="396" t="s">
        <v>2582</v>
      </c>
    </row>
    <row r="82" spans="1:1">
      <c r="A82" s="396" t="s">
        <v>2556</v>
      </c>
    </row>
    <row r="83" spans="1:1">
      <c r="A83" s="396"/>
    </row>
    <row r="84" spans="1:1">
      <c r="A84" s="1877" t="s">
        <v>2557</v>
      </c>
    </row>
    <row r="85" spans="1:1">
      <c r="A85" s="396"/>
    </row>
    <row r="86" spans="1:1">
      <c r="A86" s="396"/>
    </row>
    <row r="87" spans="1:1">
      <c r="A87" s="396"/>
    </row>
  </sheetData>
  <mergeCells count="10">
    <mergeCell ref="A57:A58"/>
    <mergeCell ref="B57:B58"/>
    <mergeCell ref="A68:A69"/>
    <mergeCell ref="B68:B69"/>
    <mergeCell ref="A25:A26"/>
    <mergeCell ref="B25:B26"/>
    <mergeCell ref="A36:A37"/>
    <mergeCell ref="B36:B37"/>
    <mergeCell ref="A46:A47"/>
    <mergeCell ref="B46:B47"/>
  </mergeCells>
  <pageMargins left="0.62992125984251968" right="0.35433070866141736" top="0.35433070866141736" bottom="0.39370078740157483" header="0.23622047244094491" footer="0.19685039370078741"/>
  <pageSetup paperSize="9" fitToHeight="2" orientation="portrait"/>
  <headerFooter alignWithMargins="0"/>
  <rowBreaks count="1" manualBreakCount="1">
    <brk id="3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374E0-8076-2847-92FC-CFA9F2A187F4}">
  <sheetPr>
    <pageSetUpPr fitToPage="1"/>
  </sheetPr>
  <dimension ref="A1:C85"/>
  <sheetViews>
    <sheetView workbookViewId="0">
      <selection activeCell="A2" sqref="A2"/>
    </sheetView>
  </sheetViews>
  <sheetFormatPr baseColWidth="10" defaultColWidth="11.3984375" defaultRowHeight="13"/>
  <cols>
    <col min="1" max="1" width="23.19921875" style="399" customWidth="1"/>
    <col min="2" max="2" width="23.3984375" style="399" customWidth="1"/>
    <col min="3" max="3" width="28.796875" style="399" customWidth="1"/>
    <col min="4" max="4" width="13.3984375" style="399" customWidth="1"/>
    <col min="5" max="5" width="6" style="399" customWidth="1"/>
    <col min="6" max="16384" width="11.3984375" style="399"/>
  </cols>
  <sheetData>
    <row r="1" spans="1:2" ht="14">
      <c r="A1" s="1841" t="s">
        <v>2525</v>
      </c>
    </row>
    <row r="2" spans="1:2" ht="14">
      <c r="A2" s="1842"/>
    </row>
    <row r="3" spans="1:2" ht="14">
      <c r="A3" s="1841" t="s">
        <v>2526</v>
      </c>
    </row>
    <row r="4" spans="1:2" ht="25.5" customHeight="1"/>
    <row r="5" spans="1:2" ht="21.75" customHeight="1">
      <c r="A5" s="1843" t="s">
        <v>1145</v>
      </c>
      <c r="B5" s="1844" t="s">
        <v>2527</v>
      </c>
    </row>
    <row r="6" spans="1:2" ht="21.75" customHeight="1">
      <c r="A6" s="1845" t="s">
        <v>2528</v>
      </c>
      <c r="B6" s="1846" t="s">
        <v>2529</v>
      </c>
    </row>
    <row r="7" spans="1:2" ht="43.5" customHeight="1">
      <c r="A7" s="1847" t="s">
        <v>2530</v>
      </c>
      <c r="B7" s="1848" t="s">
        <v>2531</v>
      </c>
    </row>
    <row r="8" spans="1:2" ht="22.5" customHeight="1">
      <c r="A8" s="1849" t="s">
        <v>2532</v>
      </c>
      <c r="B8" s="1850" t="s">
        <v>153</v>
      </c>
    </row>
    <row r="9" spans="1:2" ht="14">
      <c r="A9" s="1849" t="s">
        <v>2533</v>
      </c>
      <c r="B9" s="1851">
        <v>0.2</v>
      </c>
    </row>
    <row r="10" spans="1:2" ht="14">
      <c r="A10" s="1849" t="s">
        <v>2534</v>
      </c>
      <c r="B10" s="1851">
        <v>0.35</v>
      </c>
    </row>
    <row r="11" spans="1:2" ht="14">
      <c r="A11" s="1849" t="s">
        <v>2535</v>
      </c>
      <c r="B11" s="1851">
        <v>0.4</v>
      </c>
    </row>
    <row r="12" spans="1:2" ht="34.5" customHeight="1">
      <c r="A12" s="1852"/>
    </row>
    <row r="13" spans="1:2" ht="21.75" customHeight="1">
      <c r="A13" s="1843" t="s">
        <v>1145</v>
      </c>
      <c r="B13" s="1853" t="s">
        <v>2536</v>
      </c>
    </row>
    <row r="14" spans="1:2" ht="17.25" customHeight="1">
      <c r="A14" s="1854" t="s">
        <v>2528</v>
      </c>
      <c r="B14" s="1855" t="s">
        <v>2529</v>
      </c>
    </row>
    <row r="15" spans="1:2" ht="33" customHeight="1">
      <c r="A15" s="1847" t="s">
        <v>2530</v>
      </c>
      <c r="B15" s="1848" t="s">
        <v>2531</v>
      </c>
    </row>
    <row r="16" spans="1:2" ht="20.25" customHeight="1">
      <c r="A16" s="1849" t="s">
        <v>2532</v>
      </c>
      <c r="B16" s="1850" t="s">
        <v>153</v>
      </c>
    </row>
    <row r="17" spans="1:3" ht="14">
      <c r="A17" s="1849" t="s">
        <v>2533</v>
      </c>
      <c r="B17" s="1856">
        <v>0.15</v>
      </c>
    </row>
    <row r="18" spans="1:3" ht="14">
      <c r="A18" s="1849" t="s">
        <v>2534</v>
      </c>
      <c r="B18" s="1856">
        <v>0.3</v>
      </c>
    </row>
    <row r="19" spans="1:3" ht="14">
      <c r="A19" s="1849" t="s">
        <v>2535</v>
      </c>
      <c r="B19" s="1851">
        <v>0.4</v>
      </c>
    </row>
    <row r="20" spans="1:3" ht="30.75" customHeight="1">
      <c r="A20" s="1852"/>
    </row>
    <row r="21" spans="1:3" ht="20.25" customHeight="1">
      <c r="A21" s="1843" t="s">
        <v>1145</v>
      </c>
      <c r="B21" s="1853" t="s">
        <v>2537</v>
      </c>
      <c r="C21" s="1857"/>
    </row>
    <row r="22" spans="1:3" ht="25.5" customHeight="1">
      <c r="A22" s="1854" t="s">
        <v>2528</v>
      </c>
      <c r="B22" s="1855" t="s">
        <v>2529</v>
      </c>
      <c r="C22" s="1858"/>
    </row>
    <row r="23" spans="1:3" ht="28">
      <c r="A23" s="1993" t="s">
        <v>2530</v>
      </c>
      <c r="B23" s="1995" t="s">
        <v>2531</v>
      </c>
      <c r="C23" s="1859" t="s">
        <v>2538</v>
      </c>
    </row>
    <row r="24" spans="1:3" ht="39" customHeight="1">
      <c r="A24" s="1994"/>
      <c r="B24" s="1996"/>
      <c r="C24" s="1860" t="s">
        <v>2539</v>
      </c>
    </row>
    <row r="25" spans="1:3" ht="19.5" customHeight="1">
      <c r="A25" s="1849" t="s">
        <v>2532</v>
      </c>
      <c r="B25" s="1850" t="s">
        <v>153</v>
      </c>
      <c r="C25" s="1861" t="s">
        <v>153</v>
      </c>
    </row>
    <row r="26" spans="1:3" ht="14">
      <c r="A26" s="1849" t="s">
        <v>2533</v>
      </c>
      <c r="B26" s="1851">
        <v>0.15</v>
      </c>
      <c r="C26" s="1862">
        <v>150</v>
      </c>
    </row>
    <row r="27" spans="1:3" ht="14">
      <c r="A27" s="1849" t="s">
        <v>2534</v>
      </c>
      <c r="B27" s="1851">
        <v>0.3</v>
      </c>
      <c r="C27" s="1862">
        <v>300</v>
      </c>
    </row>
    <row r="28" spans="1:3" ht="14">
      <c r="A28" s="1849" t="s">
        <v>2535</v>
      </c>
      <c r="B28" s="1851">
        <v>0.4</v>
      </c>
      <c r="C28" s="1862">
        <v>375</v>
      </c>
    </row>
    <row r="29" spans="1:3" ht="30.75" customHeight="1">
      <c r="A29" s="1852"/>
    </row>
    <row r="30" spans="1:3" ht="18.75" customHeight="1">
      <c r="A30" s="1852"/>
    </row>
    <row r="31" spans="1:3" ht="15.75" customHeight="1">
      <c r="A31" s="1843" t="s">
        <v>1145</v>
      </c>
      <c r="B31" s="1863">
        <v>2004</v>
      </c>
      <c r="C31" s="1857"/>
    </row>
    <row r="32" spans="1:3" ht="29.25" customHeight="1">
      <c r="A32" s="1854" t="s">
        <v>2528</v>
      </c>
      <c r="B32" s="1864" t="s">
        <v>2540</v>
      </c>
      <c r="C32" s="1858"/>
    </row>
    <row r="33" spans="1:3" ht="19.5" customHeight="1">
      <c r="A33" s="1993" t="s">
        <v>2530</v>
      </c>
      <c r="B33" s="1995" t="s">
        <v>2531</v>
      </c>
      <c r="C33" s="1865" t="s">
        <v>2538</v>
      </c>
    </row>
    <row r="34" spans="1:3" ht="49.5" customHeight="1">
      <c r="A34" s="1994"/>
      <c r="B34" s="1996"/>
      <c r="C34" s="1860" t="s">
        <v>2541</v>
      </c>
    </row>
    <row r="35" spans="1:3" ht="15" customHeight="1">
      <c r="A35" s="1849" t="s">
        <v>2532</v>
      </c>
      <c r="B35" s="1850" t="s">
        <v>153</v>
      </c>
      <c r="C35" s="1866" t="s">
        <v>153</v>
      </c>
    </row>
    <row r="36" spans="1:3" ht="14">
      <c r="A36" s="1849" t="s">
        <v>2533</v>
      </c>
      <c r="B36" s="1856">
        <v>0.21</v>
      </c>
      <c r="C36" s="1862">
        <v>120</v>
      </c>
    </row>
    <row r="37" spans="1:3" ht="14">
      <c r="A37" s="1849" t="s">
        <v>2534</v>
      </c>
      <c r="B37" s="1867">
        <v>0.37</v>
      </c>
      <c r="C37" s="1862">
        <v>240</v>
      </c>
    </row>
    <row r="38" spans="1:3" ht="14">
      <c r="A38" s="1849" t="s">
        <v>2535</v>
      </c>
      <c r="B38" s="1856">
        <v>0.43</v>
      </c>
      <c r="C38" s="1862">
        <v>300</v>
      </c>
    </row>
    <row r="39" spans="1:3" ht="26.25" customHeight="1">
      <c r="A39" s="1852"/>
    </row>
    <row r="40" spans="1:3" ht="20.25" customHeight="1">
      <c r="A40" s="1843" t="s">
        <v>1145</v>
      </c>
      <c r="B40" s="1863">
        <v>2005</v>
      </c>
      <c r="C40" s="1857"/>
    </row>
    <row r="41" spans="1:3" ht="18" customHeight="1">
      <c r="A41" s="1854" t="s">
        <v>2528</v>
      </c>
      <c r="B41" s="1855" t="s">
        <v>2542</v>
      </c>
      <c r="C41" s="1858"/>
    </row>
    <row r="42" spans="1:3" ht="19.5" customHeight="1">
      <c r="A42" s="1993" t="s">
        <v>2530</v>
      </c>
      <c r="B42" s="1995" t="s">
        <v>2531</v>
      </c>
      <c r="C42" s="1865" t="s">
        <v>2538</v>
      </c>
    </row>
    <row r="43" spans="1:3" ht="42.75" customHeight="1">
      <c r="A43" s="1994"/>
      <c r="B43" s="1996"/>
      <c r="C43" s="1868" t="s">
        <v>2541</v>
      </c>
    </row>
    <row r="44" spans="1:3" ht="15.75" customHeight="1">
      <c r="A44" s="1849" t="s">
        <v>2532</v>
      </c>
      <c r="B44" s="1850" t="s">
        <v>153</v>
      </c>
      <c r="C44" s="1866" t="s">
        <v>153</v>
      </c>
    </row>
    <row r="45" spans="1:3" ht="14">
      <c r="A45" s="1869" t="s">
        <v>2543</v>
      </c>
      <c r="B45" s="1856">
        <v>0.5</v>
      </c>
      <c r="C45" s="1862">
        <v>80</v>
      </c>
    </row>
    <row r="46" spans="1:3" ht="14">
      <c r="A46" s="1869" t="s">
        <v>2544</v>
      </c>
      <c r="B46" s="1856">
        <v>0.5</v>
      </c>
      <c r="C46" s="1862">
        <v>160</v>
      </c>
    </row>
    <row r="47" spans="1:3" ht="14">
      <c r="A47" s="1849" t="s">
        <v>2545</v>
      </c>
      <c r="B47" s="1856">
        <v>0.5</v>
      </c>
      <c r="C47" s="1866">
        <v>240</v>
      </c>
    </row>
    <row r="48" spans="1:3" ht="14">
      <c r="A48" s="1869" t="s">
        <v>2546</v>
      </c>
      <c r="B48" s="1856">
        <v>0.5</v>
      </c>
      <c r="C48" s="1862">
        <v>320</v>
      </c>
    </row>
    <row r="49" spans="1:3" ht="14">
      <c r="A49" s="1869" t="s">
        <v>2547</v>
      </c>
      <c r="B49" s="1856">
        <v>0.5</v>
      </c>
      <c r="C49" s="1862">
        <v>400</v>
      </c>
    </row>
    <row r="50" spans="1:3" ht="14">
      <c r="A50" s="1869" t="s">
        <v>2548</v>
      </c>
      <c r="B50" s="1856">
        <v>0.5</v>
      </c>
      <c r="C50" s="1862">
        <v>480</v>
      </c>
    </row>
    <row r="51" spans="1:3" ht="29.25" customHeight="1">
      <c r="A51" s="396"/>
    </row>
    <row r="52" spans="1:3" ht="20.25" customHeight="1">
      <c r="A52" s="1843" t="s">
        <v>1145</v>
      </c>
      <c r="B52" s="1853" t="s">
        <v>2549</v>
      </c>
      <c r="C52" s="1857"/>
    </row>
    <row r="53" spans="1:3" ht="18" customHeight="1">
      <c r="A53" s="1854" t="s">
        <v>2528</v>
      </c>
      <c r="B53" s="1870" t="s">
        <v>2550</v>
      </c>
      <c r="C53" s="1858"/>
    </row>
    <row r="54" spans="1:3" ht="20.25" customHeight="1">
      <c r="A54" s="1993" t="s">
        <v>2530</v>
      </c>
      <c r="B54" s="1995" t="s">
        <v>2531</v>
      </c>
      <c r="C54" s="1865" t="s">
        <v>2538</v>
      </c>
    </row>
    <row r="55" spans="1:3" ht="39" customHeight="1">
      <c r="A55" s="1994"/>
      <c r="B55" s="1996"/>
      <c r="C55" s="1868" t="s">
        <v>2541</v>
      </c>
    </row>
    <row r="56" spans="1:3" ht="14.25" customHeight="1">
      <c r="A56" s="1849" t="s">
        <v>2532</v>
      </c>
      <c r="B56" s="1850" t="s">
        <v>153</v>
      </c>
      <c r="C56" s="1866" t="s">
        <v>153</v>
      </c>
    </row>
    <row r="57" spans="1:3" ht="14">
      <c r="A57" s="1871" t="s">
        <v>2543</v>
      </c>
      <c r="B57" s="1872">
        <v>0.5</v>
      </c>
      <c r="C57" s="1861">
        <v>80</v>
      </c>
    </row>
    <row r="58" spans="1:3" ht="14">
      <c r="A58" s="1871" t="s">
        <v>2544</v>
      </c>
      <c r="B58" s="1872">
        <v>0.5</v>
      </c>
      <c r="C58" s="1861">
        <v>160</v>
      </c>
    </row>
    <row r="59" spans="1:3" ht="14">
      <c r="A59" s="1871" t="s">
        <v>2545</v>
      </c>
      <c r="B59" s="1872">
        <v>0.5</v>
      </c>
      <c r="C59" s="1861">
        <v>240</v>
      </c>
    </row>
    <row r="60" spans="1:3" ht="14">
      <c r="A60" s="1871" t="s">
        <v>2546</v>
      </c>
      <c r="B60" s="1872">
        <v>0.5</v>
      </c>
      <c r="C60" s="1861">
        <v>320</v>
      </c>
    </row>
    <row r="61" spans="1:3" ht="14">
      <c r="A61" s="1871" t="s">
        <v>2547</v>
      </c>
      <c r="B61" s="1872">
        <v>0.5</v>
      </c>
      <c r="C61" s="1861">
        <v>400</v>
      </c>
    </row>
    <row r="62" spans="1:3" ht="14">
      <c r="A62" s="1871" t="s">
        <v>2548</v>
      </c>
      <c r="B62" s="1872">
        <v>0.5</v>
      </c>
      <c r="C62" s="1861">
        <v>480</v>
      </c>
    </row>
    <row r="63" spans="1:3" ht="29.25" customHeight="1">
      <c r="A63" s="396"/>
    </row>
    <row r="64" spans="1:3" ht="20.25" customHeight="1">
      <c r="A64" s="1843" t="s">
        <v>1145</v>
      </c>
      <c r="B64" s="1853" t="s">
        <v>2551</v>
      </c>
      <c r="C64" s="1857"/>
    </row>
    <row r="65" spans="1:3" ht="18" customHeight="1">
      <c r="A65" s="1854" t="s">
        <v>2528</v>
      </c>
      <c r="B65" s="1873" t="s">
        <v>2550</v>
      </c>
      <c r="C65" s="1858"/>
    </row>
    <row r="66" spans="1:3" ht="20.25" customHeight="1">
      <c r="A66" s="1993" t="s">
        <v>2530</v>
      </c>
      <c r="B66" s="1995" t="s">
        <v>2531</v>
      </c>
      <c r="C66" s="1865" t="s">
        <v>2538</v>
      </c>
    </row>
    <row r="67" spans="1:3" ht="39" customHeight="1">
      <c r="A67" s="1994"/>
      <c r="B67" s="1996"/>
      <c r="C67" s="1874" t="s">
        <v>2552</v>
      </c>
    </row>
    <row r="68" spans="1:3" ht="14.25" customHeight="1">
      <c r="A68" s="1849" t="s">
        <v>2532</v>
      </c>
      <c r="B68" s="1850" t="s">
        <v>153</v>
      </c>
      <c r="C68" s="1875" t="s">
        <v>153</v>
      </c>
    </row>
    <row r="69" spans="1:3" ht="14">
      <c r="A69" s="1871" t="s">
        <v>2543</v>
      </c>
      <c r="B69" s="1872">
        <v>0.5</v>
      </c>
      <c r="C69" s="1862">
        <v>70</v>
      </c>
    </row>
    <row r="70" spans="1:3" ht="14">
      <c r="A70" s="1871" t="s">
        <v>2544</v>
      </c>
      <c r="B70" s="1872">
        <v>0.5</v>
      </c>
      <c r="C70" s="1862">
        <v>140</v>
      </c>
    </row>
    <row r="71" spans="1:3" ht="14">
      <c r="A71" s="1871" t="s">
        <v>2545</v>
      </c>
      <c r="B71" s="1872">
        <v>0.5</v>
      </c>
      <c r="C71" s="1862">
        <v>210</v>
      </c>
    </row>
    <row r="72" spans="1:3" ht="14">
      <c r="A72" s="1871" t="s">
        <v>2546</v>
      </c>
      <c r="B72" s="1872">
        <v>0.5</v>
      </c>
      <c r="C72" s="1862">
        <v>280</v>
      </c>
    </row>
    <row r="73" spans="1:3" ht="14">
      <c r="A73" s="1871" t="s">
        <v>2547</v>
      </c>
      <c r="B73" s="1872">
        <v>0.5</v>
      </c>
      <c r="C73" s="1862">
        <v>350</v>
      </c>
    </row>
    <row r="74" spans="1:3" ht="14">
      <c r="A74" s="1871" t="s">
        <v>2548</v>
      </c>
      <c r="B74" s="1872">
        <v>0.5</v>
      </c>
      <c r="C74" s="1862">
        <v>420</v>
      </c>
    </row>
    <row r="75" spans="1:3">
      <c r="A75" s="1876" t="s">
        <v>2553</v>
      </c>
    </row>
    <row r="76" spans="1:3">
      <c r="A76" s="1876"/>
    </row>
    <row r="77" spans="1:3">
      <c r="A77" s="396" t="s">
        <v>2554</v>
      </c>
    </row>
    <row r="78" spans="1:3">
      <c r="A78" s="396"/>
    </row>
    <row r="79" spans="1:3">
      <c r="A79" s="396" t="s">
        <v>2555</v>
      </c>
    </row>
    <row r="80" spans="1:3">
      <c r="A80" s="396" t="s">
        <v>2556</v>
      </c>
    </row>
    <row r="81" spans="1:1">
      <c r="A81" s="396"/>
    </row>
    <row r="82" spans="1:1">
      <c r="A82" s="1877" t="s">
        <v>2557</v>
      </c>
    </row>
    <row r="83" spans="1:1">
      <c r="A83" s="396"/>
    </row>
    <row r="84" spans="1:1">
      <c r="A84" s="396"/>
    </row>
    <row r="85" spans="1:1">
      <c r="A85" s="396"/>
    </row>
  </sheetData>
  <mergeCells count="10">
    <mergeCell ref="A54:A55"/>
    <mergeCell ref="B54:B55"/>
    <mergeCell ref="A66:A67"/>
    <mergeCell ref="B66:B67"/>
    <mergeCell ref="A23:A24"/>
    <mergeCell ref="B23:B24"/>
    <mergeCell ref="A33:A34"/>
    <mergeCell ref="B33:B34"/>
    <mergeCell ref="A42:A43"/>
    <mergeCell ref="B42:B43"/>
  </mergeCells>
  <pageMargins left="0.47" right="0.6" top="0.48" bottom="0.54" header="0.35" footer="0.33"/>
  <pageSetup paperSize="9" scale="97" fitToHeight="2" orientation="portrait"/>
  <headerFooter alignWithMargins="0"/>
  <rowBreaks count="1" manualBreakCount="1">
    <brk id="29"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35F2-2F8D-CE4C-ACD7-4A7FB9067E52}">
  <sheetPr>
    <pageSetUpPr fitToPage="1"/>
  </sheetPr>
  <dimension ref="A1:O59"/>
  <sheetViews>
    <sheetView workbookViewId="0">
      <selection activeCell="F13" sqref="F13"/>
    </sheetView>
  </sheetViews>
  <sheetFormatPr baseColWidth="10" defaultRowHeight="13"/>
  <cols>
    <col min="1" max="1" width="24.796875" customWidth="1"/>
    <col min="2" max="2" width="14.3984375" customWidth="1"/>
    <col min="3" max="3" width="14.59765625" customWidth="1"/>
    <col min="4" max="4" width="14.3984375" customWidth="1"/>
    <col min="5" max="5" width="14.59765625" customWidth="1"/>
    <col min="6" max="6" width="10" customWidth="1"/>
    <col min="7" max="7" width="9.59765625" customWidth="1"/>
    <col min="8" max="8" width="10.59765625" customWidth="1"/>
    <col min="9" max="9" width="11.19921875" customWidth="1"/>
  </cols>
  <sheetData>
    <row r="1" spans="1:10" ht="14">
      <c r="A1" s="76" t="s">
        <v>2633</v>
      </c>
      <c r="B1" s="333"/>
      <c r="C1" s="333"/>
      <c r="D1" s="333"/>
      <c r="E1" s="333"/>
      <c r="F1" s="333"/>
      <c r="G1" s="333"/>
      <c r="H1" s="333"/>
      <c r="I1" s="333"/>
    </row>
    <row r="2" spans="1:10" ht="14">
      <c r="A2" s="333"/>
      <c r="B2" s="333"/>
      <c r="C2" s="333"/>
      <c r="D2" s="333"/>
      <c r="E2" s="333"/>
      <c r="F2" s="333"/>
      <c r="G2" s="333"/>
      <c r="H2" s="333"/>
      <c r="I2" s="333"/>
    </row>
    <row r="3" spans="1:10" ht="39.75" customHeight="1">
      <c r="A3" s="1997" t="s">
        <v>2634</v>
      </c>
      <c r="B3" s="1997"/>
      <c r="C3" s="1997"/>
      <c r="D3" s="1997"/>
      <c r="E3" s="1997"/>
      <c r="F3" s="1997"/>
      <c r="G3" s="1997"/>
      <c r="H3" s="1997"/>
      <c r="I3" s="1997"/>
      <c r="J3" s="679"/>
    </row>
    <row r="4" spans="1:10" ht="20.25" customHeight="1">
      <c r="A4" s="1963"/>
      <c r="B4" s="1964"/>
      <c r="C4" s="1964"/>
      <c r="D4" s="1964"/>
      <c r="E4" s="1964"/>
      <c r="F4" s="1964"/>
      <c r="G4" s="1964"/>
      <c r="H4" s="1964"/>
      <c r="I4" s="1964"/>
      <c r="J4" s="679"/>
    </row>
    <row r="5" spans="1:10" ht="18.75" customHeight="1">
      <c r="A5" s="1965"/>
      <c r="B5" s="1966"/>
      <c r="C5" s="1966"/>
      <c r="D5" s="1966"/>
      <c r="E5" s="1966"/>
      <c r="G5" s="16"/>
    </row>
    <row r="6" spans="1:10" ht="23.25" customHeight="1">
      <c r="A6" s="1998" t="s">
        <v>2635</v>
      </c>
      <c r="B6" s="1999"/>
      <c r="C6" s="2000"/>
      <c r="D6" s="17"/>
      <c r="E6" s="3"/>
      <c r="F6" s="3"/>
      <c r="G6" s="3"/>
      <c r="H6" s="3"/>
      <c r="I6" s="3"/>
    </row>
    <row r="7" spans="1:10" ht="28.5" customHeight="1">
      <c r="A7" s="2001" t="s">
        <v>2636</v>
      </c>
      <c r="B7" s="2002"/>
      <c r="C7" s="2002"/>
      <c r="D7" s="2003" t="s">
        <v>2637</v>
      </c>
      <c r="E7" s="2004"/>
      <c r="F7" s="2003" t="s">
        <v>2638</v>
      </c>
      <c r="G7" s="2005"/>
      <c r="H7" s="2005"/>
      <c r="I7" s="2004"/>
    </row>
    <row r="8" spans="1:10" ht="41.25" customHeight="1">
      <c r="A8" s="1967" t="s">
        <v>2530</v>
      </c>
      <c r="B8" s="1968" t="s">
        <v>2639</v>
      </c>
      <c r="C8" s="1969" t="s">
        <v>2640</v>
      </c>
      <c r="D8" s="1968" t="s">
        <v>2639</v>
      </c>
      <c r="E8" s="1970" t="s">
        <v>2640</v>
      </c>
      <c r="F8" s="2006" t="s">
        <v>2639</v>
      </c>
      <c r="G8" s="2007"/>
      <c r="H8" s="2008" t="s">
        <v>2640</v>
      </c>
      <c r="I8" s="2009"/>
    </row>
    <row r="9" spans="1:10" ht="13.5" customHeight="1">
      <c r="A9" s="1971" t="s">
        <v>2641</v>
      </c>
      <c r="B9" s="1972">
        <v>3.9676099833870326E-2</v>
      </c>
      <c r="C9" s="1973">
        <v>3.2780097898721161E-2</v>
      </c>
      <c r="D9" s="1974">
        <v>4942.0932093716037</v>
      </c>
      <c r="E9" s="1975">
        <v>5942.0932093716037</v>
      </c>
      <c r="F9" s="1974" t="s">
        <v>153</v>
      </c>
      <c r="G9" s="1974" t="s">
        <v>153</v>
      </c>
      <c r="H9" s="1975" t="s">
        <v>153</v>
      </c>
      <c r="I9" s="1975" t="s">
        <v>153</v>
      </c>
    </row>
    <row r="10" spans="1:10" ht="13.5" customHeight="1">
      <c r="A10" s="1976" t="s">
        <v>2642</v>
      </c>
      <c r="B10" s="1977">
        <v>4.0880101618859799E-2</v>
      </c>
      <c r="C10" s="1973">
        <v>3.2441780500517048E-2</v>
      </c>
      <c r="D10" s="1974">
        <v>4802.0932093716037</v>
      </c>
      <c r="E10" s="1975">
        <v>6002.0932093716037</v>
      </c>
      <c r="F10" s="1974">
        <v>140</v>
      </c>
      <c r="G10" s="1977">
        <v>2.8328077611834694E-2</v>
      </c>
      <c r="H10" s="1975">
        <v>-60</v>
      </c>
      <c r="I10" s="1973">
        <v>-1.0097451838246273E-2</v>
      </c>
    </row>
    <row r="11" spans="1:10" ht="13.5" customHeight="1">
      <c r="A11" s="1976" t="s">
        <v>2643</v>
      </c>
      <c r="B11" s="1977">
        <v>4.4236043587938978E-2</v>
      </c>
      <c r="C11" s="1973">
        <v>3.1625770997351754E-2</v>
      </c>
      <c r="D11" s="1974">
        <v>4452.0932093716037</v>
      </c>
      <c r="E11" s="1975">
        <v>6152.0932093716037</v>
      </c>
      <c r="F11" s="1974">
        <v>490</v>
      </c>
      <c r="G11" s="1977">
        <v>9.9148271641421426E-2</v>
      </c>
      <c r="H11" s="1975">
        <v>-210</v>
      </c>
      <c r="I11" s="1973">
        <v>-3.5341081433861957E-2</v>
      </c>
    </row>
    <row r="12" spans="1:10" ht="13.5" customHeight="1">
      <c r="A12" s="1976" t="s">
        <v>2577</v>
      </c>
      <c r="B12" s="1977">
        <v>4.8192257307535291E-2</v>
      </c>
      <c r="C12" s="1973">
        <v>3.0849804534279324E-2</v>
      </c>
      <c r="D12" s="1974">
        <v>4102.0932093716037</v>
      </c>
      <c r="E12" s="1975">
        <v>6302.0932093716037</v>
      </c>
      <c r="F12" s="1974">
        <v>840</v>
      </c>
      <c r="G12" s="1977">
        <v>0.16996846567100818</v>
      </c>
      <c r="H12" s="1975">
        <v>-360</v>
      </c>
      <c r="I12" s="1973">
        <v>-6.0584711029477642E-2</v>
      </c>
    </row>
    <row r="13" spans="1:10" ht="13.5" customHeight="1">
      <c r="A13" s="1976" t="s">
        <v>2578</v>
      </c>
      <c r="B13" s="1977">
        <v>5.2925615669811465E-2</v>
      </c>
      <c r="C13" s="1973">
        <v>3.011100422333346E-2</v>
      </c>
      <c r="D13" s="1974">
        <v>3752.0932093716037</v>
      </c>
      <c r="E13" s="1975">
        <v>6452.0932093716037</v>
      </c>
      <c r="F13" s="1974">
        <v>1190</v>
      </c>
      <c r="G13" s="1977">
        <v>0.2407886597005949</v>
      </c>
      <c r="H13" s="1975">
        <v>-510</v>
      </c>
      <c r="I13" s="1973">
        <v>-8.5828340625093327E-2</v>
      </c>
    </row>
    <row r="14" spans="1:10" ht="13.5" customHeight="1">
      <c r="A14" s="1976" t="s">
        <v>2579</v>
      </c>
      <c r="B14" s="1977">
        <v>5.8690048538321937E-2</v>
      </c>
      <c r="C14" s="1973">
        <v>2.9406762317364832E-2</v>
      </c>
      <c r="D14" s="1974">
        <v>3402.0932093716037</v>
      </c>
      <c r="E14" s="1975">
        <v>6602.0932093716037</v>
      </c>
      <c r="F14" s="1974">
        <v>1540</v>
      </c>
      <c r="G14" s="1977">
        <v>0.31160885373018166</v>
      </c>
      <c r="H14" s="1975">
        <v>-660</v>
      </c>
      <c r="I14" s="1973">
        <v>-0.11107197022070901</v>
      </c>
    </row>
    <row r="15" spans="1:10" ht="45.75" customHeight="1">
      <c r="A15" s="1965"/>
      <c r="B15" s="1966"/>
      <c r="C15" s="1966"/>
      <c r="D15" s="1966"/>
      <c r="E15" s="1966"/>
      <c r="G15" s="16"/>
    </row>
    <row r="16" spans="1:10" ht="24.75" customHeight="1">
      <c r="A16" s="1998" t="s">
        <v>2644</v>
      </c>
      <c r="B16" s="1999"/>
      <c r="C16" s="2000"/>
      <c r="D16" s="17"/>
      <c r="E16" s="17"/>
      <c r="F16" s="17"/>
      <c r="G16" s="17"/>
      <c r="H16" s="17"/>
      <c r="I16" s="17"/>
    </row>
    <row r="17" spans="1:9" ht="30" customHeight="1">
      <c r="A17" s="2001" t="s">
        <v>2645</v>
      </c>
      <c r="B17" s="2002"/>
      <c r="C17" s="2002"/>
      <c r="D17" s="2003" t="s">
        <v>2637</v>
      </c>
      <c r="E17" s="2004"/>
      <c r="F17" s="2003" t="s">
        <v>2638</v>
      </c>
      <c r="G17" s="2005"/>
      <c r="H17" s="2005"/>
      <c r="I17" s="2004"/>
    </row>
    <row r="18" spans="1:9" ht="36.75" customHeight="1">
      <c r="A18" s="1967" t="s">
        <v>2530</v>
      </c>
      <c r="B18" s="1968" t="s">
        <v>2639</v>
      </c>
      <c r="C18" s="1969" t="s">
        <v>2640</v>
      </c>
      <c r="D18" s="1968" t="s">
        <v>2639</v>
      </c>
      <c r="E18" s="1970" t="s">
        <v>2640</v>
      </c>
      <c r="F18" s="2006" t="s">
        <v>2639</v>
      </c>
      <c r="G18" s="2007"/>
      <c r="H18" s="2008" t="s">
        <v>2640</v>
      </c>
      <c r="I18" s="2009"/>
    </row>
    <row r="19" spans="1:9" ht="15" customHeight="1">
      <c r="A19" s="1971" t="s">
        <v>2641</v>
      </c>
      <c r="B19" s="1972">
        <v>4.4441857428815457E-2</v>
      </c>
      <c r="C19" s="1973">
        <v>3.6154548348853011E-2</v>
      </c>
      <c r="D19" s="1974">
        <v>4556.5241102540258</v>
      </c>
      <c r="E19" s="1975">
        <v>5556.5241102540258</v>
      </c>
      <c r="F19" s="1974" t="s">
        <v>153</v>
      </c>
      <c r="G19" s="1974" t="s">
        <v>153</v>
      </c>
      <c r="H19" s="1975" t="s">
        <v>153</v>
      </c>
      <c r="I19" s="1975" t="s">
        <v>153</v>
      </c>
    </row>
    <row r="20" spans="1:9" ht="15" customHeight="1">
      <c r="A20" s="1976" t="s">
        <v>2642</v>
      </c>
      <c r="B20" s="1977">
        <v>4.5915309969751794E-2</v>
      </c>
      <c r="C20" s="1973">
        <v>3.575450836986982E-2</v>
      </c>
      <c r="D20" s="1974">
        <v>4416.5241102540258</v>
      </c>
      <c r="E20" s="1975">
        <v>5616.5241102540258</v>
      </c>
      <c r="F20" s="1974">
        <v>140</v>
      </c>
      <c r="G20" s="1977">
        <v>3.0725174850922715E-2</v>
      </c>
      <c r="H20" s="1975">
        <v>-60</v>
      </c>
      <c r="I20" s="1973">
        <v>-1.0798117457868279E-2</v>
      </c>
    </row>
    <row r="21" spans="1:9" ht="15" customHeight="1">
      <c r="A21" s="1976" t="s">
        <v>2643</v>
      </c>
      <c r="B21" s="1977">
        <v>5.0065026275846414E-2</v>
      </c>
      <c r="C21" s="1973">
        <v>3.4792096300809039E-2</v>
      </c>
      <c r="D21" s="1974">
        <v>4066.5241102540258</v>
      </c>
      <c r="E21" s="1975">
        <v>5766.5241102540258</v>
      </c>
      <c r="F21" s="1974">
        <v>490</v>
      </c>
      <c r="G21" s="1977">
        <v>0.1075381119782295</v>
      </c>
      <c r="H21" s="1975">
        <v>-210</v>
      </c>
      <c r="I21" s="1973">
        <v>-3.7793411102538976E-2</v>
      </c>
    </row>
    <row r="22" spans="1:9" ht="15" customHeight="1">
      <c r="A22" s="1976" t="s">
        <v>2577</v>
      </c>
      <c r="B22" s="1977">
        <v>5.5039351735578057E-2</v>
      </c>
      <c r="C22" s="1973">
        <v>3.3880137100866792E-2</v>
      </c>
      <c r="D22" s="1974">
        <v>3716.5241102540258</v>
      </c>
      <c r="E22" s="1975">
        <v>5916.5241102540258</v>
      </c>
      <c r="F22" s="1974">
        <v>840</v>
      </c>
      <c r="G22" s="1977">
        <v>0.18435104910553629</v>
      </c>
      <c r="H22" s="1975">
        <v>-360</v>
      </c>
      <c r="I22" s="1973">
        <v>-6.4788704747209672E-2</v>
      </c>
    </row>
    <row r="23" spans="1:9" ht="15" customHeight="1">
      <c r="A23" s="1976" t="s">
        <v>2578</v>
      </c>
      <c r="B23" s="1977">
        <v>6.1111194569468008E-2</v>
      </c>
      <c r="C23" s="1973">
        <v>3.3014764742149927E-2</v>
      </c>
      <c r="D23" s="1974">
        <v>3366.5241102540258</v>
      </c>
      <c r="E23" s="1975">
        <v>6066.5241102540258</v>
      </c>
      <c r="F23" s="1974">
        <v>1190</v>
      </c>
      <c r="G23" s="1977">
        <v>0.26116398623284309</v>
      </c>
      <c r="H23" s="1975">
        <v>-510</v>
      </c>
      <c r="I23" s="1973">
        <v>-9.1783998391880367E-2</v>
      </c>
    </row>
    <row r="24" spans="1:9" ht="15" customHeight="1">
      <c r="A24" s="1976" t="s">
        <v>2579</v>
      </c>
      <c r="B24" s="1977">
        <v>6.8688822615894818E-2</v>
      </c>
      <c r="C24" s="1973">
        <v>3.2192498346239828E-2</v>
      </c>
      <c r="D24" s="1974">
        <v>3016.5241102540258</v>
      </c>
      <c r="E24" s="1975">
        <v>6216.5241102540258</v>
      </c>
      <c r="F24" s="1974">
        <v>1540</v>
      </c>
      <c r="G24" s="1977">
        <v>0.33797692336014989</v>
      </c>
      <c r="H24" s="1975">
        <v>-660</v>
      </c>
      <c r="I24" s="1973">
        <v>-0.11877929203655106</v>
      </c>
    </row>
    <row r="25" spans="1:9" ht="39.75" customHeight="1">
      <c r="A25" s="1965"/>
      <c r="B25" s="1966"/>
      <c r="C25" s="1966"/>
      <c r="D25" s="1966"/>
      <c r="E25" s="1966"/>
      <c r="G25" s="16"/>
    </row>
    <row r="26" spans="1:9" ht="24" customHeight="1">
      <c r="A26" s="1998" t="s">
        <v>2646</v>
      </c>
      <c r="B26" s="1999"/>
      <c r="C26" s="2000"/>
      <c r="D26" s="17"/>
      <c r="E26" s="3"/>
      <c r="F26" s="3"/>
      <c r="G26" s="3"/>
      <c r="H26" s="3"/>
      <c r="I26" s="3"/>
    </row>
    <row r="27" spans="1:9" ht="31.5" customHeight="1">
      <c r="A27" s="2001" t="s">
        <v>2647</v>
      </c>
      <c r="B27" s="2002"/>
      <c r="C27" s="2002"/>
      <c r="D27" s="2003" t="s">
        <v>2648</v>
      </c>
      <c r="E27" s="2004"/>
      <c r="F27" s="2003" t="s">
        <v>2649</v>
      </c>
      <c r="G27" s="2005"/>
      <c r="H27" s="2005"/>
      <c r="I27" s="2004"/>
    </row>
    <row r="28" spans="1:9" ht="39" customHeight="1">
      <c r="A28" s="1967" t="s">
        <v>2530</v>
      </c>
      <c r="B28" s="1968" t="s">
        <v>2639</v>
      </c>
      <c r="C28" s="1969" t="s">
        <v>2650</v>
      </c>
      <c r="D28" s="1968" t="s">
        <v>2639</v>
      </c>
      <c r="E28" s="1970" t="s">
        <v>2650</v>
      </c>
      <c r="F28" s="2006" t="s">
        <v>2639</v>
      </c>
      <c r="G28" s="2007"/>
      <c r="H28" s="2008" t="s">
        <v>2650</v>
      </c>
      <c r="I28" s="2009"/>
    </row>
    <row r="29" spans="1:9" ht="15" customHeight="1">
      <c r="A29" s="1971" t="s">
        <v>2641</v>
      </c>
      <c r="B29" s="1972">
        <v>3.7903457625494852E-2</v>
      </c>
      <c r="C29" s="1973">
        <v>2.8743606110426034E-2</v>
      </c>
      <c r="D29" s="1974">
        <v>1139.9290524683013</v>
      </c>
      <c r="E29" s="1975">
        <v>1489.9290524683013</v>
      </c>
      <c r="F29" s="1974" t="s">
        <v>153</v>
      </c>
      <c r="G29" s="1974" t="s">
        <v>153</v>
      </c>
      <c r="H29" s="1975" t="s">
        <v>153</v>
      </c>
      <c r="I29" s="1975" t="s">
        <v>153</v>
      </c>
    </row>
    <row r="30" spans="1:9" ht="15" customHeight="1">
      <c r="A30" s="1976" t="s">
        <v>2543</v>
      </c>
      <c r="B30" s="1977">
        <v>4.0483680145165124E-2</v>
      </c>
      <c r="C30" s="1973">
        <v>2.8160295307227079E-2</v>
      </c>
      <c r="D30" s="1974">
        <v>1069.9290524683013</v>
      </c>
      <c r="E30" s="1975">
        <v>1519.9290524683013</v>
      </c>
      <c r="F30" s="1974">
        <v>70</v>
      </c>
      <c r="G30" s="1977">
        <v>6.1407330437300643E-2</v>
      </c>
      <c r="H30" s="1975">
        <v>-30</v>
      </c>
      <c r="I30" s="1973">
        <v>-2.0135186940814592E-2</v>
      </c>
    </row>
    <row r="31" spans="1:9" ht="15" customHeight="1">
      <c r="A31" s="1976" t="s">
        <v>2544</v>
      </c>
      <c r="B31" s="1977">
        <v>4.3440852750582959E-2</v>
      </c>
      <c r="C31" s="1973">
        <v>2.7600188545157334E-2</v>
      </c>
      <c r="D31" s="1974">
        <v>999.92905246830128</v>
      </c>
      <c r="E31" s="1975">
        <v>1549.9290524683013</v>
      </c>
      <c r="F31" s="1974">
        <v>140</v>
      </c>
      <c r="G31" s="1977">
        <v>0.12281466087460129</v>
      </c>
      <c r="H31" s="1975">
        <v>-60</v>
      </c>
      <c r="I31" s="1973">
        <v>-4.0270373881629185E-2</v>
      </c>
    </row>
    <row r="32" spans="1:9" ht="15" customHeight="1">
      <c r="A32" s="1976" t="s">
        <v>2545</v>
      </c>
      <c r="B32" s="1977">
        <v>4.686408896764771E-2</v>
      </c>
      <c r="C32" s="1973">
        <v>2.7061928244997091E-2</v>
      </c>
      <c r="D32" s="1974">
        <v>929.92905246830128</v>
      </c>
      <c r="E32" s="1975">
        <v>1579.9290524683013</v>
      </c>
      <c r="F32" s="1974">
        <v>210</v>
      </c>
      <c r="G32" s="1977">
        <v>0.18422199131190192</v>
      </c>
      <c r="H32" s="1975">
        <v>-90</v>
      </c>
      <c r="I32" s="1973">
        <v>-6.0405560822443777E-2</v>
      </c>
    </row>
    <row r="33" spans="1:15" ht="15" customHeight="1">
      <c r="A33" s="1976" t="s">
        <v>2651</v>
      </c>
      <c r="B33" s="1977">
        <v>5.0872994557999984E-2</v>
      </c>
      <c r="C33" s="1973">
        <v>2.6544260704041367E-2</v>
      </c>
      <c r="D33" s="1974">
        <v>859.92905246830128</v>
      </c>
      <c r="E33" s="1975">
        <v>1609.9290524683013</v>
      </c>
      <c r="F33" s="1974">
        <v>280</v>
      </c>
      <c r="G33" s="1977">
        <v>0.24562932174920257</v>
      </c>
      <c r="H33" s="1975">
        <v>-120</v>
      </c>
      <c r="I33" s="1973">
        <v>-8.0540747763258369E-2</v>
      </c>
    </row>
    <row r="34" spans="1:15" ht="15" customHeight="1">
      <c r="A34" s="1976" t="s">
        <v>2547</v>
      </c>
      <c r="B34" s="1977">
        <v>5.6385443749210173E-2</v>
      </c>
      <c r="C34" s="1973">
        <v>2.6210013196934945E-2</v>
      </c>
      <c r="D34" s="1974">
        <v>779.92905246830128</v>
      </c>
      <c r="E34" s="1975">
        <v>1629.9290524683013</v>
      </c>
      <c r="F34" s="1974">
        <v>360</v>
      </c>
      <c r="G34" s="1977">
        <v>0.31580912796326044</v>
      </c>
      <c r="H34" s="1975">
        <v>-140</v>
      </c>
      <c r="I34" s="1973">
        <v>-9.3964205723801431E-2</v>
      </c>
    </row>
    <row r="35" spans="1:15" ht="15" customHeight="1">
      <c r="A35" s="1976" t="s">
        <v>2652</v>
      </c>
      <c r="B35" s="1977">
        <v>6.1373101332712787E-2</v>
      </c>
      <c r="C35" s="1973">
        <v>2.5566151056473529E-2</v>
      </c>
      <c r="D35" s="1974">
        <v>719.92905246830128</v>
      </c>
      <c r="E35" s="1975">
        <v>1669.9290524683013</v>
      </c>
      <c r="F35" s="1974">
        <v>420</v>
      </c>
      <c r="G35" s="1977">
        <v>0.36844398262380385</v>
      </c>
      <c r="H35" s="1975">
        <v>-180</v>
      </c>
      <c r="I35" s="1973">
        <v>-0.12081112164488755</v>
      </c>
    </row>
    <row r="36" spans="1:15" ht="11.25" customHeight="1">
      <c r="A36" s="1978"/>
      <c r="B36" s="1979"/>
      <c r="C36" s="1979"/>
      <c r="D36" s="1980"/>
      <c r="E36" s="1980"/>
      <c r="F36" s="1980"/>
      <c r="G36" s="1979"/>
      <c r="H36" s="1980"/>
      <c r="I36" s="1979"/>
      <c r="L36" s="326"/>
      <c r="M36" s="326"/>
      <c r="N36" s="326"/>
      <c r="O36" s="326"/>
    </row>
    <row r="37" spans="1:15">
      <c r="A37" s="1981" t="s">
        <v>2618</v>
      </c>
    </row>
    <row r="38" spans="1:15">
      <c r="A38" s="3"/>
    </row>
    <row r="39" spans="1:15">
      <c r="A39" s="1981" t="s">
        <v>2653</v>
      </c>
      <c r="C39" s="1982"/>
    </row>
    <row r="40" spans="1:15">
      <c r="A40" s="3"/>
    </row>
    <row r="41" spans="1:15">
      <c r="A41" s="49" t="s">
        <v>2654</v>
      </c>
    </row>
    <row r="42" spans="1:15">
      <c r="A42" s="49" t="s">
        <v>2655</v>
      </c>
    </row>
    <row r="43" spans="1:15">
      <c r="A43" s="49" t="s">
        <v>2656</v>
      </c>
    </row>
    <row r="44" spans="1:15">
      <c r="A44" s="49" t="s">
        <v>2657</v>
      </c>
    </row>
    <row r="45" spans="1:15">
      <c r="A45" s="49" t="s">
        <v>2658</v>
      </c>
    </row>
    <row r="46" spans="1:15">
      <c r="A46" s="1983" t="s">
        <v>2659</v>
      </c>
    </row>
    <row r="47" spans="1:15">
      <c r="A47" s="1983" t="s">
        <v>2660</v>
      </c>
    </row>
    <row r="48" spans="1:15">
      <c r="A48" s="1983" t="s">
        <v>2661</v>
      </c>
    </row>
    <row r="49" spans="1:5">
      <c r="A49" s="49" t="s">
        <v>2662</v>
      </c>
    </row>
    <row r="50" spans="1:5">
      <c r="A50" s="258" t="s">
        <v>2663</v>
      </c>
    </row>
    <row r="51" spans="1:5">
      <c r="A51" s="1984" t="s">
        <v>2664</v>
      </c>
    </row>
    <row r="54" spans="1:5">
      <c r="A54" s="78"/>
    </row>
    <row r="57" spans="1:5">
      <c r="A57" s="16"/>
      <c r="B57" s="16"/>
      <c r="C57" s="16"/>
      <c r="D57" s="16"/>
      <c r="E57" s="16"/>
    </row>
    <row r="59" spans="1:5">
      <c r="A59" s="1985" t="s">
        <v>2665</v>
      </c>
      <c r="B59" s="12"/>
      <c r="C59" s="12"/>
      <c r="D59" s="12"/>
      <c r="E59" s="12"/>
    </row>
  </sheetData>
  <mergeCells count="19">
    <mergeCell ref="A26:C26"/>
    <mergeCell ref="A27:C27"/>
    <mergeCell ref="D27:E27"/>
    <mergeCell ref="F27:I27"/>
    <mergeCell ref="F28:G28"/>
    <mergeCell ref="H28:I28"/>
    <mergeCell ref="A16:C16"/>
    <mergeCell ref="A17:C17"/>
    <mergeCell ref="D17:E17"/>
    <mergeCell ref="F17:I17"/>
    <mergeCell ref="F18:G18"/>
    <mergeCell ref="H18:I18"/>
    <mergeCell ref="A3:I3"/>
    <mergeCell ref="A6:C6"/>
    <mergeCell ref="A7:C7"/>
    <mergeCell ref="D7:E7"/>
    <mergeCell ref="F7:I7"/>
    <mergeCell ref="F8:G8"/>
    <mergeCell ref="H8:I8"/>
  </mergeCells>
  <pageMargins left="0.4" right="0.31" top="0.48" bottom="0.42" header="0.28999999999999998" footer="0.31"/>
  <pageSetup paperSize="9" scale="77" fitToHeight="3"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02529-3B8F-F14B-9739-39925C8482DE}">
  <sheetPr>
    <pageSetUpPr fitToPage="1"/>
  </sheetPr>
  <dimension ref="A1:P70"/>
  <sheetViews>
    <sheetView zoomScale="115" zoomScaleNormal="115" workbookViewId="0">
      <pane ySplit="5" topLeftCell="A6" activePane="bottomLeft" state="frozen"/>
      <selection pane="bottomLeft" activeCell="K2" sqref="K2"/>
    </sheetView>
  </sheetViews>
  <sheetFormatPr baseColWidth="10" defaultColWidth="11.59765625" defaultRowHeight="13"/>
  <cols>
    <col min="1" max="1" width="2.59765625" style="1013" customWidth="1"/>
    <col min="2" max="2" width="20.19921875" style="1069" customWidth="1"/>
    <col min="3" max="3" width="0.59765625" style="1013" customWidth="1"/>
    <col min="4" max="5" width="7.796875" style="1013" hidden="1" customWidth="1"/>
    <col min="6" max="8" width="9" style="1013" customWidth="1"/>
    <col min="9" max="9" width="9" style="1015" customWidth="1"/>
    <col min="10" max="10" width="9" style="1013" customWidth="1"/>
    <col min="11" max="11" width="9" style="1016" customWidth="1"/>
    <col min="12" max="13" width="9" style="1013" customWidth="1"/>
    <col min="14" max="14" width="9" style="1017" customWidth="1"/>
    <col min="15" max="15" width="9" style="1013" customWidth="1"/>
    <col min="16" max="16" width="9" style="1017" customWidth="1"/>
    <col min="17" max="16384" width="11.59765625" style="1013"/>
  </cols>
  <sheetData>
    <row r="1" spans="1:16">
      <c r="B1" s="1014" t="s">
        <v>2616</v>
      </c>
    </row>
    <row r="3" spans="1:16">
      <c r="B3" s="1014" t="s">
        <v>1567</v>
      </c>
    </row>
    <row r="4" spans="1:16">
      <c r="A4" s="1018"/>
      <c r="B4" s="1019"/>
      <c r="C4" s="1018"/>
      <c r="D4" s="1018"/>
      <c r="E4" s="1018"/>
      <c r="F4" s="1018"/>
      <c r="G4" s="1018"/>
      <c r="H4" s="1018"/>
      <c r="I4" s="1020"/>
      <c r="J4" s="1018"/>
      <c r="K4" s="1021"/>
      <c r="L4" s="1018"/>
      <c r="M4" s="1018"/>
      <c r="N4" s="1022"/>
      <c r="O4" s="1018"/>
      <c r="P4" s="1022"/>
    </row>
    <row r="5" spans="1:16" ht="49.75" customHeight="1">
      <c r="A5" s="1023"/>
      <c r="B5" s="1024"/>
      <c r="C5" s="1025">
        <v>2000</v>
      </c>
      <c r="D5" s="1026">
        <v>2001</v>
      </c>
      <c r="E5" s="1025">
        <v>2002</v>
      </c>
      <c r="F5" s="1888">
        <v>2003</v>
      </c>
      <c r="G5" s="1025">
        <v>2004</v>
      </c>
      <c r="H5" s="1026">
        <v>2005</v>
      </c>
      <c r="I5" s="1027">
        <v>2006</v>
      </c>
      <c r="J5" s="1028">
        <v>2007</v>
      </c>
      <c r="K5" s="1029">
        <v>2008</v>
      </c>
      <c r="L5" s="1030">
        <v>2009</v>
      </c>
      <c r="M5" s="1029">
        <v>2010</v>
      </c>
      <c r="N5" s="1030">
        <v>2011</v>
      </c>
      <c r="O5" s="1029">
        <v>2012</v>
      </c>
      <c r="P5" s="1030">
        <v>2013</v>
      </c>
    </row>
    <row r="6" spans="1:16" ht="14" thickBot="1">
      <c r="A6" s="1031">
        <v>1</v>
      </c>
      <c r="B6" s="1032" t="s">
        <v>638</v>
      </c>
      <c r="C6" s="1033">
        <v>7265.1130000000003</v>
      </c>
      <c r="D6" s="1034">
        <v>7301.05</v>
      </c>
      <c r="E6" s="1035">
        <v>7344.6319999999996</v>
      </c>
      <c r="F6" s="1034">
        <v>7372.5050000000001</v>
      </c>
      <c r="G6" s="1035">
        <v>7383.5739999999996</v>
      </c>
      <c r="H6" s="1034">
        <v>7435.8649999999998</v>
      </c>
      <c r="I6" s="1035">
        <v>7478.4290000000001</v>
      </c>
      <c r="J6" s="1034">
        <v>7537.5873800000008</v>
      </c>
      <c r="K6" s="1033">
        <v>7615.5633200000002</v>
      </c>
      <c r="L6" s="1036">
        <v>7708.8515100000004</v>
      </c>
      <c r="M6" s="1033">
        <v>7779.661790000001</v>
      </c>
      <c r="N6" s="1036">
        <v>7862.7704599999988</v>
      </c>
      <c r="O6" s="1033">
        <v>7953.3573899999974</v>
      </c>
      <c r="P6" s="1036">
        <v>8045.9282900000017</v>
      </c>
    </row>
    <row r="7" spans="1:16" ht="14" thickBot="1">
      <c r="A7" s="1037"/>
      <c r="B7" s="1038" t="s">
        <v>1568</v>
      </c>
      <c r="C7" s="1039">
        <v>7263.2904821520033</v>
      </c>
      <c r="D7" s="1040">
        <v>7277.9087635100614</v>
      </c>
      <c r="E7" s="1041">
        <v>7294.8725866470413</v>
      </c>
      <c r="F7" s="1040">
        <v>7381</v>
      </c>
      <c r="G7" s="1041">
        <v>7369</v>
      </c>
      <c r="H7" s="1040">
        <v>7439</v>
      </c>
      <c r="I7" s="1041">
        <v>7479.1931914420002</v>
      </c>
      <c r="J7" s="1040">
        <v>7540.1476616999998</v>
      </c>
      <c r="K7" s="1039">
        <v>7616.5542101510009</v>
      </c>
      <c r="L7" s="1042">
        <v>7702.4292549230004</v>
      </c>
      <c r="M7" s="1039">
        <v>7781.1743319099996</v>
      </c>
      <c r="N7" s="1040">
        <v>7860.2017131350012</v>
      </c>
      <c r="O7" s="1041">
        <v>7951.8848797159999</v>
      </c>
      <c r="P7" s="1040">
        <v>8052.6909999999998</v>
      </c>
    </row>
    <row r="8" spans="1:16" ht="14" thickBot="1">
      <c r="A8" s="1037"/>
      <c r="B8" s="1038" t="s">
        <v>1569</v>
      </c>
      <c r="C8" s="1043">
        <v>-2.5085884390196878E-4</v>
      </c>
      <c r="D8" s="1044">
        <v>-3.1695764978926233E-3</v>
      </c>
      <c r="E8" s="1045">
        <v>-6.774936219126837E-3</v>
      </c>
      <c r="F8" s="1044">
        <v>1.1522542202413444E-3</v>
      </c>
      <c r="G8" s="1045">
        <v>-1.9738408526818185E-3</v>
      </c>
      <c r="H8" s="1044">
        <v>4.2160528734713765E-4</v>
      </c>
      <c r="I8" s="1045">
        <v>1.0218609309520232E-4</v>
      </c>
      <c r="J8" s="1044">
        <v>3.3966859300260666E-4</v>
      </c>
      <c r="K8" s="1045">
        <v>1.3011383522987252E-4</v>
      </c>
      <c r="L8" s="1044">
        <v>-8.3310141188597253E-4</v>
      </c>
      <c r="M8" s="1045">
        <v>1.9442257913349081E-4</v>
      </c>
      <c r="N8" s="1044">
        <v>-3.266974252987831E-4</v>
      </c>
      <c r="O8" s="1045">
        <v>-1.8514323093898888E-4</v>
      </c>
      <c r="P8" s="1044">
        <v>8.4051333248935656E-4</v>
      </c>
    </row>
    <row r="9" spans="1:16" ht="14" hidden="1" thickBot="1">
      <c r="A9" s="1037"/>
      <c r="B9" s="1038" t="s">
        <v>1570</v>
      </c>
      <c r="C9" s="1046" t="s">
        <v>153</v>
      </c>
      <c r="D9" s="1040">
        <v>7254.1157733654136</v>
      </c>
      <c r="E9" s="1041">
        <v>7163.7307153205684</v>
      </c>
      <c r="F9" s="1040">
        <v>7316.3455001697612</v>
      </c>
      <c r="G9" s="1041">
        <v>7362</v>
      </c>
      <c r="H9" s="1040">
        <v>7463</v>
      </c>
      <c r="I9" s="1041">
        <v>7592</v>
      </c>
      <c r="J9" s="1040">
        <v>7673.1906940349973</v>
      </c>
      <c r="K9" s="1039">
        <v>7691.2806604670004</v>
      </c>
      <c r="L9" s="1042">
        <v>7722.3599757610018</v>
      </c>
      <c r="M9" s="1039">
        <v>7651.4778619709978</v>
      </c>
      <c r="N9" s="1042">
        <v>7808.2453008929997</v>
      </c>
      <c r="O9" s="1041">
        <v>7901.3771749259986</v>
      </c>
      <c r="P9" s="1042">
        <v>7808.2453008929997</v>
      </c>
    </row>
    <row r="10" spans="1:16" ht="14" thickBot="1">
      <c r="A10" s="1037"/>
      <c r="B10" s="1047"/>
      <c r="C10" s="1048"/>
      <c r="D10" s="1049"/>
      <c r="E10" s="1050"/>
      <c r="F10" s="1049"/>
      <c r="G10" s="1050"/>
      <c r="H10" s="1049"/>
      <c r="I10" s="1050"/>
      <c r="J10" s="1049"/>
      <c r="K10" s="1048"/>
      <c r="L10" s="1042"/>
      <c r="M10" s="1039"/>
      <c r="N10" s="1042"/>
      <c r="O10" s="1039"/>
      <c r="P10" s="1042"/>
    </row>
    <row r="11" spans="1:16" ht="14" thickBot="1">
      <c r="A11" s="1051">
        <v>2</v>
      </c>
      <c r="B11" s="1052" t="s">
        <v>1383</v>
      </c>
      <c r="C11" s="1048">
        <v>13441.654683999999</v>
      </c>
      <c r="D11" s="1049">
        <v>13997.312</v>
      </c>
      <c r="E11" s="1050">
        <v>15355.045232</v>
      </c>
      <c r="F11" s="1049">
        <v>16820.111152000001</v>
      </c>
      <c r="G11" s="1050">
        <v>18029.704831999999</v>
      </c>
      <c r="H11" s="1049">
        <v>18496.419615660001</v>
      </c>
      <c r="I11" s="1050">
        <v>19314.688173570001</v>
      </c>
      <c r="J11" s="1049">
        <v>19689.141486260003</v>
      </c>
      <c r="K11" s="1048">
        <v>19692.267223940002</v>
      </c>
      <c r="L11" s="1053">
        <v>20124.767119560001</v>
      </c>
      <c r="M11" s="1048">
        <v>22051.439907320004</v>
      </c>
      <c r="N11" s="1053">
        <v>23631.189258279996</v>
      </c>
      <c r="O11" s="1048">
        <v>24458.40065327</v>
      </c>
      <c r="P11" s="1053">
        <v>24984.321933659998</v>
      </c>
    </row>
    <row r="12" spans="1:16" ht="14" thickBot="1">
      <c r="A12" s="1037"/>
      <c r="B12" s="1038" t="str">
        <f>B$7</f>
        <v>Schätzung</v>
      </c>
      <c r="C12" s="1039">
        <v>13389.707699910003</v>
      </c>
      <c r="D12" s="1040">
        <v>13989.048404499999</v>
      </c>
      <c r="E12" s="1041">
        <v>15274.144299349999</v>
      </c>
      <c r="F12" s="1040">
        <v>16841</v>
      </c>
      <c r="G12" s="1041">
        <v>18003</v>
      </c>
      <c r="H12" s="1040">
        <v>18529</v>
      </c>
      <c r="I12" s="1041">
        <v>19330</v>
      </c>
      <c r="J12" s="1040">
        <v>19702.417918889994</v>
      </c>
      <c r="K12" s="1039">
        <v>19699.635458489996</v>
      </c>
      <c r="L12" s="1042">
        <v>20167.370254750007</v>
      </c>
      <c r="M12" s="1039">
        <v>22080.785091389997</v>
      </c>
      <c r="N12" s="1042">
        <v>23649.272847050001</v>
      </c>
      <c r="O12" s="1039">
        <v>24435.633135419997</v>
      </c>
      <c r="P12" s="1042">
        <v>25019.561529068105</v>
      </c>
    </row>
    <row r="13" spans="1:16" ht="14" thickBot="1">
      <c r="A13" s="1037"/>
      <c r="B13" s="1038" t="str">
        <f>B$8</f>
        <v xml:space="preserve">Abweichung </v>
      </c>
      <c r="C13" s="1043">
        <v>-3.8646271840200308E-3</v>
      </c>
      <c r="D13" s="1044">
        <v>-5.9037017250174184E-4</v>
      </c>
      <c r="E13" s="1045">
        <v>-5.2686873550462643E-3</v>
      </c>
      <c r="F13" s="1044">
        <v>1.2418971439147608E-3</v>
      </c>
      <c r="G13" s="1045">
        <v>-1.481157470343164E-3</v>
      </c>
      <c r="H13" s="1044">
        <v>1.761442755786824E-3</v>
      </c>
      <c r="I13" s="1045">
        <v>7.9275555952040833E-4</v>
      </c>
      <c r="J13" s="1044">
        <v>6.7430226143971872E-4</v>
      </c>
      <c r="K13" s="1045">
        <v>3.7416892967190307E-4</v>
      </c>
      <c r="L13" s="1044">
        <v>2.1169504688876017E-3</v>
      </c>
      <c r="M13" s="1045">
        <v>1.33076044890168E-3</v>
      </c>
      <c r="N13" s="1044">
        <v>7.6524243330955422E-4</v>
      </c>
      <c r="O13" s="1045">
        <v>-9.3086699219468994E-4</v>
      </c>
      <c r="P13" s="1044">
        <v>1.4104683529805317E-3</v>
      </c>
    </row>
    <row r="14" spans="1:16" ht="14" hidden="1" thickBot="1">
      <c r="A14" s="1037"/>
      <c r="B14" s="1038" t="str">
        <f>B$9</f>
        <v>Prognose</v>
      </c>
      <c r="C14" s="1039" t="s">
        <v>153</v>
      </c>
      <c r="D14" s="1040">
        <v>14172.21799859</v>
      </c>
      <c r="E14" s="1041">
        <v>15197.887399369996</v>
      </c>
      <c r="F14" s="1040">
        <v>16888.705110070001</v>
      </c>
      <c r="G14" s="1041">
        <v>18075</v>
      </c>
      <c r="H14" s="1040">
        <v>18735</v>
      </c>
      <c r="I14" s="1041">
        <v>19932</v>
      </c>
      <c r="J14" s="1040">
        <v>20116</v>
      </c>
      <c r="K14" s="1039">
        <v>20016.107919189995</v>
      </c>
      <c r="L14" s="1042">
        <v>20398.211203859999</v>
      </c>
      <c r="M14" s="1039">
        <v>22023.360697910004</v>
      </c>
      <c r="N14" s="1042">
        <v>23626.775321820001</v>
      </c>
      <c r="O14" s="1039">
        <v>24323.477975969996</v>
      </c>
      <c r="P14" s="1042">
        <v>23626.775321820001</v>
      </c>
    </row>
    <row r="15" spans="1:16" ht="14" thickBot="1">
      <c r="A15" s="1037"/>
      <c r="B15" s="1047"/>
      <c r="C15" s="1048"/>
      <c r="D15" s="1049"/>
      <c r="E15" s="1050"/>
      <c r="F15" s="1049"/>
      <c r="G15" s="1050"/>
      <c r="H15" s="1049"/>
      <c r="I15" s="1050"/>
      <c r="J15" s="1049"/>
      <c r="K15" s="1048"/>
      <c r="L15" s="1042"/>
      <c r="M15" s="1039"/>
      <c r="N15" s="1042"/>
      <c r="O15" s="1039"/>
      <c r="P15" s="1042"/>
    </row>
    <row r="16" spans="1:16" ht="14" thickBot="1">
      <c r="A16" s="1051">
        <v>3</v>
      </c>
      <c r="B16" s="1052" t="s">
        <v>1571</v>
      </c>
      <c r="C16" s="1048">
        <v>13190.309896999999</v>
      </c>
      <c r="D16" s="1049">
        <v>13986.27</v>
      </c>
      <c r="E16" s="1050">
        <v>14592.757041999999</v>
      </c>
      <c r="F16" s="1049">
        <v>15335.619703</v>
      </c>
      <c r="G16" s="1050">
        <v>16307.508545999999</v>
      </c>
      <c r="H16" s="1049">
        <v>17352.720035540002</v>
      </c>
      <c r="I16" s="1050">
        <v>17563.91560077</v>
      </c>
      <c r="J16" s="1049">
        <v>18423.621995400001</v>
      </c>
      <c r="K16" s="1048">
        <v>19431.457253839999</v>
      </c>
      <c r="L16" s="1053">
        <v>20273.850596579996</v>
      </c>
      <c r="M16" s="1048">
        <v>20883.746929000004</v>
      </c>
      <c r="N16" s="1053">
        <v>21356.405837799997</v>
      </c>
      <c r="O16" s="1048">
        <v>22195.991088449999</v>
      </c>
      <c r="P16" s="1053">
        <v>24031.42223688</v>
      </c>
    </row>
    <row r="17" spans="1:16" ht="14" thickBot="1">
      <c r="A17" s="1037"/>
      <c r="B17" s="1038" t="str">
        <f>B$7</f>
        <v>Schätzung</v>
      </c>
      <c r="C17" s="1039">
        <v>13263.352588819997</v>
      </c>
      <c r="D17" s="1040">
        <v>13868.973949539999</v>
      </c>
      <c r="E17" s="1041">
        <v>14545.501535449999</v>
      </c>
      <c r="F17" s="1040">
        <v>15382</v>
      </c>
      <c r="G17" s="1041">
        <v>16182</v>
      </c>
      <c r="H17" s="1040">
        <v>17293</v>
      </c>
      <c r="I17" s="1041">
        <v>17953</v>
      </c>
      <c r="J17" s="1040">
        <v>18303.805358469996</v>
      </c>
      <c r="K17" s="1039">
        <v>19054.4411406</v>
      </c>
      <c r="L17" s="1042">
        <v>20141.230242230002</v>
      </c>
      <c r="M17" s="1039">
        <v>21027.802615479995</v>
      </c>
      <c r="N17" s="1042">
        <v>21655.653844479999</v>
      </c>
      <c r="O17" s="1039">
        <v>22280.475160669997</v>
      </c>
      <c r="P17" s="1042">
        <v>23453.448009511601</v>
      </c>
    </row>
    <row r="18" spans="1:16" ht="14" thickBot="1">
      <c r="A18" s="1037"/>
      <c r="B18" s="1038" t="str">
        <f>B$8</f>
        <v xml:space="preserve">Abweichung </v>
      </c>
      <c r="C18" s="1043">
        <v>5.5376024058850781E-3</v>
      </c>
      <c r="D18" s="1044">
        <v>-8.3865140927495974E-3</v>
      </c>
      <c r="E18" s="1045">
        <v>-3.2382850213974468E-3</v>
      </c>
      <c r="F18" s="1044">
        <v>3.024351014059512E-3</v>
      </c>
      <c r="G18" s="1045">
        <v>-7.6963654899193656E-3</v>
      </c>
      <c r="H18" s="1044">
        <v>-3.4415374314625824E-3</v>
      </c>
      <c r="I18" s="1045">
        <v>2.2152486272078331E-2</v>
      </c>
      <c r="J18" s="1044">
        <v>-6.5034246230150083E-3</v>
      </c>
      <c r="K18" s="1045">
        <v>-1.9402359190816454E-2</v>
      </c>
      <c r="L18" s="1044">
        <v>-6.5414487355631712E-3</v>
      </c>
      <c r="M18" s="1045">
        <v>6.8979808541900223E-3</v>
      </c>
      <c r="N18" s="1044">
        <v>1.4012095900066912E-2</v>
      </c>
      <c r="O18" s="1045">
        <v>3.806276182186874E-3</v>
      </c>
      <c r="P18" s="1044">
        <v>-2.4050770764678542E-2</v>
      </c>
    </row>
    <row r="19" spans="1:16" ht="14" hidden="1" thickBot="1">
      <c r="A19" s="1037"/>
      <c r="B19" s="1038" t="str">
        <f>B$9</f>
        <v>Prognose</v>
      </c>
      <c r="C19" s="1039" t="s">
        <v>153</v>
      </c>
      <c r="D19" s="1040">
        <v>13873.52074459</v>
      </c>
      <c r="E19" s="1041">
        <v>14375.897015919998</v>
      </c>
      <c r="F19" s="1040">
        <v>15461.261377419998</v>
      </c>
      <c r="G19" s="1041">
        <v>16330</v>
      </c>
      <c r="H19" s="1040">
        <v>17180</v>
      </c>
      <c r="I19" s="1041">
        <v>18848</v>
      </c>
      <c r="J19" s="1040">
        <v>19027</v>
      </c>
      <c r="K19" s="1039">
        <v>19109.311929110001</v>
      </c>
      <c r="L19" s="1042">
        <v>19772.739618319996</v>
      </c>
      <c r="M19" s="1039">
        <v>20559.572438620005</v>
      </c>
      <c r="N19" s="1042">
        <v>21871.078093380005</v>
      </c>
      <c r="O19" s="1039">
        <v>22479.997414199996</v>
      </c>
      <c r="P19" s="1042">
        <v>21871.078093380005</v>
      </c>
    </row>
    <row r="20" spans="1:16" ht="14" thickBot="1">
      <c r="A20" s="1037"/>
      <c r="B20" s="1047"/>
      <c r="C20" s="1048"/>
      <c r="D20" s="1049"/>
      <c r="E20" s="1050"/>
      <c r="F20" s="1049"/>
      <c r="G20" s="1050"/>
      <c r="H20" s="1049"/>
      <c r="I20" s="1050"/>
      <c r="J20" s="1049"/>
      <c r="K20" s="1048"/>
      <c r="L20" s="1042"/>
      <c r="M20" s="1039"/>
      <c r="N20" s="1042"/>
      <c r="O20" s="1039"/>
      <c r="P20" s="1042"/>
    </row>
    <row r="21" spans="1:16" ht="14" thickBot="1">
      <c r="A21" s="1051">
        <v>4</v>
      </c>
      <c r="B21" s="1052" t="s">
        <v>79</v>
      </c>
      <c r="C21" s="1048">
        <v>2288.0175450000002</v>
      </c>
      <c r="D21" s="1049">
        <v>2400.1799999999998</v>
      </c>
      <c r="E21" s="1050">
        <v>2502.8303667999999</v>
      </c>
      <c r="F21" s="1049">
        <v>2588.499652</v>
      </c>
      <c r="G21" s="1050">
        <v>2832.3123952999999</v>
      </c>
      <c r="H21" s="1049">
        <v>2994.9866096700002</v>
      </c>
      <c r="I21" s="1050">
        <v>3038.7113187200002</v>
      </c>
      <c r="J21" s="1049">
        <v>3155.0668707</v>
      </c>
      <c r="K21" s="1048">
        <v>3290.4542289599999</v>
      </c>
      <c r="L21" s="1053">
        <v>3382.471848149999</v>
      </c>
      <c r="M21" s="1048">
        <v>3408.7146446100001</v>
      </c>
      <c r="N21" s="1053">
        <v>3575.1042570200002</v>
      </c>
      <c r="O21" s="1048">
        <v>3705.2372038999993</v>
      </c>
      <c r="P21" s="1053">
        <v>3895.0676720400002</v>
      </c>
    </row>
    <row r="22" spans="1:16" ht="14" thickBot="1">
      <c r="A22" s="1037"/>
      <c r="B22" s="1038" t="str">
        <f>B$7</f>
        <v>Schätzung</v>
      </c>
      <c r="C22" s="1039">
        <v>2303.9403716100005</v>
      </c>
      <c r="D22" s="1040">
        <v>2425.1343131099998</v>
      </c>
      <c r="E22" s="1041">
        <v>2546.0819887000002</v>
      </c>
      <c r="F22" s="1040">
        <v>2666</v>
      </c>
      <c r="G22" s="1041">
        <v>2901</v>
      </c>
      <c r="H22" s="1040">
        <v>3099</v>
      </c>
      <c r="I22" s="1041">
        <v>3117</v>
      </c>
      <c r="J22" s="1040">
        <v>3178.8702050500001</v>
      </c>
      <c r="K22" s="1039">
        <v>3291.5070437099998</v>
      </c>
      <c r="L22" s="1042">
        <v>3460.5105451399995</v>
      </c>
      <c r="M22" s="1039">
        <v>3539.6603510399996</v>
      </c>
      <c r="N22" s="1042">
        <v>3582.4629797900006</v>
      </c>
      <c r="O22" s="1039">
        <v>3736.8400199399998</v>
      </c>
      <c r="P22" s="1042">
        <v>3883.4788093534103</v>
      </c>
    </row>
    <row r="23" spans="1:16" ht="14" thickBot="1">
      <c r="A23" s="1037"/>
      <c r="B23" s="1038" t="str">
        <f>B$8</f>
        <v xml:space="preserve">Abweichung </v>
      </c>
      <c r="C23" s="1043">
        <v>6.9592239993074845E-3</v>
      </c>
      <c r="D23" s="1044">
        <v>1.0396850698697557E-2</v>
      </c>
      <c r="E23" s="1045">
        <v>1.7281084037389149E-2</v>
      </c>
      <c r="F23" s="1044">
        <v>2.9940258226466954E-2</v>
      </c>
      <c r="G23" s="1045">
        <v>2.4251422552816537E-2</v>
      </c>
      <c r="H23" s="1044">
        <v>3.472916706678042E-2</v>
      </c>
      <c r="I23" s="1045">
        <v>2.5763777163596346E-2</v>
      </c>
      <c r="J23" s="1044">
        <v>7.544478556398726E-3</v>
      </c>
      <c r="K23" s="1045">
        <v>3.1996030843828294E-4</v>
      </c>
      <c r="L23" s="1044">
        <v>2.3071499333448431E-2</v>
      </c>
      <c r="M23" s="1045">
        <v>3.8414980449318792E-2</v>
      </c>
      <c r="N23" s="1044">
        <v>2.0583239651126295E-3</v>
      </c>
      <c r="O23" s="1045">
        <v>8.5292288457905485E-3</v>
      </c>
      <c r="P23" s="1044">
        <v>-2.9752660704147615E-3</v>
      </c>
    </row>
    <row r="24" spans="1:16" ht="14" hidden="1" thickBot="1">
      <c r="A24" s="1037"/>
      <c r="B24" s="1038" t="str">
        <f>B$9</f>
        <v>Prognose</v>
      </c>
      <c r="C24" s="1046"/>
      <c r="D24" s="1040">
        <v>2328.0747466299999</v>
      </c>
      <c r="E24" s="1041">
        <v>2529.1750094200006</v>
      </c>
      <c r="F24" s="1040">
        <v>2692.6295753899999</v>
      </c>
      <c r="G24" s="1041">
        <v>3044</v>
      </c>
      <c r="H24" s="1040">
        <v>3181</v>
      </c>
      <c r="I24" s="1041">
        <v>3305</v>
      </c>
      <c r="J24" s="1040">
        <v>3346</v>
      </c>
      <c r="K24" s="1039">
        <v>3340.5068328800003</v>
      </c>
      <c r="L24" s="1042">
        <v>3435.5770779900013</v>
      </c>
      <c r="M24" s="1039">
        <v>3562.1541336899995</v>
      </c>
      <c r="N24" s="1042">
        <v>3706.9558405400003</v>
      </c>
      <c r="O24" s="1039">
        <v>3730.4170666500004</v>
      </c>
      <c r="P24" s="1042">
        <v>3706.9558405400003</v>
      </c>
    </row>
    <row r="25" spans="1:16" ht="14" thickBot="1">
      <c r="A25" s="1037"/>
      <c r="B25" s="1047"/>
      <c r="C25" s="1048"/>
      <c r="D25" s="1049"/>
      <c r="E25" s="1050"/>
      <c r="F25" s="1049"/>
      <c r="G25" s="1050"/>
      <c r="H25" s="1049"/>
      <c r="I25" s="1050"/>
      <c r="J25" s="1049"/>
      <c r="K25" s="1048"/>
      <c r="L25" s="1042"/>
      <c r="M25" s="1039"/>
      <c r="N25" s="1042"/>
      <c r="O25" s="1039"/>
      <c r="P25" s="1042"/>
    </row>
    <row r="26" spans="1:16" ht="14" thickBot="1">
      <c r="A26" s="1051">
        <v>5</v>
      </c>
      <c r="B26" s="1052" t="s">
        <v>1572</v>
      </c>
      <c r="C26" s="1039">
        <v>837.3</v>
      </c>
      <c r="D26" s="1042">
        <v>867</v>
      </c>
      <c r="E26" s="1048">
        <v>882.5</v>
      </c>
      <c r="F26" s="1049">
        <v>863.38168700000006</v>
      </c>
      <c r="G26" s="1050">
        <v>903.60567500000002</v>
      </c>
      <c r="H26" s="1049">
        <v>910.32016699999997</v>
      </c>
      <c r="I26" s="1050">
        <v>993.79577500000005</v>
      </c>
      <c r="J26" s="1049">
        <v>1009.51491821</v>
      </c>
      <c r="K26" s="1048">
        <v>1107.29201515</v>
      </c>
      <c r="L26" s="1053">
        <v>1061.13483432</v>
      </c>
      <c r="M26" s="1039">
        <v>1145.5730899</v>
      </c>
      <c r="N26" s="1042">
        <v>1165.64760899</v>
      </c>
      <c r="O26" s="1048">
        <v>1207.3510557200002</v>
      </c>
      <c r="P26" s="1042">
        <v>1262.7910538500005</v>
      </c>
    </row>
    <row r="27" spans="1:16" ht="14" thickBot="1">
      <c r="A27" s="1037"/>
      <c r="B27" s="1038" t="str">
        <f>B$7</f>
        <v>Schätzung</v>
      </c>
      <c r="C27" s="1039">
        <v>857.32106895000004</v>
      </c>
      <c r="D27" s="1040">
        <v>904.9640978000001</v>
      </c>
      <c r="E27" s="1041">
        <v>933.20770917000004</v>
      </c>
      <c r="F27" s="1040">
        <v>938</v>
      </c>
      <c r="G27" s="1041">
        <v>965</v>
      </c>
      <c r="H27" s="1040">
        <v>979</v>
      </c>
      <c r="I27" s="1041">
        <v>1005</v>
      </c>
      <c r="J27" s="1040">
        <v>1054.2850677999998</v>
      </c>
      <c r="K27" s="1039">
        <v>1084.5769063499997</v>
      </c>
      <c r="L27" s="1042">
        <v>1135.1004123800001</v>
      </c>
      <c r="M27" s="1039">
        <v>1197.6810391799997</v>
      </c>
      <c r="N27" s="1042">
        <v>1209.2712906700003</v>
      </c>
      <c r="O27" s="1039">
        <v>1221.7973150899998</v>
      </c>
      <c r="P27" s="1042">
        <v>1233.84649079366</v>
      </c>
    </row>
    <row r="28" spans="1:16" ht="14" thickBot="1">
      <c r="A28" s="1037"/>
      <c r="B28" s="1038" t="str">
        <f>B$8</f>
        <v xml:space="preserve">Abweichung </v>
      </c>
      <c r="C28" s="1045">
        <v>2.3911464170548236E-2</v>
      </c>
      <c r="D28" s="1044">
        <v>4.3787886735870973E-2</v>
      </c>
      <c r="E28" s="1045">
        <v>5.7459160532578046E-2</v>
      </c>
      <c r="F28" s="1044">
        <v>8.6425637841910818E-2</v>
      </c>
      <c r="G28" s="1045">
        <v>6.7943713390246296E-2</v>
      </c>
      <c r="H28" s="1044">
        <v>7.5445799719386031E-2</v>
      </c>
      <c r="I28" s="1045">
        <v>1.127417250289664E-2</v>
      </c>
      <c r="J28" s="1044">
        <v>4.4348180281855498E-2</v>
      </c>
      <c r="K28" s="1045">
        <v>-2.0514108734833725E-2</v>
      </c>
      <c r="L28" s="1044">
        <v>6.9704221996820026E-2</v>
      </c>
      <c r="M28" s="1045">
        <v>4.5486359394622644E-2</v>
      </c>
      <c r="N28" s="1044">
        <v>3.7424416559133977E-2</v>
      </c>
      <c r="O28" s="1045">
        <v>1.1965251781210107E-2</v>
      </c>
      <c r="P28" s="1044">
        <v>-2.2921102400982551E-2</v>
      </c>
    </row>
    <row r="29" spans="1:16" ht="14" hidden="1" thickBot="1">
      <c r="A29" s="1037"/>
      <c r="B29" s="1038" t="str">
        <f>B$9</f>
        <v>Prognose</v>
      </c>
      <c r="C29" s="1039" t="s">
        <v>153</v>
      </c>
      <c r="D29" s="1040">
        <v>884.35111183000004</v>
      </c>
      <c r="E29" s="1041">
        <v>908.60023298000021</v>
      </c>
      <c r="F29" s="1040">
        <v>979.25216290999992</v>
      </c>
      <c r="G29" s="1041">
        <v>973</v>
      </c>
      <c r="H29" s="1040">
        <v>999</v>
      </c>
      <c r="I29" s="1041">
        <v>1026</v>
      </c>
      <c r="J29" s="1040">
        <v>1041</v>
      </c>
      <c r="K29" s="1039">
        <v>1078.9641520900002</v>
      </c>
      <c r="L29" s="1042">
        <v>1100.7764457800001</v>
      </c>
      <c r="M29" s="1039">
        <v>1165.20861023</v>
      </c>
      <c r="N29" s="1042">
        <v>1196.4605248100002</v>
      </c>
      <c r="O29" s="1039">
        <v>1199.6663420799998</v>
      </c>
      <c r="P29" s="1042">
        <v>1196.4605248100002</v>
      </c>
    </row>
    <row r="30" spans="1:16" ht="14" thickBot="1">
      <c r="A30" s="1037"/>
      <c r="B30" s="1047"/>
      <c r="C30" s="1048"/>
      <c r="D30" s="1049"/>
      <c r="E30" s="1050"/>
      <c r="F30" s="1049"/>
      <c r="G30" s="1050"/>
      <c r="H30" s="1049"/>
      <c r="I30" s="1050"/>
      <c r="J30" s="1049"/>
      <c r="K30" s="1048"/>
      <c r="L30" s="1042"/>
      <c r="M30" s="1039"/>
      <c r="N30" s="1042"/>
      <c r="O30" s="1039"/>
      <c r="P30" s="1042"/>
    </row>
    <row r="31" spans="1:16" ht="14" thickBot="1">
      <c r="A31" s="1051">
        <v>6</v>
      </c>
      <c r="B31" s="1052" t="s">
        <v>861</v>
      </c>
      <c r="C31" s="1048">
        <v>2832.1064590000001</v>
      </c>
      <c r="D31" s="1049">
        <v>2102.63</v>
      </c>
      <c r="E31" s="1050">
        <v>1965.5320859999999</v>
      </c>
      <c r="F31" s="1049">
        <v>2393.7060728000001</v>
      </c>
      <c r="G31" s="1050">
        <v>2968.4810149999998</v>
      </c>
      <c r="H31" s="1049">
        <v>3184.4883299199996</v>
      </c>
      <c r="I31" s="1050">
        <v>3749.0085763900001</v>
      </c>
      <c r="J31" s="1049">
        <v>3970.4438487200005</v>
      </c>
      <c r="K31" s="1048">
        <v>3251.9246672899994</v>
      </c>
      <c r="L31" s="1053">
        <v>2863.0083966899997</v>
      </c>
      <c r="M31" s="1048">
        <v>3115.7425221299982</v>
      </c>
      <c r="N31" s="1053">
        <v>3710.7086986600002</v>
      </c>
      <c r="O31" s="1048">
        <v>6503.6949367299985</v>
      </c>
      <c r="P31" s="1053">
        <v>6361.8757346600005</v>
      </c>
    </row>
    <row r="32" spans="1:16" ht="14" thickBot="1">
      <c r="A32" s="1037"/>
      <c r="B32" s="1038" t="str">
        <f>B$7</f>
        <v>Schätzung</v>
      </c>
      <c r="C32" s="1039">
        <v>2855.834492</v>
      </c>
      <c r="D32" s="1040">
        <v>2349.2245110000003</v>
      </c>
      <c r="E32" s="1041">
        <v>1976.764197</v>
      </c>
      <c r="F32" s="1040">
        <v>2260</v>
      </c>
      <c r="G32" s="1041">
        <v>2984</v>
      </c>
      <c r="H32" s="1040">
        <v>3152</v>
      </c>
      <c r="I32" s="1041">
        <v>3543</v>
      </c>
      <c r="J32" s="1040">
        <v>4165.3955720000013</v>
      </c>
      <c r="K32" s="1039">
        <v>3701.8404859999996</v>
      </c>
      <c r="L32" s="1042">
        <v>2439.4633089999993</v>
      </c>
      <c r="M32" s="1039">
        <v>2861.2196719999993</v>
      </c>
      <c r="N32" s="1042">
        <v>3660.0912029999995</v>
      </c>
      <c r="O32" s="1039">
        <v>6032.6369586909987</v>
      </c>
      <c r="P32" s="1042">
        <v>6688.1472633530784</v>
      </c>
    </row>
    <row r="33" spans="1:16" ht="14" thickBot="1">
      <c r="A33" s="1037"/>
      <c r="B33" s="1038" t="str">
        <f>B$8</f>
        <v xml:space="preserve">Abweichung </v>
      </c>
      <c r="C33" s="1043">
        <v>8.3782277762178836E-3</v>
      </c>
      <c r="D33" s="1044">
        <v>0.11727907953372685</v>
      </c>
      <c r="E33" s="1045">
        <v>5.7145396302626938E-3</v>
      </c>
      <c r="F33" s="1044">
        <v>-5.5857347867108609E-2</v>
      </c>
      <c r="G33" s="1045">
        <v>5.2279212572292622E-3</v>
      </c>
      <c r="H33" s="1044">
        <v>-1.0202056517134683E-2</v>
      </c>
      <c r="I33" s="1045">
        <v>-5.4950148070445404E-2</v>
      </c>
      <c r="J33" s="1044">
        <v>4.910073803029591E-2</v>
      </c>
      <c r="K33" s="1045">
        <v>0.13835370272735714</v>
      </c>
      <c r="L33" s="1044">
        <v>-0.1479370749242902</v>
      </c>
      <c r="M33" s="1045">
        <v>-8.1689307868739069E-2</v>
      </c>
      <c r="N33" s="1044">
        <v>-1.3640924085008277E-2</v>
      </c>
      <c r="O33" s="1045">
        <v>-7.2429285601738891E-2</v>
      </c>
      <c r="P33" s="1044">
        <v>5.1285429376673353E-2</v>
      </c>
    </row>
    <row r="34" spans="1:16" ht="14" hidden="1" thickBot="1">
      <c r="A34" s="1037"/>
      <c r="B34" s="1038" t="str">
        <f>B$9</f>
        <v>Prognose</v>
      </c>
      <c r="C34" s="1039" t="s">
        <v>153</v>
      </c>
      <c r="D34" s="1040">
        <v>2814.2621860000008</v>
      </c>
      <c r="E34" s="1041">
        <v>2347.8065059999999</v>
      </c>
      <c r="F34" s="1040">
        <v>2216.3722629999997</v>
      </c>
      <c r="G34" s="1041">
        <v>2745</v>
      </c>
      <c r="H34" s="1040">
        <v>3240</v>
      </c>
      <c r="I34" s="1041">
        <v>3356</v>
      </c>
      <c r="J34" s="1040">
        <v>3461</v>
      </c>
      <c r="K34" s="1039">
        <v>3956.0224839999996</v>
      </c>
      <c r="L34" s="1042">
        <v>3318.8551230000007</v>
      </c>
      <c r="M34" s="1039">
        <v>2642.7481510000007</v>
      </c>
      <c r="N34" s="1042">
        <v>3237.2481029999994</v>
      </c>
      <c r="O34" s="1039">
        <v>3983.6063250000002</v>
      </c>
      <c r="P34" s="1042">
        <v>3237.2481029999994</v>
      </c>
    </row>
    <row r="35" spans="1:16" ht="14" thickBot="1">
      <c r="A35" s="1037"/>
      <c r="B35" s="1047"/>
      <c r="C35" s="1048"/>
      <c r="D35" s="1049"/>
      <c r="E35" s="1050"/>
      <c r="F35" s="1049"/>
      <c r="G35" s="1050"/>
      <c r="H35" s="1054"/>
      <c r="I35" s="1050"/>
      <c r="J35" s="1049"/>
      <c r="K35" s="1048"/>
      <c r="L35" s="1042"/>
      <c r="M35" s="1039"/>
      <c r="N35" s="1042"/>
      <c r="O35" s="1039"/>
      <c r="P35" s="1042"/>
    </row>
    <row r="36" spans="1:16" ht="14" thickBot="1">
      <c r="A36" s="1051">
        <v>7</v>
      </c>
      <c r="B36" s="1052" t="s">
        <v>1573</v>
      </c>
      <c r="C36" s="1048">
        <v>3956.2184860000002</v>
      </c>
      <c r="D36" s="1049">
        <v>3996.3</v>
      </c>
      <c r="E36" s="1050">
        <v>4018.0238040999998</v>
      </c>
      <c r="F36" s="1049">
        <v>4264.2535405999997</v>
      </c>
      <c r="G36" s="1050">
        <v>4487.9860974000003</v>
      </c>
      <c r="H36" s="1049">
        <v>4710.4063184600009</v>
      </c>
      <c r="I36" s="1050">
        <v>4989.9724867100003</v>
      </c>
      <c r="J36" s="1049">
        <v>5234.0909351299988</v>
      </c>
      <c r="K36" s="1048">
        <v>5191.0501722600002</v>
      </c>
      <c r="L36" s="1053">
        <v>5095.2223594300003</v>
      </c>
      <c r="M36" s="1048">
        <v>5227.2935513399998</v>
      </c>
      <c r="N36" s="1053">
        <v>5648.6367269299999</v>
      </c>
      <c r="O36" s="1048">
        <v>5476.639103120001</v>
      </c>
      <c r="P36" s="1053">
        <v>5541.3081461999991</v>
      </c>
    </row>
    <row r="37" spans="1:16" ht="14" thickBot="1">
      <c r="A37" s="1037"/>
      <c r="B37" s="1038" t="str">
        <f>B$7</f>
        <v>Schätzung</v>
      </c>
      <c r="C37" s="1039">
        <v>3962.9471309999999</v>
      </c>
      <c r="D37" s="1040">
        <v>3974.075738</v>
      </c>
      <c r="E37" s="1041">
        <v>4070.0846579999998</v>
      </c>
      <c r="F37" s="1042">
        <v>4272.4598530000003</v>
      </c>
      <c r="G37" s="1041">
        <v>4546.5489809999999</v>
      </c>
      <c r="H37" s="1040">
        <v>4697</v>
      </c>
      <c r="I37" s="1041">
        <v>4866</v>
      </c>
      <c r="J37" s="1040">
        <v>5169.9915730000012</v>
      </c>
      <c r="K37" s="1039">
        <v>5298.7608519999994</v>
      </c>
      <c r="L37" s="1042">
        <v>5335.87583</v>
      </c>
      <c r="M37" s="1039">
        <v>5328.6600139999982</v>
      </c>
      <c r="N37" s="1042">
        <v>5488.520164999999</v>
      </c>
      <c r="O37" s="1039">
        <v>5237.3805071460001</v>
      </c>
      <c r="P37" s="1042">
        <v>5545.5226841411277</v>
      </c>
    </row>
    <row r="38" spans="1:16" ht="14" thickBot="1">
      <c r="A38" s="1037"/>
      <c r="B38" s="1038" t="str">
        <f>B$8</f>
        <v xml:space="preserve">Abweichung </v>
      </c>
      <c r="C38" s="1043">
        <v>1.7007768968804182E-3</v>
      </c>
      <c r="D38" s="1044">
        <v>-5.5612096188975002E-3</v>
      </c>
      <c r="E38" s="1045">
        <v>1.2956830630738603E-2</v>
      </c>
      <c r="F38" s="1044">
        <v>1.9244428882729814E-3</v>
      </c>
      <c r="G38" s="1045">
        <v>1.3048811277273531E-2</v>
      </c>
      <c r="H38" s="1044">
        <v>-2.8461065890349468E-3</v>
      </c>
      <c r="I38" s="1045">
        <v>-2.484432269720549E-2</v>
      </c>
      <c r="J38" s="1044">
        <v>-1.2246512894871109E-2</v>
      </c>
      <c r="K38" s="1045">
        <v>2.0749304315258676E-2</v>
      </c>
      <c r="L38" s="1044">
        <v>4.7231200837507981E-2</v>
      </c>
      <c r="M38" s="1045">
        <v>1.9391767778951907E-2</v>
      </c>
      <c r="N38" s="1044">
        <v>-2.8346054042852842E-2</v>
      </c>
      <c r="O38" s="1045">
        <v>-4.3687121146561814E-2</v>
      </c>
      <c r="P38" s="1044">
        <v>7.6056732993978748E-4</v>
      </c>
    </row>
    <row r="39" spans="1:16" ht="14" hidden="1" thickBot="1">
      <c r="A39" s="1037"/>
      <c r="B39" s="1038" t="str">
        <f>B$9</f>
        <v>Prognose</v>
      </c>
      <c r="C39" s="1039" t="s">
        <v>153</v>
      </c>
      <c r="D39" s="1040">
        <v>4036.8502759999997</v>
      </c>
      <c r="E39" s="1041">
        <v>4069.2909930000001</v>
      </c>
      <c r="F39" s="1042">
        <v>4343.5413720000015</v>
      </c>
      <c r="G39" s="1039">
        <v>4528.577933999999</v>
      </c>
      <c r="H39" s="1040">
        <v>4824.4617770000004</v>
      </c>
      <c r="I39" s="1041">
        <v>4891</v>
      </c>
      <c r="J39" s="1040">
        <v>5045</v>
      </c>
      <c r="K39" s="1039">
        <v>5283.6306359999999</v>
      </c>
      <c r="L39" s="1042">
        <v>5364.6168920000009</v>
      </c>
      <c r="M39" s="1039">
        <v>5507.9461690000007</v>
      </c>
      <c r="N39" s="1042">
        <v>5600.5621659999997</v>
      </c>
      <c r="O39" s="1039">
        <v>5664.6762780000008</v>
      </c>
      <c r="P39" s="1042">
        <v>5600.5621659999997</v>
      </c>
    </row>
    <row r="40" spans="1:16" ht="14" thickBot="1">
      <c r="A40" s="1037"/>
      <c r="B40" s="1047"/>
      <c r="C40" s="1048"/>
      <c r="D40" s="1049"/>
      <c r="E40" s="1050"/>
      <c r="F40" s="1049"/>
      <c r="G40" s="1055"/>
      <c r="H40" s="1037"/>
      <c r="I40" s="1050"/>
      <c r="J40" s="1049"/>
      <c r="K40" s="1048"/>
      <c r="L40" s="1042"/>
      <c r="M40" s="1039"/>
      <c r="N40" s="1042"/>
      <c r="O40" s="1039"/>
      <c r="P40" s="1042"/>
    </row>
    <row r="41" spans="1:16" ht="14" thickBot="1">
      <c r="A41" s="1051">
        <v>8</v>
      </c>
      <c r="B41" s="1052" t="s">
        <v>70</v>
      </c>
      <c r="C41" s="1048">
        <v>15478.327442</v>
      </c>
      <c r="D41" s="1049">
        <v>16386.46</v>
      </c>
      <c r="E41" s="1050">
        <v>17095.587409</v>
      </c>
      <c r="F41" s="1049">
        <v>17924.119354999999</v>
      </c>
      <c r="G41" s="1050">
        <v>19139.820941000002</v>
      </c>
      <c r="H41" s="1049">
        <v>20347.706645210001</v>
      </c>
      <c r="I41" s="1050">
        <v>20602.626919490001</v>
      </c>
      <c r="J41" s="1049">
        <v>21578.688866100001</v>
      </c>
      <c r="K41" s="1048">
        <v>22721.911482799998</v>
      </c>
      <c r="L41" s="1053">
        <v>23656.322444729994</v>
      </c>
      <c r="M41" s="1048">
        <v>24292.461573610006</v>
      </c>
      <c r="N41" s="1053">
        <v>24931.510094819998</v>
      </c>
      <c r="O41" s="1048">
        <v>25901.228292349999</v>
      </c>
      <c r="P41" s="1053">
        <v>27926.489908920001</v>
      </c>
    </row>
    <row r="42" spans="1:16" ht="14" thickBot="1">
      <c r="A42" s="1037"/>
      <c r="B42" s="1038" t="str">
        <f>B$7</f>
        <v>Schätzung</v>
      </c>
      <c r="C42" s="1039">
        <v>15567.292960429999</v>
      </c>
      <c r="D42" s="1040">
        <v>16294.108262649997</v>
      </c>
      <c r="E42" s="1041">
        <v>17091.583524150003</v>
      </c>
      <c r="F42" s="1040">
        <v>18048</v>
      </c>
      <c r="G42" s="1041">
        <v>19083</v>
      </c>
      <c r="H42" s="1040">
        <v>20392</v>
      </c>
      <c r="I42" s="1041">
        <v>21069</v>
      </c>
      <c r="J42" s="1040">
        <v>21482.675563520002</v>
      </c>
      <c r="K42" s="1039">
        <v>22345.948184309997</v>
      </c>
      <c r="L42" s="1042">
        <v>23601.740787370007</v>
      </c>
      <c r="M42" s="1039">
        <v>24567.462966520005</v>
      </c>
      <c r="N42" s="1042">
        <v>23649.272847050001</v>
      </c>
      <c r="O42" s="1039">
        <v>26017.315180609996</v>
      </c>
      <c r="P42" s="1042">
        <v>27336.926818864998</v>
      </c>
    </row>
    <row r="43" spans="1:16" ht="14" thickBot="1">
      <c r="A43" s="1056"/>
      <c r="B43" s="1057" t="str">
        <f>B$8</f>
        <v xml:space="preserve">Abweichung </v>
      </c>
      <c r="C43" s="1058">
        <v>5.747747536894332E-3</v>
      </c>
      <c r="D43" s="1059">
        <v>-5.6358565150741446E-3</v>
      </c>
      <c r="E43" s="1060">
        <v>-2.3420574878219025E-4</v>
      </c>
      <c r="F43" s="1059">
        <v>6.9113936671842957E-3</v>
      </c>
      <c r="G43" s="1060">
        <v>-2.9687289747984957E-3</v>
      </c>
      <c r="H43" s="1059">
        <v>2.1768229492549196E-3</v>
      </c>
      <c r="I43" s="1060">
        <v>2.2636583302336533E-2</v>
      </c>
      <c r="J43" s="1059">
        <v>-4.4494502504660582E-3</v>
      </c>
      <c r="K43" s="1060">
        <v>-1.6546288316218405E-2</v>
      </c>
      <c r="L43" s="1059">
        <v>-2.3072756759852098E-3</v>
      </c>
      <c r="M43" s="1060">
        <v>1.1320441614230958E-2</v>
      </c>
      <c r="N43" s="1059">
        <v>-5.1430388407816774E-2</v>
      </c>
      <c r="O43" s="1060">
        <v>4.4819066860348755E-3</v>
      </c>
      <c r="P43" s="1059">
        <v>-2.1111249282592115E-2</v>
      </c>
    </row>
    <row r="44" spans="1:16" ht="15.5" hidden="1" customHeight="1" thickBot="1">
      <c r="A44" s="1061"/>
      <c r="B44" s="1062" t="str">
        <f>B$9</f>
        <v>Prognose</v>
      </c>
      <c r="C44" s="1063" t="s">
        <v>153</v>
      </c>
      <c r="D44" s="1064">
        <v>16201.595491220001</v>
      </c>
      <c r="E44" s="1065">
        <v>16905.07202534</v>
      </c>
      <c r="F44" s="1064">
        <v>18153.890952810001</v>
      </c>
      <c r="G44" s="1065">
        <v>19373</v>
      </c>
      <c r="H44" s="1064">
        <v>20361</v>
      </c>
      <c r="I44" s="1065">
        <v>21753</v>
      </c>
      <c r="J44" s="1064">
        <v>22373</v>
      </c>
      <c r="K44" s="1063">
        <v>22449.818761990002</v>
      </c>
      <c r="L44" s="1066">
        <v>23208.316696309994</v>
      </c>
      <c r="M44" s="1063">
        <v>24121.726572310003</v>
      </c>
      <c r="N44" s="1066">
        <v>25578.03393392</v>
      </c>
      <c r="O44" s="1063">
        <v>24323.477975969996</v>
      </c>
      <c r="P44" s="1066">
        <v>25578.03393392</v>
      </c>
    </row>
    <row r="48" spans="1:16">
      <c r="B48" s="1014" t="s">
        <v>1574</v>
      </c>
      <c r="G48" s="1067"/>
      <c r="H48" s="1016"/>
    </row>
    <row r="49" spans="2:13">
      <c r="B49" s="1068" t="s">
        <v>1575</v>
      </c>
      <c r="G49" s="1067"/>
      <c r="H49" s="1016"/>
    </row>
    <row r="50" spans="2:13">
      <c r="B50" s="1068" t="s">
        <v>1576</v>
      </c>
      <c r="G50" s="1067"/>
      <c r="H50" s="1016"/>
    </row>
    <row r="51" spans="2:13">
      <c r="B51" s="1068" t="s">
        <v>1577</v>
      </c>
      <c r="G51" s="1067"/>
      <c r="H51" s="1016"/>
    </row>
    <row r="52" spans="2:13">
      <c r="B52" s="1068" t="s">
        <v>1578</v>
      </c>
      <c r="G52" s="1067"/>
      <c r="H52" s="1016"/>
    </row>
    <row r="53" spans="2:13">
      <c r="B53" s="1068" t="s">
        <v>1579</v>
      </c>
      <c r="G53" s="1067"/>
      <c r="H53" s="1016"/>
    </row>
    <row r="54" spans="2:13">
      <c r="B54" s="1068" t="s">
        <v>1580</v>
      </c>
      <c r="G54" s="1067"/>
      <c r="H54" s="1016"/>
    </row>
    <row r="55" spans="2:13">
      <c r="B55" s="1069" t="s">
        <v>1581</v>
      </c>
      <c r="G55" s="1067"/>
      <c r="H55" s="1016"/>
    </row>
    <row r="56" spans="2:13">
      <c r="B56" s="1069" t="s">
        <v>1582</v>
      </c>
      <c r="G56" s="1067"/>
      <c r="H56" s="1016"/>
    </row>
    <row r="57" spans="2:13">
      <c r="B57" s="1068" t="s">
        <v>1583</v>
      </c>
      <c r="G57" s="1067"/>
      <c r="H57" s="1016"/>
    </row>
    <row r="58" spans="2:13">
      <c r="B58" s="1068" t="s">
        <v>2209</v>
      </c>
      <c r="C58" s="1070"/>
      <c r="D58" s="1070"/>
      <c r="E58" s="1070"/>
      <c r="F58" s="1070"/>
      <c r="G58" s="1067"/>
      <c r="H58" s="1071"/>
      <c r="K58" s="1071"/>
    </row>
    <row r="59" spans="2:13">
      <c r="B59" s="1072" t="s">
        <v>1584</v>
      </c>
      <c r="C59" s="1070"/>
      <c r="D59" s="1070"/>
      <c r="E59" s="1070"/>
      <c r="F59" s="1070"/>
      <c r="G59" s="1067"/>
      <c r="H59" s="1071"/>
      <c r="K59" s="1071"/>
    </row>
    <row r="60" spans="2:13">
      <c r="B60" s="1072" t="s">
        <v>1585</v>
      </c>
      <c r="C60" s="1070"/>
      <c r="D60" s="1070"/>
      <c r="E60" s="1070"/>
      <c r="F60" s="1070"/>
      <c r="G60" s="1067"/>
      <c r="H60" s="1071"/>
      <c r="K60" s="1071"/>
    </row>
    <row r="61" spans="2:13">
      <c r="B61" s="1072" t="s">
        <v>2210</v>
      </c>
      <c r="C61" s="1070"/>
      <c r="D61" s="1070"/>
      <c r="E61" s="1070"/>
      <c r="F61" s="1070"/>
      <c r="G61" s="1067"/>
      <c r="H61" s="1071"/>
      <c r="K61" s="1071"/>
    </row>
    <row r="62" spans="2:13">
      <c r="B62" s="1073" t="s">
        <v>1586</v>
      </c>
      <c r="C62" s="1074"/>
      <c r="D62" s="1075"/>
      <c r="E62" s="1075"/>
      <c r="F62" s="1076"/>
      <c r="G62" s="1076"/>
      <c r="H62" s="1077"/>
      <c r="J62" s="1079" t="s">
        <v>153</v>
      </c>
      <c r="K62" s="1079" t="s">
        <v>153</v>
      </c>
      <c r="L62" s="1079" t="s">
        <v>1587</v>
      </c>
      <c r="M62" s="1079" t="s">
        <v>1587</v>
      </c>
    </row>
    <row r="63" spans="2:13">
      <c r="B63" s="1080" t="s">
        <v>1588</v>
      </c>
      <c r="C63" s="1081"/>
      <c r="D63" s="1082"/>
      <c r="E63" s="1082"/>
      <c r="F63" s="1078"/>
      <c r="G63" s="1078"/>
      <c r="H63" s="1077"/>
      <c r="J63" s="1079" t="s">
        <v>1587</v>
      </c>
      <c r="K63" s="1079" t="s">
        <v>153</v>
      </c>
      <c r="L63" s="1079" t="s">
        <v>153</v>
      </c>
      <c r="M63" s="1079" t="s">
        <v>1587</v>
      </c>
    </row>
    <row r="64" spans="2:13">
      <c r="B64" s="1083" t="s">
        <v>1589</v>
      </c>
      <c r="C64" s="1084"/>
      <c r="D64" s="1084"/>
      <c r="E64" s="1084"/>
      <c r="F64" s="1018"/>
      <c r="G64" s="1018"/>
      <c r="H64" s="1077"/>
      <c r="J64" s="1085" t="s">
        <v>1587</v>
      </c>
      <c r="K64" s="1085" t="s">
        <v>153</v>
      </c>
      <c r="L64" s="1085" t="s">
        <v>1587</v>
      </c>
      <c r="M64" s="1079" t="s">
        <v>153</v>
      </c>
    </row>
    <row r="65" spans="2:8">
      <c r="B65" s="1069" t="s">
        <v>1590</v>
      </c>
      <c r="G65" s="1067"/>
      <c r="H65" s="1016"/>
    </row>
    <row r="66" spans="2:8" ht="14" thickBot="1">
      <c r="G66" s="1067"/>
      <c r="H66" s="1016"/>
    </row>
    <row r="67" spans="2:8" ht="14" thickBot="1">
      <c r="B67" s="1086" t="s">
        <v>1591</v>
      </c>
      <c r="G67" s="1067"/>
      <c r="H67" s="1016"/>
    </row>
    <row r="68" spans="2:8">
      <c r="G68" s="1067"/>
      <c r="H68" s="1016"/>
    </row>
    <row r="70" spans="2:8">
      <c r="B70" s="1069" t="s">
        <v>1592</v>
      </c>
    </row>
  </sheetData>
  <pageMargins left="0.43307086614173229" right="0.35433070866141736" top="0.47244094488188981" bottom="0.35433070866141736" header="0.31496062992125984" footer="0.15748031496062992"/>
  <pageSetup paperSize="9" scale="74" orientation="portrait"/>
  <headerFooter alignWithMargins="0"/>
  <colBreaks count="2" manualBreakCount="2">
    <brk id="11" max="1048575" man="1"/>
    <brk id="26"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D930D-DCF5-144C-A6AE-E20261C5E403}">
  <sheetPr>
    <pageSetUpPr fitToPage="1"/>
  </sheetPr>
  <dimension ref="A1:B18"/>
  <sheetViews>
    <sheetView zoomScale="115" zoomScaleNormal="115" workbookViewId="0">
      <selection activeCell="L43" sqref="L43"/>
    </sheetView>
  </sheetViews>
  <sheetFormatPr baseColWidth="10" defaultColWidth="11.59765625" defaultRowHeight="13"/>
  <cols>
    <col min="1" max="1" width="5.59765625" style="85" customWidth="1"/>
    <col min="2" max="16384" width="11.59765625" style="85"/>
  </cols>
  <sheetData>
    <row r="1" spans="1:2" ht="16">
      <c r="A1" s="110" t="s">
        <v>288</v>
      </c>
    </row>
    <row r="3" spans="1:2">
      <c r="A3" s="111">
        <v>1.01</v>
      </c>
      <c r="B3" s="112" t="s">
        <v>289</v>
      </c>
    </row>
    <row r="4" spans="1:2">
      <c r="A4" s="111">
        <v>1.02</v>
      </c>
      <c r="B4" s="112" t="s">
        <v>290</v>
      </c>
    </row>
    <row r="5" spans="1:2">
      <c r="A5" s="111">
        <v>1.03</v>
      </c>
      <c r="B5" s="112" t="s">
        <v>291</v>
      </c>
    </row>
    <row r="6" spans="1:2">
      <c r="A6" s="111">
        <v>1.04</v>
      </c>
      <c r="B6" s="112" t="s">
        <v>292</v>
      </c>
    </row>
    <row r="7" spans="1:2">
      <c r="A7" s="111">
        <v>1.05</v>
      </c>
      <c r="B7" s="112" t="s">
        <v>293</v>
      </c>
    </row>
    <row r="8" spans="1:2">
      <c r="A8" s="111">
        <v>1.06</v>
      </c>
      <c r="B8" s="112" t="s">
        <v>294</v>
      </c>
    </row>
    <row r="9" spans="1:2">
      <c r="A9" s="111">
        <v>1.07</v>
      </c>
      <c r="B9" s="113" t="s">
        <v>295</v>
      </c>
    </row>
    <row r="10" spans="1:2">
      <c r="A10" s="111">
        <v>1.08</v>
      </c>
      <c r="B10" s="112" t="s">
        <v>296</v>
      </c>
    </row>
    <row r="11" spans="1:2">
      <c r="A11" s="111">
        <v>1.0900000000000001</v>
      </c>
      <c r="B11" s="112" t="s">
        <v>297</v>
      </c>
    </row>
    <row r="12" spans="1:2">
      <c r="A12" s="111">
        <v>1.1000000000000001</v>
      </c>
      <c r="B12" s="112" t="s">
        <v>298</v>
      </c>
    </row>
    <row r="13" spans="1:2">
      <c r="A13" s="111">
        <v>1.1100000000000001</v>
      </c>
      <c r="B13" s="112" t="s">
        <v>299</v>
      </c>
    </row>
    <row r="14" spans="1:2">
      <c r="A14" s="111">
        <v>1.1200000000000001</v>
      </c>
      <c r="B14" s="112" t="s">
        <v>300</v>
      </c>
    </row>
    <row r="15" spans="1:2">
      <c r="A15" s="111">
        <v>1.1299999999999999</v>
      </c>
      <c r="B15" s="112" t="s">
        <v>301</v>
      </c>
    </row>
    <row r="16" spans="1:2">
      <c r="A16" s="114"/>
      <c r="B16" s="115"/>
    </row>
    <row r="18" spans="1:1">
      <c r="A18" s="109" t="s">
        <v>302</v>
      </c>
    </row>
  </sheetData>
  <pageMargins left="0.46" right="0.46" top="0.63" bottom="0.984251969" header="0.38" footer="0.4921259845"/>
  <pageSetup paperSize="9" scale="96"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F6559-A31E-3E45-B041-FC95B9A86067}">
  <sheetPr>
    <pageSetUpPr fitToPage="1"/>
  </sheetPr>
  <dimension ref="A1:Y58"/>
  <sheetViews>
    <sheetView zoomScaleNormal="100" workbookViewId="0">
      <selection activeCell="C39" sqref="C39"/>
    </sheetView>
  </sheetViews>
  <sheetFormatPr baseColWidth="10" defaultColWidth="11.3984375" defaultRowHeight="13"/>
  <cols>
    <col min="1" max="1" width="2.59765625" style="3" customWidth="1"/>
    <col min="2" max="2" width="3.19921875" style="3" customWidth="1"/>
    <col min="3" max="3" width="55" style="3" customWidth="1"/>
    <col min="4" max="4" width="9.796875" style="78" hidden="1" customWidth="1"/>
    <col min="5" max="5" width="8.59765625" style="78" hidden="1" customWidth="1"/>
    <col min="6" max="6" width="10.19921875" style="3" hidden="1" customWidth="1"/>
    <col min="7" max="7" width="9.3984375" style="3" hidden="1" customWidth="1"/>
    <col min="8" max="8" width="0.3984375" style="3" customWidth="1"/>
    <col min="9" max="9" width="9.3984375" style="200" hidden="1" customWidth="1"/>
    <col min="10" max="10" width="9.3984375" style="3" hidden="1" customWidth="1"/>
    <col min="11" max="12" width="9.3984375" style="200" customWidth="1"/>
    <col min="13" max="13" width="9.3984375" style="3" customWidth="1"/>
    <col min="14" max="15" width="10.796875" style="3" customWidth="1"/>
    <col min="16" max="16" width="11.19921875" style="3" customWidth="1"/>
    <col min="17" max="17" width="10.59765625" style="3" customWidth="1"/>
    <col min="18" max="18" width="10.3984375" style="3" customWidth="1"/>
    <col min="19" max="19" width="11" style="3" customWidth="1"/>
    <col min="20" max="21" width="10.796875" style="3" customWidth="1"/>
    <col min="22" max="22" width="4.59765625" style="3" customWidth="1"/>
    <col min="23" max="16384" width="11.3984375" style="3"/>
  </cols>
  <sheetData>
    <row r="1" spans="2:25" ht="12" customHeight="1">
      <c r="C1" s="116"/>
      <c r="D1" s="117"/>
      <c r="E1" s="117"/>
      <c r="F1" s="63"/>
      <c r="G1" s="63"/>
      <c r="H1" s="63"/>
      <c r="I1" s="118"/>
      <c r="K1" s="118"/>
      <c r="L1" s="118"/>
    </row>
    <row r="2" spans="2:25" ht="26.25" customHeight="1">
      <c r="B2" s="119" t="s">
        <v>303</v>
      </c>
      <c r="C2" s="119"/>
      <c r="D2" s="120"/>
      <c r="E2" s="120"/>
      <c r="F2" s="121"/>
      <c r="G2" s="121"/>
      <c r="H2" s="121"/>
      <c r="I2" s="122"/>
      <c r="J2" s="123"/>
      <c r="K2" s="123"/>
      <c r="L2" s="122"/>
      <c r="M2" s="124"/>
      <c r="N2" s="124"/>
      <c r="O2" s="124"/>
      <c r="P2" s="124"/>
      <c r="Q2" s="124"/>
      <c r="R2" s="124"/>
      <c r="S2" s="124"/>
      <c r="T2" s="125"/>
      <c r="U2" s="125"/>
      <c r="V2" s="125"/>
      <c r="W2" s="125"/>
      <c r="X2" s="125"/>
    </row>
    <row r="3" spans="2:25" ht="72.75" customHeight="1">
      <c r="B3" s="126"/>
      <c r="C3" s="127" t="s">
        <v>304</v>
      </c>
      <c r="D3" s="128">
        <v>1996</v>
      </c>
      <c r="E3" s="127">
        <v>1997</v>
      </c>
      <c r="F3" s="128">
        <v>1998</v>
      </c>
      <c r="G3" s="127">
        <v>1999</v>
      </c>
      <c r="H3" s="128">
        <v>2000</v>
      </c>
      <c r="I3" s="129">
        <v>2001</v>
      </c>
      <c r="J3" s="130">
        <v>2002</v>
      </c>
      <c r="K3" s="129">
        <v>2003</v>
      </c>
      <c r="L3" s="130">
        <v>2004</v>
      </c>
      <c r="M3" s="129">
        <v>2005</v>
      </c>
      <c r="N3" s="130">
        <v>2006</v>
      </c>
      <c r="O3" s="129">
        <v>2007</v>
      </c>
      <c r="P3" s="130">
        <v>2008</v>
      </c>
      <c r="Q3" s="129">
        <v>2009</v>
      </c>
      <c r="R3" s="130">
        <v>2010</v>
      </c>
      <c r="S3" s="129">
        <v>2011</v>
      </c>
      <c r="T3" s="130">
        <v>2012</v>
      </c>
      <c r="U3" s="129">
        <v>2013</v>
      </c>
      <c r="V3" s="131"/>
      <c r="W3" s="132" t="s">
        <v>305</v>
      </c>
      <c r="X3" s="133" t="s">
        <v>306</v>
      </c>
      <c r="Y3" s="134"/>
    </row>
    <row r="4" spans="2:25" ht="14" customHeight="1">
      <c r="B4" s="126"/>
      <c r="C4" s="127"/>
      <c r="D4" s="128"/>
      <c r="E4" s="127"/>
      <c r="F4" s="128"/>
      <c r="G4" s="127"/>
      <c r="H4" s="128"/>
      <c r="I4" s="129"/>
      <c r="J4" s="135"/>
      <c r="K4" s="129"/>
      <c r="L4" s="130"/>
      <c r="M4" s="129"/>
      <c r="N4" s="130"/>
      <c r="O4" s="129"/>
      <c r="P4" s="130"/>
      <c r="Q4" s="129"/>
      <c r="R4" s="130"/>
      <c r="S4" s="129"/>
      <c r="T4" s="130"/>
      <c r="U4" s="129"/>
      <c r="V4" s="131"/>
      <c r="W4" s="127"/>
      <c r="X4" s="128"/>
      <c r="Y4" s="136"/>
    </row>
    <row r="5" spans="2:25" ht="9.75" customHeight="1">
      <c r="B5" s="137"/>
      <c r="C5" s="138"/>
      <c r="D5" s="139"/>
      <c r="E5" s="138"/>
      <c r="F5" s="139"/>
      <c r="G5" s="138"/>
      <c r="H5" s="139"/>
      <c r="I5" s="140"/>
      <c r="J5" s="141"/>
      <c r="K5" s="140"/>
      <c r="L5" s="142"/>
      <c r="M5" s="140"/>
      <c r="N5" s="142"/>
      <c r="O5" s="140"/>
      <c r="P5" s="142"/>
      <c r="Q5" s="140"/>
      <c r="R5" s="142"/>
      <c r="S5" s="140"/>
      <c r="T5" s="142"/>
      <c r="U5" s="140"/>
      <c r="V5" s="143"/>
      <c r="W5" s="144"/>
      <c r="X5" s="141"/>
      <c r="Y5" s="136"/>
    </row>
    <row r="6" spans="2:25" ht="20" customHeight="1" thickBot="1">
      <c r="B6" s="145">
        <v>1</v>
      </c>
      <c r="C6" s="146" t="s">
        <v>307</v>
      </c>
      <c r="D6" s="147">
        <v>145</v>
      </c>
      <c r="E6" s="148">
        <v>129</v>
      </c>
      <c r="F6" s="147">
        <v>118</v>
      </c>
      <c r="G6" s="148">
        <v>109</v>
      </c>
      <c r="H6" s="147">
        <v>101</v>
      </c>
      <c r="I6" s="148">
        <v>99</v>
      </c>
      <c r="J6" s="147">
        <v>93</v>
      </c>
      <c r="K6" s="148">
        <v>93</v>
      </c>
      <c r="L6" s="147">
        <v>92</v>
      </c>
      <c r="M6" s="148">
        <v>85</v>
      </c>
      <c r="N6" s="147">
        <v>87</v>
      </c>
      <c r="O6" s="148">
        <v>87</v>
      </c>
      <c r="P6" s="147">
        <v>86</v>
      </c>
      <c r="Q6" s="148">
        <v>81</v>
      </c>
      <c r="R6" s="147">
        <v>81</v>
      </c>
      <c r="S6" s="148">
        <v>63</v>
      </c>
      <c r="T6" s="147">
        <v>61</v>
      </c>
      <c r="U6" s="149">
        <v>60</v>
      </c>
      <c r="V6" s="150"/>
      <c r="W6" s="151">
        <v>-1.6393442622950838E-2</v>
      </c>
      <c r="X6" s="152">
        <v>-4.2879032880059231E-2</v>
      </c>
      <c r="Y6" s="153"/>
    </row>
    <row r="7" spans="2:25" ht="16" customHeight="1" thickBot="1">
      <c r="B7" s="154">
        <v>2</v>
      </c>
      <c r="C7" s="155" t="s">
        <v>308</v>
      </c>
      <c r="D7" s="156">
        <v>7232.6670000000004</v>
      </c>
      <c r="E7" s="157">
        <v>7236.4709999999995</v>
      </c>
      <c r="F7" s="156">
        <v>7246.616</v>
      </c>
      <c r="G7" s="157">
        <v>7270.5219999999999</v>
      </c>
      <c r="H7" s="156">
        <v>7265.1130000000003</v>
      </c>
      <c r="I7" s="157">
        <v>7301.05</v>
      </c>
      <c r="J7" s="156">
        <v>7344.6319999999996</v>
      </c>
      <c r="K7" s="157">
        <v>7372.5050000000001</v>
      </c>
      <c r="L7" s="156">
        <v>7383.5739999999996</v>
      </c>
      <c r="M7" s="157">
        <v>7435.8649999999998</v>
      </c>
      <c r="N7" s="156">
        <v>7478.4268200000015</v>
      </c>
      <c r="O7" s="157">
        <v>7537.5873800000008</v>
      </c>
      <c r="P7" s="156">
        <v>7615.5633200000002</v>
      </c>
      <c r="Q7" s="157">
        <v>7708.8515100000004</v>
      </c>
      <c r="R7" s="156">
        <v>7779.661790000001</v>
      </c>
      <c r="S7" s="157">
        <v>7862.7704599999988</v>
      </c>
      <c r="T7" s="156">
        <v>7953.3573899999974</v>
      </c>
      <c r="U7" s="158">
        <v>8045.9282900000017</v>
      </c>
      <c r="V7" s="150"/>
      <c r="W7" s="151">
        <v>1.1639222967195773E-2</v>
      </c>
      <c r="X7" s="152">
        <v>8.7791749912187189E-3</v>
      </c>
      <c r="Y7" s="153"/>
    </row>
    <row r="8" spans="2:25" ht="16.75" customHeight="1" thickBot="1">
      <c r="B8" s="154" t="s">
        <v>309</v>
      </c>
      <c r="C8" s="155" t="s">
        <v>2200</v>
      </c>
      <c r="D8" s="156">
        <v>5599.991</v>
      </c>
      <c r="E8" s="157">
        <v>5669.3249999999998</v>
      </c>
      <c r="F8" s="156">
        <v>5768.6210000000001</v>
      </c>
      <c r="G8" s="157">
        <v>5833.1670000000004</v>
      </c>
      <c r="H8" s="156">
        <v>5947.0349999999999</v>
      </c>
      <c r="I8" s="157">
        <v>6043.9049999999997</v>
      </c>
      <c r="J8" s="159">
        <v>6170.7879999999996</v>
      </c>
      <c r="K8" s="157">
        <v>6105.0770000000002</v>
      </c>
      <c r="L8" s="156">
        <v>6076.2309999999998</v>
      </c>
      <c r="M8" s="157">
        <v>6104.0569999999998</v>
      </c>
      <c r="N8" s="156">
        <v>6139.7749999999996</v>
      </c>
      <c r="O8" s="157">
        <v>6170.95</v>
      </c>
      <c r="P8" s="156">
        <v>6246.7870000000003</v>
      </c>
      <c r="Q8" s="157">
        <v>6463.0730000000003</v>
      </c>
      <c r="R8" s="156">
        <v>6497.0940000000001</v>
      </c>
      <c r="S8" s="157">
        <v>6573.4549999999999</v>
      </c>
      <c r="T8" s="156">
        <v>6578.3209999999999</v>
      </c>
      <c r="U8" s="158">
        <v>6681.5919999999996</v>
      </c>
      <c r="V8" s="150"/>
      <c r="W8" s="151">
        <v>1.5698686640557735E-2</v>
      </c>
      <c r="X8" s="152">
        <v>9.0643912580539165E-3</v>
      </c>
      <c r="Y8" s="153"/>
    </row>
    <row r="9" spans="2:25" ht="19.25" customHeight="1" thickBot="1">
      <c r="B9" s="154" t="s">
        <v>310</v>
      </c>
      <c r="C9" s="155" t="s">
        <v>2201</v>
      </c>
      <c r="D9" s="160">
        <v>77.42636291702631</v>
      </c>
      <c r="E9" s="161">
        <v>78.343781105458731</v>
      </c>
      <c r="F9" s="160">
        <v>79.604342219872009</v>
      </c>
      <c r="G9" s="161">
        <v>80.230374105188048</v>
      </c>
      <c r="H9" s="160">
        <v>81.857432912605759</v>
      </c>
      <c r="I9" s="161">
        <v>82.781312277001248</v>
      </c>
      <c r="J9" s="162">
        <v>84.017660789539889</v>
      </c>
      <c r="K9" s="161">
        <v>82.808719695680097</v>
      </c>
      <c r="L9" s="160">
        <v>82.293899946015301</v>
      </c>
      <c r="M9" s="161">
        <v>82.08940049341939</v>
      </c>
      <c r="N9" s="160">
        <v>82.099820560923789</v>
      </c>
      <c r="O9" s="161">
        <v>81.869034332839803</v>
      </c>
      <c r="P9" s="160">
        <v>82.026601589353191</v>
      </c>
      <c r="Q9" s="161">
        <v>83.839635406338232</v>
      </c>
      <c r="R9" s="160">
        <v>83.51383614582555</v>
      </c>
      <c r="S9" s="161">
        <v>83.602275221449119</v>
      </c>
      <c r="T9" s="160">
        <v>82.711246049009773</v>
      </c>
      <c r="U9" s="163">
        <v>83.043146286853116</v>
      </c>
      <c r="V9" s="164"/>
      <c r="W9" s="151">
        <v>4.0127582849698307E-3</v>
      </c>
      <c r="X9" s="152">
        <v>2.8273409474155464E-4</v>
      </c>
      <c r="Y9" s="153"/>
    </row>
    <row r="10" spans="2:25" ht="17.5" customHeight="1" thickBot="1">
      <c r="B10" s="154">
        <v>4</v>
      </c>
      <c r="C10" s="155" t="s">
        <v>2202</v>
      </c>
      <c r="D10" s="156">
        <v>1117.0840000000001</v>
      </c>
      <c r="E10" s="157">
        <v>1150.1220000000001</v>
      </c>
      <c r="F10" s="156">
        <v>1154.759</v>
      </c>
      <c r="G10" s="157">
        <v>1096.0329999999999</v>
      </c>
      <c r="H10" s="156">
        <v>1097.932</v>
      </c>
      <c r="I10" s="157">
        <v>1193.3150000000001</v>
      </c>
      <c r="J10" s="159">
        <v>1207.239</v>
      </c>
      <c r="K10" s="157">
        <v>1148.028</v>
      </c>
      <c r="L10" s="156">
        <v>1196.146</v>
      </c>
      <c r="M10" s="157">
        <v>1219.4549999999999</v>
      </c>
      <c r="N10" s="156">
        <v>1147.933</v>
      </c>
      <c r="O10" s="157">
        <v>1232.442</v>
      </c>
      <c r="P10" s="156">
        <v>1283.4290000000001</v>
      </c>
      <c r="Q10" s="157">
        <v>1289.3340000000001</v>
      </c>
      <c r="R10" s="156">
        <v>1211.453</v>
      </c>
      <c r="S10" s="157">
        <v>1231.7329999999999</v>
      </c>
      <c r="T10" s="156">
        <v>1235.537</v>
      </c>
      <c r="U10" s="158">
        <v>1337.1849999999999</v>
      </c>
      <c r="V10" s="150"/>
      <c r="W10" s="151">
        <v>8.2270300282387243E-2</v>
      </c>
      <c r="X10" s="152">
        <v>1.536900385242812E-2</v>
      </c>
      <c r="Y10" s="153"/>
    </row>
    <row r="11" spans="2:25" ht="18.5" customHeight="1" thickBot="1">
      <c r="B11" s="154">
        <v>5</v>
      </c>
      <c r="C11" s="155" t="s">
        <v>2203</v>
      </c>
      <c r="D11" s="156">
        <v>18812.841</v>
      </c>
      <c r="E11" s="157">
        <v>18987.651000000002</v>
      </c>
      <c r="F11" s="156">
        <v>17067.058000000001</v>
      </c>
      <c r="G11" s="157">
        <v>12747.16</v>
      </c>
      <c r="H11" s="156">
        <v>12447.351000000001</v>
      </c>
      <c r="I11" s="157">
        <v>12514.1</v>
      </c>
      <c r="J11" s="159">
        <v>12391.460999999999</v>
      </c>
      <c r="K11" s="157">
        <v>11395.671</v>
      </c>
      <c r="L11" s="156">
        <v>11754.955</v>
      </c>
      <c r="M11" s="157">
        <v>11492.861999999999</v>
      </c>
      <c r="N11" s="156">
        <v>11050.112999999999</v>
      </c>
      <c r="O11" s="157">
        <v>11706.005999999999</v>
      </c>
      <c r="P11" s="156">
        <v>11789.734</v>
      </c>
      <c r="Q11" s="157">
        <v>11966.875</v>
      </c>
      <c r="R11" s="156">
        <v>10978.201999999999</v>
      </c>
      <c r="S11" s="157">
        <v>11005.08361</v>
      </c>
      <c r="T11" s="156">
        <v>10705.859</v>
      </c>
      <c r="U11" s="158">
        <v>12516.385</v>
      </c>
      <c r="V11" s="150"/>
      <c r="W11" s="151">
        <v>0.16911543482872315</v>
      </c>
      <c r="X11" s="152">
        <v>9.4246387735292814E-3</v>
      </c>
      <c r="Y11" s="153"/>
    </row>
    <row r="12" spans="2:25" ht="15.75" customHeight="1" thickBot="1">
      <c r="B12" s="154" t="s">
        <v>311</v>
      </c>
      <c r="C12" s="155" t="s">
        <v>312</v>
      </c>
      <c r="D12" s="156">
        <v>1538.9393456106855</v>
      </c>
      <c r="E12" s="157">
        <v>1663.8889491853145</v>
      </c>
      <c r="F12" s="156">
        <v>1753.683394842503</v>
      </c>
      <c r="G12" s="157">
        <v>1792.6969718267821</v>
      </c>
      <c r="H12" s="156">
        <v>1850.1645719756871</v>
      </c>
      <c r="I12" s="157">
        <v>1917.1642434992227</v>
      </c>
      <c r="J12" s="156">
        <v>2090.6486849170938</v>
      </c>
      <c r="K12" s="157">
        <v>2281.464868725081</v>
      </c>
      <c r="L12" s="156">
        <v>2441.8668834361247</v>
      </c>
      <c r="M12" s="157">
        <v>2487.4603849935415</v>
      </c>
      <c r="N12" s="156">
        <v>2582.7207564451369</v>
      </c>
      <c r="O12" s="157">
        <v>2612.1277928402606</v>
      </c>
      <c r="P12" s="156">
        <v>2585.7925929424223</v>
      </c>
      <c r="Q12" s="157">
        <v>2610.6051067988465</v>
      </c>
      <c r="R12" s="156">
        <v>2834.4985299573032</v>
      </c>
      <c r="S12" s="157">
        <v>3005.4532786500799</v>
      </c>
      <c r="T12" s="156">
        <v>3075.2296739515696</v>
      </c>
      <c r="U12" s="158">
        <v>3105.21310073222</v>
      </c>
      <c r="V12" s="150"/>
      <c r="W12" s="151">
        <v>9.7499796631848046E-3</v>
      </c>
      <c r="X12" s="152">
        <v>3.1306517647245791E-2</v>
      </c>
      <c r="Y12" s="153"/>
    </row>
    <row r="13" spans="2:25" ht="18" customHeight="1" thickBot="1">
      <c r="B13" s="154" t="s">
        <v>313</v>
      </c>
      <c r="C13" s="155" t="s">
        <v>314</v>
      </c>
      <c r="D13" s="156">
        <v>1722.6034666050571</v>
      </c>
      <c r="E13" s="157">
        <v>1815.591817475673</v>
      </c>
      <c r="F13" s="156">
        <v>1935.2609068839854</v>
      </c>
      <c r="G13" s="157">
        <v>2010.9299604622613</v>
      </c>
      <c r="H13" s="156">
        <v>2130.500577485856</v>
      </c>
      <c r="I13" s="157">
        <v>2244.3977236150963</v>
      </c>
      <c r="J13" s="156">
        <v>2327.6302215005462</v>
      </c>
      <c r="K13" s="157">
        <v>2431.2115563163397</v>
      </c>
      <c r="L13" s="156">
        <v>2592.2163089311498</v>
      </c>
      <c r="M13" s="157">
        <v>2736.4276577385417</v>
      </c>
      <c r="N13" s="156">
        <v>2754.9413018779796</v>
      </c>
      <c r="O13" s="157">
        <v>2862.8111062906178</v>
      </c>
      <c r="P13" s="156">
        <v>2983.6153319253076</v>
      </c>
      <c r="Q13" s="157">
        <v>3068.7220287020409</v>
      </c>
      <c r="R13" s="156">
        <v>3122.5601098540819</v>
      </c>
      <c r="S13" s="157">
        <v>3170.8302082139126</v>
      </c>
      <c r="T13" s="156">
        <v>3256.640814974116</v>
      </c>
      <c r="U13" s="158">
        <v>3470.8847633689252</v>
      </c>
      <c r="V13" s="150"/>
      <c r="W13" s="151">
        <v>6.5786790919560412E-2</v>
      </c>
      <c r="X13" s="152">
        <v>3.6243320962427328E-2</v>
      </c>
      <c r="Y13" s="153"/>
    </row>
    <row r="14" spans="2:25" ht="16" customHeight="1" thickBot="1">
      <c r="B14" s="154" t="s">
        <v>315</v>
      </c>
      <c r="C14" s="155" t="s">
        <v>316</v>
      </c>
      <c r="D14" s="156">
        <v>1135.7666791471866</v>
      </c>
      <c r="E14" s="157">
        <v>1207.1705655887454</v>
      </c>
      <c r="F14" s="156">
        <v>1287.8682695481589</v>
      </c>
      <c r="G14" s="157">
        <v>1351.582122301535</v>
      </c>
      <c r="H14" s="156">
        <v>1451.1566242672343</v>
      </c>
      <c r="I14" s="157">
        <v>1548.8249816122338</v>
      </c>
      <c r="J14" s="156">
        <v>1615.4324000167742</v>
      </c>
      <c r="K14" s="157">
        <v>1666.6209287074066</v>
      </c>
      <c r="L14" s="156">
        <v>1751.3120155631952</v>
      </c>
      <c r="M14" s="157">
        <v>1868.8498613140498</v>
      </c>
      <c r="N14" s="156">
        <v>1876.1663221824504</v>
      </c>
      <c r="O14" s="157">
        <v>1947.0011165814174</v>
      </c>
      <c r="P14" s="156">
        <v>2050.4938838838252</v>
      </c>
      <c r="Q14" s="157">
        <v>2108.4877007664654</v>
      </c>
      <c r="R14" s="156">
        <v>2155.4118222278144</v>
      </c>
      <c r="S14" s="157">
        <v>2204.2662362828287</v>
      </c>
      <c r="T14" s="156">
        <v>2273.230304343208</v>
      </c>
      <c r="U14" s="158">
        <v>2390.1939638900258</v>
      </c>
      <c r="V14" s="150"/>
      <c r="W14" s="151">
        <v>5.1452621990542902E-2</v>
      </c>
      <c r="X14" s="152">
        <v>3.6715594677724006E-2</v>
      </c>
      <c r="Y14" s="153"/>
    </row>
    <row r="15" spans="2:25" ht="16" customHeight="1" thickBot="1">
      <c r="B15" s="154" t="s">
        <v>317</v>
      </c>
      <c r="C15" s="155" t="s">
        <v>318</v>
      </c>
      <c r="D15" s="156">
        <v>586.83678759613247</v>
      </c>
      <c r="E15" s="157">
        <v>608.42125188692751</v>
      </c>
      <c r="F15" s="156">
        <v>647.39263733582686</v>
      </c>
      <c r="G15" s="157">
        <v>659.34783816072627</v>
      </c>
      <c r="H15" s="156">
        <v>679.34395321862166</v>
      </c>
      <c r="I15" s="157">
        <v>695.57285390457537</v>
      </c>
      <c r="J15" s="156">
        <v>712.19782148377203</v>
      </c>
      <c r="K15" s="157">
        <v>764.59062760893346</v>
      </c>
      <c r="L15" s="156">
        <v>840.90429336795432</v>
      </c>
      <c r="M15" s="157">
        <v>867.57779639624982</v>
      </c>
      <c r="N15" s="156">
        <v>878.77497969552894</v>
      </c>
      <c r="O15" s="157">
        <v>915.80998970920029</v>
      </c>
      <c r="P15" s="156">
        <v>933.12144804148261</v>
      </c>
      <c r="Q15" s="157">
        <v>960.23432793557583</v>
      </c>
      <c r="R15" s="156">
        <v>967.14828762626712</v>
      </c>
      <c r="S15" s="157">
        <v>966.56397193108455</v>
      </c>
      <c r="T15" s="156">
        <v>983.41051063090742</v>
      </c>
      <c r="U15" s="158">
        <v>1080.6907994788999</v>
      </c>
      <c r="V15" s="150"/>
      <c r="W15" s="151">
        <v>9.8921343423086006E-2</v>
      </c>
      <c r="X15" s="152">
        <v>3.5207115353499185E-2</v>
      </c>
      <c r="Y15" s="153"/>
    </row>
    <row r="16" spans="2:25" ht="16" customHeight="1" thickBot="1">
      <c r="B16" s="154" t="s">
        <v>319</v>
      </c>
      <c r="C16" s="155" t="s">
        <v>320</v>
      </c>
      <c r="D16" s="156">
        <v>232.07645782669101</v>
      </c>
      <c r="E16" s="157">
        <v>245.69743221523311</v>
      </c>
      <c r="F16" s="156">
        <v>289.40857360180263</v>
      </c>
      <c r="G16" s="157">
        <v>301.20274500235331</v>
      </c>
      <c r="H16" s="156">
        <v>314.93213457244229</v>
      </c>
      <c r="I16" s="157">
        <v>328.74449565473458</v>
      </c>
      <c r="J16" s="156">
        <v>340.77001636024784</v>
      </c>
      <c r="K16" s="157">
        <v>351.10178317952989</v>
      </c>
      <c r="L16" s="156">
        <v>383.59639861400456</v>
      </c>
      <c r="M16" s="157">
        <v>402.77581823634512</v>
      </c>
      <c r="N16" s="156">
        <v>406.33028735313604</v>
      </c>
      <c r="O16" s="157">
        <v>418.57781696455766</v>
      </c>
      <c r="P16" s="156">
        <v>432.06970918600405</v>
      </c>
      <c r="Q16" s="157">
        <v>438.77766276367134</v>
      </c>
      <c r="R16" s="156">
        <v>438.15717657438159</v>
      </c>
      <c r="S16" s="157">
        <v>454.68760346082905</v>
      </c>
      <c r="T16" s="156">
        <v>465.8708294133379</v>
      </c>
      <c r="U16" s="158">
        <v>484.10419924833792</v>
      </c>
      <c r="V16" s="150"/>
      <c r="W16" s="151">
        <v>3.913825181533892E-2</v>
      </c>
      <c r="X16" s="152">
        <v>3.2643894137810658E-2</v>
      </c>
      <c r="Y16" s="153"/>
    </row>
    <row r="17" spans="2:25" ht="18.75" customHeight="1" thickBot="1">
      <c r="B17" s="154" t="s">
        <v>321</v>
      </c>
      <c r="C17" s="155" t="s">
        <v>322</v>
      </c>
      <c r="D17" s="156">
        <v>1490.5270087783663</v>
      </c>
      <c r="E17" s="157">
        <v>1569.89438526044</v>
      </c>
      <c r="F17" s="156">
        <v>1645.8523332821831</v>
      </c>
      <c r="G17" s="157">
        <v>1709.7272154599079</v>
      </c>
      <c r="H17" s="156">
        <v>1815.5684429134135</v>
      </c>
      <c r="I17" s="157">
        <v>1915.651858294355</v>
      </c>
      <c r="J17" s="156">
        <v>1986.8602051130677</v>
      </c>
      <c r="K17" s="157">
        <v>2080.1097731368104</v>
      </c>
      <c r="L17" s="156">
        <v>2208.6199103577751</v>
      </c>
      <c r="M17" s="157">
        <v>2333.6518395021967</v>
      </c>
      <c r="N17" s="156">
        <v>2348.6110145248435</v>
      </c>
      <c r="O17" s="157">
        <v>2444.23328932606</v>
      </c>
      <c r="P17" s="156">
        <v>2551.5456227393033</v>
      </c>
      <c r="Q17" s="157">
        <v>2629.9443659383696</v>
      </c>
      <c r="R17" s="156">
        <v>2684.4029332797004</v>
      </c>
      <c r="S17" s="157">
        <v>2716.1426047530836</v>
      </c>
      <c r="T17" s="156">
        <v>2790.769985560778</v>
      </c>
      <c r="U17" s="158">
        <v>2986.7805641205873</v>
      </c>
      <c r="V17" s="150"/>
      <c r="W17" s="151">
        <v>7.0235304082368888E-2</v>
      </c>
      <c r="X17" s="152">
        <v>3.6839911230611033E-2</v>
      </c>
      <c r="Y17" s="153"/>
    </row>
    <row r="18" spans="2:25" ht="15.75" customHeight="1" thickBot="1">
      <c r="B18" s="154" t="s">
        <v>323</v>
      </c>
      <c r="C18" s="165" t="s">
        <v>324</v>
      </c>
      <c r="D18" s="156">
        <v>132.70728197496166</v>
      </c>
      <c r="E18" s="157">
        <v>123.43149540708448</v>
      </c>
      <c r="F18" s="156">
        <v>117.97848775207628</v>
      </c>
      <c r="G18" s="157">
        <v>117.4940565477967</v>
      </c>
      <c r="H18" s="156">
        <v>118.82517959459129</v>
      </c>
      <c r="I18" s="157">
        <v>124.48209504112421</v>
      </c>
      <c r="J18" s="156">
        <v>125.74808222386092</v>
      </c>
      <c r="K18" s="157">
        <v>128.73966972012903</v>
      </c>
      <c r="L18" s="156">
        <v>133.72666834516724</v>
      </c>
      <c r="M18" s="157">
        <v>134.36734701880681</v>
      </c>
      <c r="N18" s="156">
        <v>144.14164993460486</v>
      </c>
      <c r="O18" s="157">
        <v>142.1810814948058</v>
      </c>
      <c r="P18" s="156">
        <v>153.45122296744293</v>
      </c>
      <c r="Q18" s="157">
        <v>147.13788275057848</v>
      </c>
      <c r="R18" s="156">
        <v>157.51886110462905</v>
      </c>
      <c r="S18" s="157">
        <v>159.56958936710467</v>
      </c>
      <c r="T18" s="156">
        <v>156.14366875446052</v>
      </c>
      <c r="U18" s="158">
        <v>156.94783850105631</v>
      </c>
      <c r="V18" s="150"/>
      <c r="W18" s="151">
        <v>5.1501911861719929E-3</v>
      </c>
      <c r="X18" s="152">
        <v>2.0009683639838016E-2</v>
      </c>
      <c r="Y18" s="153"/>
    </row>
    <row r="19" spans="2:25" ht="18" customHeight="1" thickBot="1">
      <c r="B19" s="154" t="s">
        <v>325</v>
      </c>
      <c r="C19" s="155" t="s">
        <v>326</v>
      </c>
      <c r="D19" s="156">
        <v>477.62973077565988</v>
      </c>
      <c r="E19" s="157">
        <v>484.75254775428522</v>
      </c>
      <c r="F19" s="156">
        <v>509.74935597525797</v>
      </c>
      <c r="G19" s="157">
        <v>524.03642778331459</v>
      </c>
      <c r="H19" s="156">
        <v>544.55016542757153</v>
      </c>
      <c r="I19" s="157">
        <v>547.35962635511339</v>
      </c>
      <c r="J19" s="156">
        <v>547.06945209780417</v>
      </c>
      <c r="K19" s="157">
        <v>578.39954541909435</v>
      </c>
      <c r="L19" s="156">
        <v>607.83383459013214</v>
      </c>
      <c r="M19" s="157">
        <v>633.47119917588623</v>
      </c>
      <c r="N19" s="156">
        <v>667.24895580511941</v>
      </c>
      <c r="O19" s="157">
        <v>694.39870760476651</v>
      </c>
      <c r="P19" s="156">
        <v>681.63705744882441</v>
      </c>
      <c r="Q19" s="157">
        <v>660.95738811681952</v>
      </c>
      <c r="R19" s="156">
        <v>671.91784070345795</v>
      </c>
      <c r="S19" s="157">
        <v>718.40285248896862</v>
      </c>
      <c r="T19" s="166">
        <v>688.59461917377791</v>
      </c>
      <c r="U19" s="167">
        <v>688.70961143005638</v>
      </c>
      <c r="V19" s="150"/>
      <c r="W19" s="168">
        <v>1.6699557777033469E-4</v>
      </c>
      <c r="X19" s="169">
        <v>1.7608720605053474E-2</v>
      </c>
      <c r="Y19" s="153"/>
    </row>
    <row r="20" spans="2:25" ht="19.5" customHeight="1" thickBot="1">
      <c r="B20" s="154" t="s">
        <v>327</v>
      </c>
      <c r="C20" s="155" t="s">
        <v>328</v>
      </c>
      <c r="D20" s="156">
        <v>394.88575237875602</v>
      </c>
      <c r="E20" s="157">
        <v>413.44461478530076</v>
      </c>
      <c r="F20" s="156">
        <v>411.98967338686089</v>
      </c>
      <c r="G20" s="157">
        <v>423.27251702147385</v>
      </c>
      <c r="H20" s="156">
        <v>389.82276793217119</v>
      </c>
      <c r="I20" s="157">
        <v>287.99008361810974</v>
      </c>
      <c r="J20" s="156">
        <v>267.61478124431557</v>
      </c>
      <c r="K20" s="157">
        <v>324.68015590359045</v>
      </c>
      <c r="L20" s="156">
        <v>402.03849991887398</v>
      </c>
      <c r="M20" s="157">
        <v>428.26064350549666</v>
      </c>
      <c r="N20" s="156">
        <v>501.3097896958493</v>
      </c>
      <c r="O20" s="157">
        <v>526.75261307816504</v>
      </c>
      <c r="P20" s="156">
        <v>427.01039051829446</v>
      </c>
      <c r="Q20" s="157">
        <v>371.39233943941923</v>
      </c>
      <c r="R20" s="156">
        <v>400.49845433319257</v>
      </c>
      <c r="S20" s="157">
        <v>471.93399801474055</v>
      </c>
      <c r="T20" s="166">
        <v>817.72949684208777</v>
      </c>
      <c r="U20" s="167">
        <v>790.69505784272883</v>
      </c>
      <c r="V20" s="150"/>
      <c r="W20" s="168">
        <v>-3.3060369111987176E-2</v>
      </c>
      <c r="X20" s="169">
        <v>9.308850649157252E-2</v>
      </c>
      <c r="Y20" s="153"/>
    </row>
    <row r="21" spans="2:25" ht="16" customHeight="1" thickBot="1">
      <c r="B21" s="154" t="s">
        <v>329</v>
      </c>
      <c r="C21" s="155" t="s">
        <v>330</v>
      </c>
      <c r="D21" s="156">
        <v>11130.63582</v>
      </c>
      <c r="E21" s="157">
        <v>12040.684128000001</v>
      </c>
      <c r="F21" s="156">
        <v>12708.270148</v>
      </c>
      <c r="G21" s="157">
        <v>13033.842773</v>
      </c>
      <c r="H21" s="156">
        <v>13441.654683999999</v>
      </c>
      <c r="I21" s="157">
        <v>13997.312</v>
      </c>
      <c r="J21" s="156">
        <v>15355.045232</v>
      </c>
      <c r="K21" s="157">
        <v>16820.111152000001</v>
      </c>
      <c r="L21" s="156">
        <v>18029.704831999999</v>
      </c>
      <c r="M21" s="157">
        <v>18496.419615660001</v>
      </c>
      <c r="N21" s="156">
        <v>19314.688173570001</v>
      </c>
      <c r="O21" s="157">
        <v>19689.141486260003</v>
      </c>
      <c r="P21" s="156">
        <v>19692.267223940002</v>
      </c>
      <c r="Q21" s="157">
        <v>20124.767119560001</v>
      </c>
      <c r="R21" s="156">
        <v>22051.439907320004</v>
      </c>
      <c r="S21" s="157">
        <v>23631.189258279996</v>
      </c>
      <c r="T21" s="156">
        <v>24458.40065327</v>
      </c>
      <c r="U21" s="158">
        <v>24984.321933659998</v>
      </c>
      <c r="V21" s="150"/>
      <c r="W21" s="151">
        <v>2.1502684817606088E-2</v>
      </c>
      <c r="X21" s="152">
        <v>4.0360538035255189E-2</v>
      </c>
      <c r="Y21" s="153"/>
    </row>
    <row r="22" spans="2:25" ht="18" customHeight="1" thickBot="1">
      <c r="B22" s="154" t="s">
        <v>331</v>
      </c>
      <c r="C22" s="155" t="s">
        <v>332</v>
      </c>
      <c r="D22" s="156">
        <v>12459.017247</v>
      </c>
      <c r="E22" s="157">
        <v>13138.477535</v>
      </c>
      <c r="F22" s="156">
        <v>14024.092651999999</v>
      </c>
      <c r="G22" s="157">
        <v>14620.510517999999</v>
      </c>
      <c r="H22" s="156">
        <v>15478.327442</v>
      </c>
      <c r="I22" s="157">
        <v>16386.46</v>
      </c>
      <c r="J22" s="156">
        <v>17095.587409</v>
      </c>
      <c r="K22" s="157">
        <v>17924.119354999999</v>
      </c>
      <c r="L22" s="156">
        <v>19139.820941000002</v>
      </c>
      <c r="M22" s="157">
        <v>20347.706645210001</v>
      </c>
      <c r="N22" s="156">
        <v>20602.626919490001</v>
      </c>
      <c r="O22" s="157">
        <v>21578.688866100001</v>
      </c>
      <c r="P22" s="156">
        <v>22721.911482799998</v>
      </c>
      <c r="Q22" s="157">
        <v>23656.322444729994</v>
      </c>
      <c r="R22" s="156">
        <v>24292.461573610006</v>
      </c>
      <c r="S22" s="157">
        <v>24931.510094819998</v>
      </c>
      <c r="T22" s="156">
        <v>25901.228292349999</v>
      </c>
      <c r="U22" s="158">
        <v>27926.489908920001</v>
      </c>
      <c r="V22" s="150"/>
      <c r="W22" s="151">
        <v>7.8191721014565507E-2</v>
      </c>
      <c r="X22" s="152">
        <v>4.5340682410637934E-2</v>
      </c>
      <c r="Y22" s="153"/>
    </row>
    <row r="23" spans="2:25" ht="16" customHeight="1" thickBot="1">
      <c r="B23" s="154" t="s">
        <v>333</v>
      </c>
      <c r="C23" s="155" t="s">
        <v>334</v>
      </c>
      <c r="D23" s="156">
        <v>1678.5317379999999</v>
      </c>
      <c r="E23" s="157">
        <v>1777.9823429999999</v>
      </c>
      <c r="F23" s="156">
        <v>2097.2328000000002</v>
      </c>
      <c r="G23" s="157">
        <v>2189.9011839999998</v>
      </c>
      <c r="H23" s="156">
        <v>2288.0175450000002</v>
      </c>
      <c r="I23" s="157">
        <v>2400.1799999999998</v>
      </c>
      <c r="J23" s="156">
        <v>2502.8303667999999</v>
      </c>
      <c r="K23" s="157">
        <v>2588.499652</v>
      </c>
      <c r="L23" s="156">
        <v>2832.3123952999999</v>
      </c>
      <c r="M23" s="157">
        <v>2994.9866096700002</v>
      </c>
      <c r="N23" s="156">
        <v>3038.7113187200002</v>
      </c>
      <c r="O23" s="157">
        <v>3155.0668707</v>
      </c>
      <c r="P23" s="156">
        <v>3290.4542289599999</v>
      </c>
      <c r="Q23" s="157">
        <v>3382.471848149999</v>
      </c>
      <c r="R23" s="156">
        <v>3408.7146446100001</v>
      </c>
      <c r="S23" s="157">
        <v>3575.1042570200002</v>
      </c>
      <c r="T23" s="156">
        <v>3705.2372038999993</v>
      </c>
      <c r="U23" s="158">
        <v>3895.0676720400002</v>
      </c>
      <c r="V23" s="150"/>
      <c r="W23" s="151">
        <v>5.1233013621959866E-2</v>
      </c>
      <c r="X23" s="152">
        <v>4.1709655588060057E-2</v>
      </c>
      <c r="Y23" s="153"/>
    </row>
    <row r="24" spans="2:25" ht="18.75" customHeight="1" thickBot="1">
      <c r="B24" s="154" t="s">
        <v>335</v>
      </c>
      <c r="C24" s="155" t="s">
        <v>336</v>
      </c>
      <c r="D24" s="156">
        <v>10780.485509</v>
      </c>
      <c r="E24" s="157">
        <v>11360.495192</v>
      </c>
      <c r="F24" s="156">
        <v>11926.859852</v>
      </c>
      <c r="G24" s="157">
        <v>12430.609334000001</v>
      </c>
      <c r="H24" s="156">
        <v>13190.309896999999</v>
      </c>
      <c r="I24" s="157">
        <v>13986.27</v>
      </c>
      <c r="J24" s="156">
        <v>14592.757041999999</v>
      </c>
      <c r="K24" s="157">
        <v>15335.619703</v>
      </c>
      <c r="L24" s="156">
        <v>16307.508545999999</v>
      </c>
      <c r="M24" s="157">
        <v>17352.720035540002</v>
      </c>
      <c r="N24" s="156">
        <v>17563.91560077</v>
      </c>
      <c r="O24" s="157">
        <v>18423.621995400001</v>
      </c>
      <c r="P24" s="156">
        <v>19431.457253839999</v>
      </c>
      <c r="Q24" s="157">
        <v>20273.850596579996</v>
      </c>
      <c r="R24" s="156">
        <v>20883.746929000004</v>
      </c>
      <c r="S24" s="157">
        <v>21356.405837799997</v>
      </c>
      <c r="T24" s="156">
        <v>22195.991088449999</v>
      </c>
      <c r="U24" s="158">
        <v>24031.42223688</v>
      </c>
      <c r="V24" s="150"/>
      <c r="W24" s="151">
        <v>8.2692011413948219E-2</v>
      </c>
      <c r="X24" s="152">
        <v>4.5942510249184165E-2</v>
      </c>
      <c r="Y24" s="153"/>
    </row>
    <row r="25" spans="2:25" ht="15.75" customHeight="1" thickBot="1">
      <c r="B25" s="154" t="s">
        <v>337</v>
      </c>
      <c r="C25" s="155" t="s">
        <v>338</v>
      </c>
      <c r="D25" s="156">
        <v>959.82757900000001</v>
      </c>
      <c r="E25" s="157">
        <v>893.208437</v>
      </c>
      <c r="F25" s="156">
        <v>854.94479699999999</v>
      </c>
      <c r="G25" s="157">
        <v>854.24312299999997</v>
      </c>
      <c r="H25" s="156">
        <v>863.27835700000003</v>
      </c>
      <c r="I25" s="157">
        <v>908.85</v>
      </c>
      <c r="J25" s="156">
        <v>923.57338863999996</v>
      </c>
      <c r="K25" s="157">
        <v>949.13385871000003</v>
      </c>
      <c r="L25" s="156">
        <v>987.38075149999997</v>
      </c>
      <c r="M25" s="157">
        <v>999.13745283999992</v>
      </c>
      <c r="N25" s="156">
        <v>1077.9527807500003</v>
      </c>
      <c r="O25" s="157">
        <v>1071.7023255499998</v>
      </c>
      <c r="P25" s="156">
        <v>1168.61750504</v>
      </c>
      <c r="Q25" s="157">
        <v>1134.26408962</v>
      </c>
      <c r="R25" s="156">
        <v>1225.44346494</v>
      </c>
      <c r="S25" s="157">
        <v>1254.6590535900004</v>
      </c>
      <c r="T25" s="156">
        <v>1241.8664017900003</v>
      </c>
      <c r="U25" s="158">
        <v>1262.7910538500005</v>
      </c>
      <c r="V25" s="150"/>
      <c r="W25" s="151">
        <v>1.6849358376907375E-2</v>
      </c>
      <c r="X25" s="152">
        <v>2.8964527145249663E-2</v>
      </c>
      <c r="Y25" s="153"/>
    </row>
    <row r="26" spans="2:25" ht="15.75" customHeight="1" thickBot="1">
      <c r="B26" s="154">
        <v>11</v>
      </c>
      <c r="C26" s="155" t="s">
        <v>339</v>
      </c>
      <c r="D26" s="156">
        <v>-319.932346</v>
      </c>
      <c r="E26" s="157">
        <v>70.171887999999996</v>
      </c>
      <c r="F26" s="156">
        <v>-3.3297E-2</v>
      </c>
      <c r="G26" s="157">
        <v>-49.386769999999999</v>
      </c>
      <c r="H26" s="156">
        <v>-305.95411300000001</v>
      </c>
      <c r="I26" s="157">
        <v>-789.7</v>
      </c>
      <c r="J26" s="156">
        <v>-223.6723628</v>
      </c>
      <c r="K26" s="157">
        <v>399.72993602999998</v>
      </c>
      <c r="L26" s="156">
        <v>514.14165576000005</v>
      </c>
      <c r="M26" s="157">
        <v>171.42467388000034</v>
      </c>
      <c r="N26" s="156">
        <v>490.9499524699998</v>
      </c>
      <c r="O26" s="157">
        <v>178.66007693999958</v>
      </c>
      <c r="P26" s="156">
        <v>-755.31870567999954</v>
      </c>
      <c r="Q26" s="157">
        <v>-471.60922202999967</v>
      </c>
      <c r="R26" s="156">
        <v>224.51180578999993</v>
      </c>
      <c r="S26" s="157">
        <v>587.66953910999985</v>
      </c>
      <c r="T26" s="156">
        <v>915.88460491999933</v>
      </c>
      <c r="U26" s="158">
        <v>-141.19999115000022</v>
      </c>
      <c r="V26" s="150"/>
      <c r="W26" s="151" t="s">
        <v>153</v>
      </c>
      <c r="X26" s="152" t="s">
        <v>153</v>
      </c>
      <c r="Y26" s="153"/>
    </row>
    <row r="27" spans="2:25" ht="18" customHeight="1" thickBot="1">
      <c r="B27" s="154" t="s">
        <v>340</v>
      </c>
      <c r="C27" s="155" t="s">
        <v>341</v>
      </c>
      <c r="D27" s="156">
        <v>3454.5367919999999</v>
      </c>
      <c r="E27" s="157">
        <v>3507.8977540000001</v>
      </c>
      <c r="F27" s="156">
        <v>3693.9578390000001</v>
      </c>
      <c r="G27" s="157">
        <v>3810.0183769999999</v>
      </c>
      <c r="H27" s="156">
        <v>3956.2184860000002</v>
      </c>
      <c r="I27" s="157">
        <v>3996.3</v>
      </c>
      <c r="J27" s="156">
        <v>4018.0238040999998</v>
      </c>
      <c r="K27" s="157">
        <v>4264.2535405999997</v>
      </c>
      <c r="L27" s="156">
        <v>4487.9860974000003</v>
      </c>
      <c r="M27" s="157">
        <v>4710.4063184600009</v>
      </c>
      <c r="N27" s="156">
        <v>4989.9724867100003</v>
      </c>
      <c r="O27" s="157">
        <v>5234.0909351299988</v>
      </c>
      <c r="P27" s="156">
        <v>5191.0501722600002</v>
      </c>
      <c r="Q27" s="157">
        <v>5095.2223594300003</v>
      </c>
      <c r="R27" s="156">
        <v>5227.2935513399998</v>
      </c>
      <c r="S27" s="157">
        <v>5648.6367269299999</v>
      </c>
      <c r="T27" s="166">
        <v>5476.639103120001</v>
      </c>
      <c r="U27" s="167">
        <v>5541.3081461999991</v>
      </c>
      <c r="V27" s="150"/>
      <c r="W27" s="168">
        <v>1.1808162243730269E-2</v>
      </c>
      <c r="X27" s="169">
        <v>2.6542485635835389E-2</v>
      </c>
      <c r="Y27" s="153"/>
    </row>
    <row r="28" spans="2:25" ht="19.5" customHeight="1" thickBot="1">
      <c r="B28" s="154" t="s">
        <v>342</v>
      </c>
      <c r="C28" s="155" t="s">
        <v>343</v>
      </c>
      <c r="D28" s="170">
        <v>0.3204435263250443</v>
      </c>
      <c r="E28" s="171">
        <v>0.30878035637656381</v>
      </c>
      <c r="F28" s="170">
        <v>0.30971755221728081</v>
      </c>
      <c r="G28" s="171">
        <v>0.30650294564232661</v>
      </c>
      <c r="H28" s="170">
        <v>0.29993370261147551</v>
      </c>
      <c r="I28" s="171">
        <v>0.28573021970832824</v>
      </c>
      <c r="J28" s="170">
        <v>0.27534370595875501</v>
      </c>
      <c r="K28" s="171">
        <v>0.27806202965282278</v>
      </c>
      <c r="L28" s="170">
        <v>0.27520979582750793</v>
      </c>
      <c r="M28" s="171">
        <v>0.27145060306468599</v>
      </c>
      <c r="N28" s="170">
        <v>0.28410364750848838</v>
      </c>
      <c r="O28" s="171">
        <v>0.28409673930765861</v>
      </c>
      <c r="P28" s="170">
        <v>0.26714672525315397</v>
      </c>
      <c r="Q28" s="171">
        <v>0.25131991257198649</v>
      </c>
      <c r="R28" s="170">
        <v>0.25030439073560939</v>
      </c>
      <c r="S28" s="171">
        <v>0.26449379028619768</v>
      </c>
      <c r="T28" s="172">
        <v>0.24674001180194419</v>
      </c>
      <c r="U28" s="173">
        <v>0.23058594250389353</v>
      </c>
      <c r="V28" s="150"/>
      <c r="W28" s="151" t="s">
        <v>153</v>
      </c>
      <c r="X28" s="152" t="s">
        <v>153</v>
      </c>
      <c r="Y28" s="153"/>
    </row>
    <row r="29" spans="2:25" ht="19.5" customHeight="1" thickBot="1">
      <c r="B29" s="174" t="s">
        <v>344</v>
      </c>
      <c r="C29" s="175" t="s">
        <v>345</v>
      </c>
      <c r="D29" s="156">
        <v>2856.0771500000001</v>
      </c>
      <c r="E29" s="157">
        <v>2991.8799650000001</v>
      </c>
      <c r="F29" s="156">
        <v>2985.5309590000002</v>
      </c>
      <c r="G29" s="157">
        <v>3077.412147</v>
      </c>
      <c r="H29" s="156">
        <v>2832.1064590000001</v>
      </c>
      <c r="I29" s="157">
        <v>2102.63</v>
      </c>
      <c r="J29" s="156">
        <v>1965.5320859999999</v>
      </c>
      <c r="K29" s="157">
        <v>2393.7060728000001</v>
      </c>
      <c r="L29" s="156">
        <v>2968.4810149999998</v>
      </c>
      <c r="M29" s="157">
        <v>3184.4883299199996</v>
      </c>
      <c r="N29" s="156">
        <v>3749.0085763900001</v>
      </c>
      <c r="O29" s="157">
        <v>3970.4438487200005</v>
      </c>
      <c r="P29" s="156">
        <v>3251.9246672899994</v>
      </c>
      <c r="Q29" s="157">
        <v>2863.0083966899997</v>
      </c>
      <c r="R29" s="156">
        <v>3115.7425221299982</v>
      </c>
      <c r="S29" s="157">
        <v>3710.7086986600002</v>
      </c>
      <c r="T29" s="166">
        <v>6503.6949367299985</v>
      </c>
      <c r="U29" s="167">
        <v>6361.8757346600005</v>
      </c>
      <c r="V29" s="150"/>
      <c r="W29" s="168">
        <v>-2.1805943152263474E-2</v>
      </c>
      <c r="X29" s="169">
        <v>0.10268492177095179</v>
      </c>
      <c r="Y29" s="153"/>
    </row>
    <row r="30" spans="2:25" s="185" customFormat="1" ht="19.5" hidden="1" customHeight="1" thickBot="1">
      <c r="B30" s="176"/>
      <c r="C30" s="177"/>
      <c r="D30" s="178"/>
      <c r="E30" s="179"/>
      <c r="F30" s="178"/>
      <c r="G30" s="179"/>
      <c r="H30" s="178"/>
      <c r="I30" s="179"/>
      <c r="J30" s="178"/>
      <c r="K30" s="179"/>
      <c r="L30" s="178"/>
      <c r="M30" s="179"/>
      <c r="N30" s="178"/>
      <c r="O30" s="179"/>
      <c r="P30" s="178"/>
      <c r="Q30" s="179"/>
      <c r="R30" s="178"/>
      <c r="S30" s="180"/>
      <c r="T30" s="178"/>
      <c r="U30" s="178"/>
      <c r="V30" s="181"/>
      <c r="W30" s="182"/>
      <c r="X30" s="183"/>
      <c r="Y30" s="184"/>
    </row>
    <row r="31" spans="2:25" ht="17.25" customHeight="1">
      <c r="B31" s="186" t="s">
        <v>346</v>
      </c>
      <c r="C31" s="186"/>
      <c r="D31" s="187"/>
      <c r="E31" s="187"/>
      <c r="F31" s="187"/>
      <c r="G31" s="187"/>
      <c r="H31" s="187"/>
      <c r="I31" s="188"/>
      <c r="J31" s="189"/>
      <c r="K31" s="188"/>
      <c r="L31" s="188"/>
      <c r="M31" s="189"/>
      <c r="N31" s="189"/>
      <c r="O31" s="189"/>
      <c r="P31" s="189"/>
      <c r="Q31" s="189"/>
      <c r="R31" s="189"/>
      <c r="S31" s="189"/>
      <c r="T31" s="189"/>
      <c r="U31" s="189"/>
      <c r="V31" s="189"/>
      <c r="W31" s="189"/>
      <c r="X31" s="189"/>
    </row>
    <row r="32" spans="2:25" ht="13.5" customHeight="1">
      <c r="B32" s="190"/>
      <c r="C32" s="190"/>
      <c r="D32" s="191"/>
      <c r="E32" s="191"/>
      <c r="F32" s="191"/>
      <c r="G32" s="191"/>
      <c r="H32" s="191"/>
      <c r="I32" s="192"/>
      <c r="K32" s="192"/>
      <c r="L32" s="192"/>
    </row>
    <row r="33" spans="1:21" ht="12" customHeight="1">
      <c r="B33" s="63" t="s">
        <v>347</v>
      </c>
      <c r="C33" s="63"/>
      <c r="D33" s="191"/>
      <c r="E33" s="191"/>
      <c r="F33" s="191"/>
      <c r="G33" s="191"/>
      <c r="H33" s="191"/>
      <c r="I33" s="192"/>
      <c r="K33" s="192"/>
      <c r="L33" s="192"/>
    </row>
    <row r="34" spans="1:21" ht="12.75" customHeight="1">
      <c r="B34" s="63" t="s">
        <v>348</v>
      </c>
      <c r="C34" s="63"/>
      <c r="D34" s="191"/>
      <c r="E34" s="191"/>
      <c r="F34" s="191"/>
      <c r="G34" s="191"/>
      <c r="H34" s="191"/>
      <c r="I34" s="192"/>
      <c r="K34" s="192"/>
      <c r="L34" s="192"/>
    </row>
    <row r="35" spans="1:21" ht="12" customHeight="1">
      <c r="B35" s="17" t="s">
        <v>349</v>
      </c>
      <c r="C35" s="17"/>
      <c r="D35" s="193"/>
      <c r="E35" s="193"/>
      <c r="F35" s="1"/>
      <c r="G35" s="1"/>
      <c r="H35" s="1"/>
      <c r="I35" s="194"/>
      <c r="K35" s="194"/>
      <c r="L35" s="194"/>
    </row>
    <row r="36" spans="1:21" ht="13.75" customHeight="1">
      <c r="B36" s="195" t="s">
        <v>350</v>
      </c>
      <c r="C36" s="17"/>
      <c r="D36" s="193"/>
      <c r="E36" s="193"/>
      <c r="F36" s="1"/>
      <c r="G36" s="1"/>
      <c r="H36" s="1"/>
      <c r="I36" s="194"/>
      <c r="K36" s="194"/>
      <c r="L36" s="194"/>
    </row>
    <row r="37" spans="1:21" ht="0.5" customHeight="1">
      <c r="B37" s="17"/>
      <c r="C37" s="17"/>
      <c r="D37" s="193"/>
      <c r="E37" s="193"/>
      <c r="F37" s="1"/>
      <c r="G37" s="1"/>
      <c r="H37" s="1"/>
      <c r="I37" s="194"/>
      <c r="K37" s="194"/>
      <c r="L37" s="194"/>
    </row>
    <row r="38" spans="1:21" ht="13.25" customHeight="1">
      <c r="B38" s="1515" t="s">
        <v>2204</v>
      </c>
      <c r="C38" s="17"/>
      <c r="D38" s="193"/>
      <c r="E38" s="193"/>
      <c r="F38" s="1"/>
      <c r="G38" s="1"/>
      <c r="H38" s="1"/>
      <c r="I38" s="194"/>
      <c r="K38" s="194"/>
      <c r="L38" s="194"/>
    </row>
    <row r="39" spans="1:21" ht="16">
      <c r="B39" s="196"/>
      <c r="C39" s="196"/>
      <c r="D39" s="197"/>
      <c r="E39" s="197"/>
      <c r="F39" s="198"/>
      <c r="G39" s="198"/>
      <c r="H39" s="198"/>
      <c r="I39" s="199"/>
      <c r="K39" s="199"/>
      <c r="L39" s="199"/>
    </row>
    <row r="40" spans="1:21">
      <c r="B40" s="17" t="s">
        <v>351</v>
      </c>
      <c r="C40" s="17"/>
      <c r="D40" s="28"/>
      <c r="E40" s="28"/>
    </row>
    <row r="41" spans="1:21">
      <c r="B41" s="17"/>
      <c r="C41" s="17"/>
      <c r="D41" s="28"/>
      <c r="E41" s="28"/>
    </row>
    <row r="42" spans="1:21">
      <c r="A42" s="201"/>
      <c r="B42" s="17"/>
      <c r="C42" s="195" t="s">
        <v>352</v>
      </c>
      <c r="H42" s="202"/>
      <c r="I42" s="202"/>
      <c r="J42" s="203"/>
      <c r="K42" s="203" t="s">
        <v>353</v>
      </c>
      <c r="M42" s="200"/>
      <c r="N42" s="195" t="s">
        <v>352</v>
      </c>
      <c r="O42" s="204"/>
      <c r="P42" s="204"/>
      <c r="Q42" s="68"/>
      <c r="R42" s="68"/>
      <c r="S42" s="68"/>
      <c r="T42" s="202"/>
      <c r="U42" s="203" t="s">
        <v>353</v>
      </c>
    </row>
    <row r="43" spans="1:21">
      <c r="A43" s="201"/>
      <c r="B43" s="205">
        <v>1</v>
      </c>
      <c r="C43" s="206" t="s">
        <v>354</v>
      </c>
      <c r="H43" s="205"/>
      <c r="I43" s="205"/>
      <c r="J43" s="205"/>
      <c r="K43" s="205">
        <v>8.02</v>
      </c>
      <c r="M43" s="207" t="s">
        <v>319</v>
      </c>
      <c r="N43" s="208" t="s">
        <v>355</v>
      </c>
      <c r="O43" s="209"/>
      <c r="P43" s="209"/>
      <c r="Q43" s="210"/>
      <c r="R43" s="209"/>
      <c r="S43" s="210"/>
      <c r="T43" s="205"/>
      <c r="U43" s="205">
        <v>2.25</v>
      </c>
    </row>
    <row r="44" spans="1:21">
      <c r="A44" s="201"/>
      <c r="B44" s="205">
        <v>2</v>
      </c>
      <c r="C44" s="211" t="s">
        <v>356</v>
      </c>
      <c r="H44" s="205"/>
      <c r="I44" s="205"/>
      <c r="J44" s="205"/>
      <c r="K44" s="205">
        <v>11.01</v>
      </c>
      <c r="M44" s="212" t="s">
        <v>335</v>
      </c>
      <c r="N44" s="209" t="s">
        <v>357</v>
      </c>
      <c r="O44" s="209"/>
      <c r="P44" s="209"/>
      <c r="Q44" s="210"/>
      <c r="R44" s="209"/>
      <c r="S44" s="210"/>
      <c r="T44" s="213"/>
      <c r="U44" s="213" t="s">
        <v>87</v>
      </c>
    </row>
    <row r="45" spans="1:21">
      <c r="A45" s="201"/>
      <c r="B45" s="205" t="s">
        <v>309</v>
      </c>
      <c r="C45" s="209" t="s">
        <v>358</v>
      </c>
      <c r="H45" s="213"/>
      <c r="I45" s="213"/>
      <c r="J45" s="213"/>
      <c r="K45" s="213" t="s">
        <v>359</v>
      </c>
      <c r="M45" s="212" t="s">
        <v>321</v>
      </c>
      <c r="N45" s="209" t="s">
        <v>360</v>
      </c>
      <c r="O45" s="209"/>
      <c r="P45" s="209"/>
      <c r="Q45" s="210"/>
      <c r="R45" s="209"/>
      <c r="S45" s="210"/>
      <c r="T45" s="205"/>
      <c r="U45" s="205">
        <v>2.21</v>
      </c>
    </row>
    <row r="46" spans="1:21">
      <c r="A46" s="201"/>
      <c r="B46" s="205" t="s">
        <v>310</v>
      </c>
      <c r="C46" s="208" t="s">
        <v>361</v>
      </c>
      <c r="H46" s="213"/>
      <c r="I46" s="213"/>
      <c r="J46" s="213"/>
      <c r="K46" s="213" t="s">
        <v>359</v>
      </c>
      <c r="M46" s="212" t="s">
        <v>337</v>
      </c>
      <c r="N46" s="209" t="s">
        <v>362</v>
      </c>
      <c r="O46" s="209"/>
      <c r="P46" s="209"/>
      <c r="Q46" s="210"/>
      <c r="R46" s="209"/>
      <c r="S46" s="210"/>
      <c r="T46" s="213"/>
      <c r="U46" s="213" t="s">
        <v>160</v>
      </c>
    </row>
    <row r="47" spans="1:21">
      <c r="A47" s="201"/>
      <c r="B47" s="205">
        <v>4</v>
      </c>
      <c r="C47" s="209" t="s">
        <v>363</v>
      </c>
      <c r="H47" s="213"/>
      <c r="I47" s="213"/>
      <c r="J47" s="213"/>
      <c r="K47" s="213" t="s">
        <v>359</v>
      </c>
      <c r="M47" s="212" t="s">
        <v>323</v>
      </c>
      <c r="N47" s="209" t="s">
        <v>364</v>
      </c>
      <c r="O47" s="209"/>
      <c r="P47" s="209"/>
      <c r="Q47" s="210"/>
      <c r="R47" s="209"/>
      <c r="S47" s="210"/>
      <c r="T47" s="205"/>
      <c r="U47" s="205">
        <v>5.01</v>
      </c>
    </row>
    <row r="48" spans="1:21">
      <c r="A48" s="201"/>
      <c r="B48" s="205">
        <v>5</v>
      </c>
      <c r="C48" s="209" t="s">
        <v>363</v>
      </c>
      <c r="H48" s="213"/>
      <c r="I48" s="213"/>
      <c r="J48" s="213"/>
      <c r="K48" s="213" t="s">
        <v>359</v>
      </c>
      <c r="M48" s="212">
        <v>11</v>
      </c>
      <c r="N48" s="209" t="s">
        <v>365</v>
      </c>
      <c r="O48" s="209"/>
      <c r="P48" s="209"/>
      <c r="Q48" s="210"/>
      <c r="R48" s="209"/>
      <c r="S48" s="210"/>
      <c r="T48" s="205"/>
      <c r="U48" s="205">
        <v>1.02</v>
      </c>
    </row>
    <row r="49" spans="1:21">
      <c r="A49" s="201"/>
      <c r="B49" s="205" t="s">
        <v>329</v>
      </c>
      <c r="C49" s="209" t="s">
        <v>366</v>
      </c>
      <c r="H49" s="213"/>
      <c r="I49" s="213"/>
      <c r="J49" s="213"/>
      <c r="K49" s="213" t="s">
        <v>102</v>
      </c>
      <c r="M49" s="212" t="s">
        <v>340</v>
      </c>
      <c r="N49" s="209" t="s">
        <v>367</v>
      </c>
      <c r="O49" s="209"/>
      <c r="P49" s="209"/>
      <c r="Q49" s="210"/>
      <c r="R49" s="209"/>
      <c r="S49" s="210"/>
      <c r="T49" s="205"/>
      <c r="U49" s="205">
        <v>1.1299999999999999</v>
      </c>
    </row>
    <row r="50" spans="1:21">
      <c r="A50" s="201"/>
      <c r="B50" s="205" t="s">
        <v>311</v>
      </c>
      <c r="C50" s="208" t="s">
        <v>368</v>
      </c>
      <c r="H50" s="205"/>
      <c r="I50" s="205"/>
      <c r="J50" s="205"/>
      <c r="K50" s="205">
        <v>12.05</v>
      </c>
      <c r="M50" s="212" t="s">
        <v>325</v>
      </c>
      <c r="N50" s="209" t="s">
        <v>369</v>
      </c>
      <c r="O50" s="209"/>
      <c r="P50" s="209"/>
      <c r="Q50" s="210"/>
      <c r="R50" s="209"/>
      <c r="S50" s="210"/>
      <c r="T50" s="205"/>
      <c r="U50" s="205">
        <v>1.1299999999999999</v>
      </c>
    </row>
    <row r="51" spans="1:21">
      <c r="A51" s="201"/>
      <c r="B51" s="205" t="s">
        <v>331</v>
      </c>
      <c r="C51" s="209" t="s">
        <v>370</v>
      </c>
      <c r="H51" s="205"/>
      <c r="I51" s="205"/>
      <c r="J51" s="205"/>
      <c r="K51" s="205">
        <v>2.16</v>
      </c>
      <c r="M51" s="212" t="s">
        <v>342</v>
      </c>
      <c r="N51" s="208" t="s">
        <v>371</v>
      </c>
      <c r="O51" s="209"/>
      <c r="P51" s="209"/>
      <c r="Q51" s="210"/>
      <c r="R51" s="209"/>
      <c r="S51" s="210"/>
      <c r="T51" s="205"/>
      <c r="U51" s="205">
        <v>1.1299999999999999</v>
      </c>
    </row>
    <row r="52" spans="1:21">
      <c r="A52" s="201"/>
      <c r="B52" s="205" t="s">
        <v>313</v>
      </c>
      <c r="C52" s="208" t="s">
        <v>372</v>
      </c>
      <c r="H52" s="205"/>
      <c r="I52" s="205"/>
      <c r="J52" s="205"/>
      <c r="K52" s="205">
        <v>2.1800000000000002</v>
      </c>
      <c r="M52" s="212" t="s">
        <v>344</v>
      </c>
      <c r="N52" s="209" t="s">
        <v>373</v>
      </c>
      <c r="O52" s="209"/>
      <c r="P52" s="209"/>
      <c r="Q52" s="210"/>
      <c r="R52" s="209"/>
      <c r="S52" s="210"/>
      <c r="T52" s="205"/>
      <c r="U52" s="205">
        <v>1.1200000000000001</v>
      </c>
    </row>
    <row r="53" spans="1:21">
      <c r="A53" s="201"/>
      <c r="B53" s="205" t="s">
        <v>315</v>
      </c>
      <c r="C53" s="209" t="s">
        <v>374</v>
      </c>
      <c r="H53" s="205"/>
      <c r="I53" s="205"/>
      <c r="J53" s="205"/>
      <c r="K53" s="205">
        <v>2.1800000000000002</v>
      </c>
      <c r="M53" s="212" t="s">
        <v>327</v>
      </c>
      <c r="N53" s="209" t="s">
        <v>375</v>
      </c>
      <c r="O53" s="209"/>
      <c r="P53" s="209"/>
      <c r="Q53" s="210"/>
      <c r="R53" s="209"/>
      <c r="S53" s="210"/>
      <c r="T53" s="205"/>
      <c r="U53" s="205">
        <v>1.1200000000000001</v>
      </c>
    </row>
    <row r="54" spans="1:21">
      <c r="A54" s="201"/>
      <c r="B54" s="205" t="s">
        <v>317</v>
      </c>
      <c r="C54" s="209" t="s">
        <v>374</v>
      </c>
      <c r="H54" s="205"/>
      <c r="I54" s="205"/>
      <c r="J54" s="205"/>
      <c r="K54" s="205">
        <v>2.1800000000000002</v>
      </c>
      <c r="M54" s="214" t="s">
        <v>376</v>
      </c>
      <c r="N54" s="215" t="s">
        <v>377</v>
      </c>
      <c r="O54" s="215"/>
      <c r="P54" s="215"/>
      <c r="Q54" s="216"/>
      <c r="R54" s="215"/>
      <c r="S54" s="216"/>
      <c r="T54" s="217">
        <v>1.1200000000000001</v>
      </c>
      <c r="U54" s="217">
        <v>1.1200000000000001</v>
      </c>
    </row>
    <row r="55" spans="1:21">
      <c r="B55" s="205" t="s">
        <v>333</v>
      </c>
      <c r="C55" s="209" t="s">
        <v>378</v>
      </c>
      <c r="H55" s="205"/>
      <c r="I55" s="205"/>
      <c r="J55" s="205"/>
      <c r="K55" s="205">
        <v>2.0099999999999998</v>
      </c>
      <c r="M55" s="212"/>
      <c r="N55" s="209"/>
      <c r="O55" s="209"/>
      <c r="P55" s="209"/>
      <c r="Q55" s="210"/>
      <c r="R55" s="209"/>
      <c r="S55" s="210"/>
      <c r="T55" s="210"/>
      <c r="U55" s="210"/>
    </row>
    <row r="56" spans="1:21">
      <c r="B56" s="218"/>
      <c r="C56" s="219"/>
      <c r="H56" s="218"/>
      <c r="I56" s="218"/>
      <c r="J56" s="218"/>
      <c r="K56" s="3"/>
      <c r="L56" s="220"/>
      <c r="M56" s="219"/>
      <c r="N56" s="219"/>
      <c r="O56" s="219"/>
      <c r="P56" s="190"/>
      <c r="Q56" s="219"/>
      <c r="R56" s="190"/>
      <c r="S56" s="190"/>
    </row>
    <row r="58" spans="1:21">
      <c r="A58" s="3" t="s">
        <v>302</v>
      </c>
    </row>
  </sheetData>
  <pageMargins left="0.27559055118110237" right="0.23622047244094491" top="0.31496062992125984" bottom="0.31496062992125984" header="0.19685039370078741" footer="0.23622047244094491"/>
  <pageSetup paperSize="9" scale="64" orientation="landscape"/>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70129-FD04-E548-ACCD-3AE30A300393}">
  <sheetPr>
    <pageSetUpPr fitToPage="1"/>
  </sheetPr>
  <dimension ref="A1:H72"/>
  <sheetViews>
    <sheetView zoomScaleNormal="100" workbookViewId="0"/>
  </sheetViews>
  <sheetFormatPr baseColWidth="10" defaultColWidth="11.3984375" defaultRowHeight="13"/>
  <cols>
    <col min="1" max="1" width="21.796875" style="3" customWidth="1"/>
    <col min="2" max="2" width="69.796875" style="245" customWidth="1"/>
    <col min="3" max="3" width="7.59765625" style="245" customWidth="1"/>
    <col min="4" max="4" width="20.19921875" style="246" customWidth="1"/>
    <col min="5" max="16384" width="11.3984375" style="3"/>
  </cols>
  <sheetData>
    <row r="1" spans="1:8" s="1" customFormat="1" ht="14" customHeight="1">
      <c r="B1" s="221"/>
      <c r="C1" s="221"/>
      <c r="D1" s="222"/>
    </row>
    <row r="2" spans="1:8" s="1" customFormat="1" ht="37.25" customHeight="1">
      <c r="A2" s="2010" t="s">
        <v>379</v>
      </c>
      <c r="B2" s="2011"/>
      <c r="C2" s="221"/>
      <c r="D2" s="223">
        <v>2013</v>
      </c>
    </row>
    <row r="3" spans="1:8" ht="39" customHeight="1">
      <c r="A3" s="224" t="s">
        <v>380</v>
      </c>
      <c r="B3" s="224"/>
      <c r="C3" s="225"/>
      <c r="D3" s="226" t="s">
        <v>381</v>
      </c>
    </row>
    <row r="4" spans="1:8" ht="38" customHeight="1">
      <c r="A4" s="227"/>
      <c r="B4" s="228"/>
      <c r="C4" s="229"/>
      <c r="D4" s="230" t="s">
        <v>382</v>
      </c>
    </row>
    <row r="5" spans="1:8" ht="20" customHeight="1" thickBot="1">
      <c r="A5" s="231" t="s">
        <v>383</v>
      </c>
      <c r="B5" s="231" t="s">
        <v>384</v>
      </c>
      <c r="C5" s="232"/>
      <c r="D5" s="233" vm="1">
        <v>24984321933.699997</v>
      </c>
      <c r="F5" s="43"/>
      <c r="G5" s="43"/>
      <c r="H5" s="43"/>
    </row>
    <row r="6" spans="1:8" ht="20" customHeight="1" thickBot="1">
      <c r="A6" s="234">
        <v>331</v>
      </c>
      <c r="B6" s="234" t="s">
        <v>385</v>
      </c>
      <c r="C6" s="235" t="s">
        <v>386</v>
      </c>
      <c r="D6" s="233" vm="2">
        <v>-112591788.69999997</v>
      </c>
      <c r="F6" s="43"/>
      <c r="G6" s="43"/>
      <c r="H6" s="43"/>
    </row>
    <row r="7" spans="1:8" ht="20" customHeight="1" thickBot="1">
      <c r="A7" s="234">
        <v>3501</v>
      </c>
      <c r="B7" s="234" t="s">
        <v>387</v>
      </c>
      <c r="C7" s="235" t="s">
        <v>386</v>
      </c>
      <c r="D7" s="233" vm="3">
        <v>-76961372.109999985</v>
      </c>
      <c r="F7" s="43"/>
      <c r="G7" s="43"/>
      <c r="H7" s="43"/>
    </row>
    <row r="8" spans="1:8" ht="20" customHeight="1" thickBot="1">
      <c r="A8" s="234">
        <v>36</v>
      </c>
      <c r="B8" s="234" t="s">
        <v>388</v>
      </c>
      <c r="C8" s="235"/>
      <c r="D8" s="233" vm="4">
        <v>2498118926.9000001</v>
      </c>
      <c r="F8" s="43"/>
      <c r="G8" s="43"/>
      <c r="H8" s="43"/>
    </row>
    <row r="9" spans="1:8" ht="20" customHeight="1" thickBot="1">
      <c r="A9" s="234">
        <v>37</v>
      </c>
      <c r="B9" s="234" t="s">
        <v>389</v>
      </c>
      <c r="C9" s="235" t="s">
        <v>386</v>
      </c>
      <c r="D9" s="233" vm="5">
        <v>-2477201849.2700005</v>
      </c>
      <c r="F9" s="43"/>
      <c r="G9" s="43"/>
      <c r="H9" s="43"/>
    </row>
    <row r="10" spans="1:8" ht="20" customHeight="1" thickBot="1">
      <c r="A10" s="234"/>
      <c r="B10" s="234"/>
      <c r="C10" s="235"/>
      <c r="D10" s="233" t="s">
        <v>390</v>
      </c>
      <c r="F10" s="43"/>
      <c r="G10" s="43"/>
      <c r="H10" s="43"/>
    </row>
    <row r="11" spans="1:8" ht="20" customHeight="1" thickBot="1">
      <c r="A11" s="234">
        <v>3</v>
      </c>
      <c r="B11" s="234" t="s">
        <v>391</v>
      </c>
      <c r="C11" s="235"/>
      <c r="D11" s="233">
        <v>24815685850.519997</v>
      </c>
      <c r="F11" s="43"/>
      <c r="G11" s="43"/>
      <c r="H11" s="43"/>
    </row>
    <row r="12" spans="1:8" ht="20" customHeight="1" thickBot="1">
      <c r="A12" s="234"/>
      <c r="B12" s="234"/>
      <c r="C12" s="235"/>
      <c r="D12" s="233" t="s">
        <v>390</v>
      </c>
      <c r="F12" s="43"/>
      <c r="G12" s="43"/>
      <c r="H12" s="43"/>
    </row>
    <row r="13" spans="1:8" ht="20" customHeight="1" thickBot="1">
      <c r="A13" s="234" t="s">
        <v>392</v>
      </c>
      <c r="B13" s="234" t="s">
        <v>393</v>
      </c>
      <c r="C13" s="235" t="s">
        <v>386</v>
      </c>
      <c r="D13" s="233" vm="6">
        <v>-27926489908.810001</v>
      </c>
      <c r="F13" s="43"/>
      <c r="G13" s="43"/>
      <c r="H13" s="43"/>
    </row>
    <row r="14" spans="1:8" ht="20" customHeight="1" thickBot="1">
      <c r="A14" s="236" t="s">
        <v>394</v>
      </c>
      <c r="B14" s="234" t="s">
        <v>2215</v>
      </c>
      <c r="C14" s="235"/>
      <c r="D14" s="233" vm="6">
        <v>3905520042.9100013</v>
      </c>
      <c r="F14" s="43"/>
      <c r="G14" s="43"/>
      <c r="H14" s="43"/>
    </row>
    <row r="15" spans="1:8" ht="20" customHeight="1" thickBot="1">
      <c r="A15" s="234" t="s">
        <v>395</v>
      </c>
      <c r="B15" s="234" t="s">
        <v>2216</v>
      </c>
      <c r="C15" s="235" t="s">
        <v>386</v>
      </c>
      <c r="D15" s="233" vm="7">
        <v>-10452370.869999999</v>
      </c>
      <c r="F15" s="43"/>
      <c r="G15" s="43"/>
      <c r="H15" s="43"/>
    </row>
    <row r="16" spans="1:8" ht="20" customHeight="1" thickBot="1">
      <c r="A16" s="234">
        <v>4300</v>
      </c>
      <c r="B16" s="234" t="s">
        <v>396</v>
      </c>
      <c r="C16" s="235" t="s">
        <v>386</v>
      </c>
      <c r="D16" s="233" vm="7">
        <v>-74350210.719999999</v>
      </c>
      <c r="F16" s="43"/>
      <c r="G16" s="43"/>
      <c r="H16" s="237"/>
    </row>
    <row r="17" spans="1:8" ht="20" customHeight="1" thickBot="1">
      <c r="A17" s="234">
        <v>4310</v>
      </c>
      <c r="B17" s="234" t="s">
        <v>397</v>
      </c>
      <c r="C17" s="235" t="s">
        <v>386</v>
      </c>
      <c r="D17" s="233" vm="8">
        <v>-29050655.850000001</v>
      </c>
      <c r="F17" s="43"/>
      <c r="G17" s="43"/>
      <c r="H17" s="43"/>
    </row>
    <row r="18" spans="1:8" ht="20" customHeight="1" thickBot="1">
      <c r="A18" s="234">
        <v>4321</v>
      </c>
      <c r="B18" s="234" t="s">
        <v>398</v>
      </c>
      <c r="C18" s="235" t="s">
        <v>386</v>
      </c>
      <c r="D18" s="233" vm="8">
        <v>-15432451.070000002</v>
      </c>
      <c r="F18" s="43"/>
      <c r="G18" s="43"/>
      <c r="H18" s="238"/>
    </row>
    <row r="19" spans="1:8" ht="20" customHeight="1" thickBot="1">
      <c r="A19" s="234">
        <v>4510</v>
      </c>
      <c r="B19" s="234" t="s">
        <v>399</v>
      </c>
      <c r="C19" s="235"/>
      <c r="D19" s="233" vm="9">
        <v>-89269043.089999989</v>
      </c>
      <c r="F19" s="43"/>
      <c r="G19" s="43"/>
      <c r="H19" s="43"/>
    </row>
    <row r="20" spans="1:8" ht="20" customHeight="1" thickBot="1">
      <c r="A20" s="234">
        <v>4401</v>
      </c>
      <c r="B20" s="234" t="s">
        <v>400</v>
      </c>
      <c r="C20" s="235"/>
      <c r="D20" s="233" vm="10">
        <v>71566828.809999987</v>
      </c>
      <c r="F20" s="43"/>
      <c r="G20" s="43"/>
      <c r="H20" s="43"/>
    </row>
    <row r="21" spans="1:8" ht="20" customHeight="1" thickBot="1">
      <c r="A21" s="234">
        <v>48</v>
      </c>
      <c r="B21" s="234" t="s">
        <v>401</v>
      </c>
      <c r="C21" s="235"/>
      <c r="D21" s="233" vm="11">
        <v>48763231.55000031</v>
      </c>
      <c r="F21" s="43"/>
      <c r="G21" s="43"/>
      <c r="H21" s="43"/>
    </row>
    <row r="22" spans="1:8" ht="20" customHeight="1" thickBot="1">
      <c r="A22" s="234"/>
      <c r="B22" s="234"/>
      <c r="C22" s="235"/>
      <c r="D22" s="233" t="s">
        <v>390</v>
      </c>
      <c r="F22" s="43"/>
      <c r="G22" s="43"/>
      <c r="H22" s="43"/>
    </row>
    <row r="23" spans="1:8" ht="20" customHeight="1" thickBot="1">
      <c r="A23" s="234">
        <v>4</v>
      </c>
      <c r="B23" s="234" t="s">
        <v>402</v>
      </c>
      <c r="C23" s="235"/>
      <c r="D23" s="233">
        <v>-24119194537.139999</v>
      </c>
      <c r="F23" s="43"/>
      <c r="G23" s="43"/>
      <c r="H23" s="43"/>
    </row>
    <row r="24" spans="1:8" ht="20" customHeight="1" thickBot="1">
      <c r="A24" s="234"/>
      <c r="B24" s="234"/>
      <c r="C24" s="235"/>
      <c r="D24" s="233" t="s">
        <v>390</v>
      </c>
      <c r="F24" s="43"/>
      <c r="G24" s="43"/>
      <c r="H24" s="43"/>
    </row>
    <row r="25" spans="1:8" ht="20" customHeight="1" thickBot="1">
      <c r="A25" s="234">
        <v>992</v>
      </c>
      <c r="B25" s="234" t="s">
        <v>403</v>
      </c>
      <c r="C25" s="235"/>
      <c r="D25" s="233">
        <v>696491313.37999725</v>
      </c>
      <c r="F25" s="43"/>
      <c r="G25" s="43"/>
      <c r="H25" s="43"/>
    </row>
    <row r="26" spans="1:8" ht="20" customHeight="1" thickBot="1">
      <c r="A26" s="234"/>
      <c r="B26" s="234"/>
      <c r="C26" s="235"/>
      <c r="D26" s="239" t="s">
        <v>390</v>
      </c>
      <c r="F26" s="43"/>
      <c r="G26" s="43"/>
      <c r="H26" s="43"/>
    </row>
    <row r="27" spans="1:8" ht="20" customHeight="1" thickBot="1">
      <c r="A27" s="234">
        <v>500</v>
      </c>
      <c r="B27" s="234" t="s">
        <v>404</v>
      </c>
      <c r="C27" s="235" t="s">
        <v>386</v>
      </c>
      <c r="D27" s="240" vm="12">
        <v>-1078591375.8700001</v>
      </c>
      <c r="F27" s="43"/>
      <c r="G27" s="43"/>
      <c r="H27" s="43"/>
    </row>
    <row r="28" spans="1:8" ht="20" customHeight="1" thickBot="1">
      <c r="A28" s="234">
        <v>501</v>
      </c>
      <c r="B28" s="234" t="s">
        <v>405</v>
      </c>
      <c r="C28" s="235" t="s">
        <v>386</v>
      </c>
      <c r="D28" s="241" vm="13">
        <v>-6554683.5299999993</v>
      </c>
      <c r="F28" s="43"/>
      <c r="G28" s="43"/>
      <c r="H28" s="43"/>
    </row>
    <row r="29" spans="1:8" ht="20" customHeight="1" thickBot="1">
      <c r="A29" s="234">
        <v>510</v>
      </c>
      <c r="B29" s="234" t="s">
        <v>406</v>
      </c>
      <c r="C29" s="235" t="s">
        <v>386</v>
      </c>
      <c r="D29" s="233" vm="14">
        <v>-65173018.79999999</v>
      </c>
      <c r="F29" s="43"/>
      <c r="G29" s="43"/>
      <c r="H29" s="43"/>
    </row>
    <row r="30" spans="1:8" ht="20" customHeight="1" thickBot="1">
      <c r="A30" s="234">
        <v>516</v>
      </c>
      <c r="B30" s="234" t="s">
        <v>407</v>
      </c>
      <c r="C30" s="235" t="s">
        <v>386</v>
      </c>
      <c r="D30" s="233" vm="15">
        <v>-57642165.020000018</v>
      </c>
      <c r="F30" s="43"/>
      <c r="G30" s="43"/>
      <c r="H30" s="43"/>
    </row>
    <row r="31" spans="1:8" ht="20" customHeight="1" thickBot="1">
      <c r="A31" s="234">
        <v>517</v>
      </c>
      <c r="B31" s="234" t="s">
        <v>408</v>
      </c>
      <c r="C31" s="235" t="s">
        <v>386</v>
      </c>
      <c r="D31" s="233" vm="16">
        <v>-22864857.149999999</v>
      </c>
      <c r="F31" s="43"/>
      <c r="G31" s="43"/>
      <c r="H31" s="43"/>
    </row>
    <row r="32" spans="1:8" ht="20" customHeight="1" thickBot="1">
      <c r="A32" s="234">
        <v>519</v>
      </c>
      <c r="B32" s="234" t="s">
        <v>409</v>
      </c>
      <c r="C32" s="235" t="s">
        <v>386</v>
      </c>
      <c r="D32" s="233" vm="17">
        <v>-31954758.48</v>
      </c>
      <c r="F32" s="43"/>
      <c r="G32" s="43"/>
      <c r="H32" s="43"/>
    </row>
    <row r="33" spans="1:8" ht="20" customHeight="1" thickBot="1">
      <c r="A33" s="234"/>
      <c r="B33" s="234"/>
      <c r="C33" s="235"/>
      <c r="D33" s="233" t="s">
        <v>390</v>
      </c>
      <c r="F33" s="43"/>
      <c r="G33" s="43"/>
      <c r="H33" s="43"/>
    </row>
    <row r="34" spans="1:8" ht="20" customHeight="1" thickBot="1">
      <c r="A34" s="234">
        <v>5</v>
      </c>
      <c r="B34" s="234" t="s">
        <v>410</v>
      </c>
      <c r="C34" s="235"/>
      <c r="D34" s="233">
        <v>-1262780858.8500001</v>
      </c>
      <c r="F34" s="43"/>
      <c r="G34" s="43"/>
      <c r="H34" s="43"/>
    </row>
    <row r="35" spans="1:8" ht="20" customHeight="1" thickBot="1">
      <c r="A35" s="234"/>
      <c r="B35" s="234"/>
      <c r="C35" s="235"/>
      <c r="D35" s="233" t="s">
        <v>390</v>
      </c>
      <c r="F35" s="43"/>
      <c r="G35" s="43"/>
      <c r="H35" s="43"/>
    </row>
    <row r="36" spans="1:8" ht="20" customHeight="1" thickBot="1">
      <c r="A36" s="234">
        <v>993</v>
      </c>
      <c r="B36" s="234" t="s">
        <v>411</v>
      </c>
      <c r="C36" s="235" t="s">
        <v>386</v>
      </c>
      <c r="D36" s="233">
        <v>-25381975395.989998</v>
      </c>
      <c r="F36" s="43"/>
      <c r="G36" s="43"/>
      <c r="H36" s="43"/>
    </row>
    <row r="37" spans="1:8" ht="20" customHeight="1" thickBot="1">
      <c r="A37" s="234"/>
      <c r="B37" s="234"/>
      <c r="C37" s="235"/>
      <c r="D37" s="233" t="s">
        <v>390</v>
      </c>
      <c r="F37" s="43"/>
      <c r="G37" s="43"/>
      <c r="H37" s="43"/>
    </row>
    <row r="38" spans="1:8" ht="20" customHeight="1" thickBot="1">
      <c r="A38" s="234">
        <v>994</v>
      </c>
      <c r="B38" s="234" t="s">
        <v>412</v>
      </c>
      <c r="C38" s="235"/>
      <c r="D38" s="233">
        <v>-566289545.47000122</v>
      </c>
      <c r="F38" s="43"/>
      <c r="G38" s="43"/>
      <c r="H38" s="43"/>
    </row>
    <row r="39" spans="1:8" ht="20" customHeight="1" thickBot="1">
      <c r="A39" s="234"/>
      <c r="B39" s="234"/>
      <c r="C39" s="235"/>
      <c r="D39" s="233" t="s">
        <v>390</v>
      </c>
      <c r="F39" s="43"/>
      <c r="G39" s="43"/>
      <c r="H39" s="43"/>
    </row>
    <row r="40" spans="1:8" ht="20" customHeight="1" thickBot="1">
      <c r="A40" s="234">
        <v>70</v>
      </c>
      <c r="B40" s="234" t="s">
        <v>413</v>
      </c>
      <c r="C40" s="235"/>
      <c r="D40" s="233" vm="18">
        <v>45195199.699999981</v>
      </c>
      <c r="F40" s="43"/>
      <c r="G40" s="43"/>
      <c r="H40" s="43"/>
    </row>
    <row r="41" spans="1:8" ht="20" customHeight="1" thickBot="1">
      <c r="A41" s="234">
        <v>71</v>
      </c>
      <c r="B41" s="234" t="s">
        <v>414</v>
      </c>
      <c r="C41" s="235" t="s">
        <v>386</v>
      </c>
      <c r="D41" s="233" vm="19">
        <v>-11394307.259999998</v>
      </c>
      <c r="F41" s="43"/>
      <c r="G41" s="43"/>
      <c r="H41" s="43"/>
    </row>
    <row r="42" spans="1:8" ht="20" customHeight="1" thickBot="1">
      <c r="A42" s="234">
        <v>73</v>
      </c>
      <c r="B42" s="234" t="s">
        <v>415</v>
      </c>
      <c r="C42" s="235"/>
      <c r="D42" s="233" vm="20">
        <v>373064499.69999993</v>
      </c>
      <c r="F42" s="43"/>
      <c r="G42" s="43"/>
      <c r="H42" s="43"/>
    </row>
    <row r="43" spans="1:8" ht="20" customHeight="1" thickBot="1">
      <c r="A43" s="234">
        <v>810</v>
      </c>
      <c r="B43" s="234" t="s">
        <v>416</v>
      </c>
      <c r="C43" s="235"/>
      <c r="D43" s="233" vm="21">
        <v>29128342.219999999</v>
      </c>
      <c r="F43" s="43"/>
      <c r="G43" s="43"/>
      <c r="H43" s="43"/>
    </row>
    <row r="44" spans="1:8" ht="20" customHeight="1" thickBot="1">
      <c r="A44" s="234">
        <v>820</v>
      </c>
      <c r="B44" s="234" t="s">
        <v>417</v>
      </c>
      <c r="C44" s="235" t="s">
        <v>386</v>
      </c>
      <c r="D44" s="233" vm="21">
        <v>-10884180.040000001</v>
      </c>
      <c r="F44" s="43"/>
      <c r="G44" s="43"/>
      <c r="H44" s="43"/>
    </row>
    <row r="45" spans="1:8" ht="20" customHeight="1" thickBot="1">
      <c r="A45" s="234">
        <v>9</v>
      </c>
      <c r="B45" s="234" t="s">
        <v>418</v>
      </c>
      <c r="C45" s="235"/>
      <c r="D45" s="233">
        <v>0</v>
      </c>
      <c r="F45" s="43"/>
      <c r="G45" s="43"/>
      <c r="H45" s="43"/>
    </row>
    <row r="46" spans="1:8" ht="20" customHeight="1" thickBot="1">
      <c r="A46" s="234"/>
      <c r="B46" s="234"/>
      <c r="C46" s="235"/>
      <c r="D46" s="233" t="s">
        <v>390</v>
      </c>
      <c r="F46" s="43"/>
      <c r="G46" s="43"/>
      <c r="H46" s="43"/>
    </row>
    <row r="47" spans="1:8" ht="20" customHeight="1" thickBot="1">
      <c r="A47" s="234">
        <v>995</v>
      </c>
      <c r="B47" s="234" t="s">
        <v>1867</v>
      </c>
      <c r="C47" s="235"/>
      <c r="D47" s="233">
        <v>425109554.31999987</v>
      </c>
      <c r="F47" s="43"/>
      <c r="G47" s="43"/>
      <c r="H47" s="43"/>
    </row>
    <row r="48" spans="1:8" ht="20" customHeight="1" thickBot="1">
      <c r="A48" s="234"/>
      <c r="B48" s="234"/>
      <c r="C48" s="235"/>
      <c r="D48" s="233" t="s">
        <v>390</v>
      </c>
      <c r="F48" s="43"/>
      <c r="G48" s="43"/>
      <c r="H48" s="43"/>
    </row>
    <row r="49" spans="1:8" ht="20" customHeight="1" thickBot="1">
      <c r="A49" s="242">
        <v>999</v>
      </c>
      <c r="B49" s="242" t="s">
        <v>419</v>
      </c>
      <c r="C49" s="243"/>
      <c r="D49" s="244">
        <v>-141179991.15000135</v>
      </c>
      <c r="F49" s="43"/>
      <c r="G49" s="43"/>
      <c r="H49" s="43"/>
    </row>
    <row r="50" spans="1:8" ht="15.5" customHeight="1">
      <c r="A50" s="3" t="s">
        <v>346</v>
      </c>
    </row>
    <row r="52" spans="1:8" ht="14" thickBot="1">
      <c r="A52" s="247" t="s">
        <v>420</v>
      </c>
    </row>
    <row r="53" spans="1:8" ht="15" thickBot="1">
      <c r="A53" s="248" t="s">
        <v>2217</v>
      </c>
      <c r="B53" s="248"/>
      <c r="C53" s="235"/>
      <c r="D53" s="249">
        <v>3895067672.0400014</v>
      </c>
    </row>
    <row r="54" spans="1:8" ht="15" thickBot="1">
      <c r="A54" s="248" t="s">
        <v>421</v>
      </c>
      <c r="B54" s="248"/>
      <c r="C54" s="235"/>
      <c r="D54" s="249">
        <v>24031422236.77</v>
      </c>
    </row>
    <row r="55" spans="1:8" ht="14">
      <c r="A55" s="250"/>
      <c r="B55" s="250"/>
      <c r="C55" s="251"/>
      <c r="D55" s="252"/>
    </row>
    <row r="56" spans="1:8">
      <c r="A56" s="253" t="s">
        <v>422</v>
      </c>
      <c r="B56" s="254"/>
      <c r="C56" s="254"/>
      <c r="D56" s="255"/>
    </row>
    <row r="57" spans="1:8">
      <c r="A57" s="253" t="s">
        <v>423</v>
      </c>
      <c r="B57" s="254"/>
      <c r="C57" s="254"/>
      <c r="D57" s="255"/>
    </row>
    <row r="58" spans="1:8">
      <c r="A58" s="253" t="s">
        <v>424</v>
      </c>
      <c r="B58" s="256"/>
      <c r="C58" s="256"/>
      <c r="D58" s="257"/>
    </row>
    <row r="59" spans="1:8">
      <c r="A59" s="258"/>
    </row>
    <row r="60" spans="1:8">
      <c r="A60" s="3" t="s">
        <v>425</v>
      </c>
    </row>
    <row r="63" spans="1:8">
      <c r="A63" s="3" t="s">
        <v>302</v>
      </c>
    </row>
    <row r="69" spans="1:4">
      <c r="B69" s="259"/>
      <c r="C69" s="259"/>
      <c r="D69" s="43"/>
    </row>
    <row r="72" spans="1:4" ht="14">
      <c r="A72" s="260"/>
      <c r="B72" s="260"/>
      <c r="C72" s="261"/>
      <c r="D72" s="262"/>
    </row>
  </sheetData>
  <mergeCells count="1">
    <mergeCell ref="A2:B2"/>
  </mergeCells>
  <pageMargins left="0.59055118110236227" right="0.62992125984251968" top="0.31" bottom="0.33" header="0.22" footer="0.22"/>
  <pageSetup paperSize="9" scale="68" orientation="portrait"/>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A7F09-75E3-EC4F-B160-042EAFB17E51}">
  <sheetPr>
    <pageSetUpPr fitToPage="1"/>
  </sheetPr>
  <dimension ref="A1:H66"/>
  <sheetViews>
    <sheetView zoomScaleNormal="100" workbookViewId="0"/>
  </sheetViews>
  <sheetFormatPr baseColWidth="10" defaultColWidth="11.3984375" defaultRowHeight="13"/>
  <cols>
    <col min="1" max="1" width="14" style="3" customWidth="1"/>
    <col min="2" max="2" width="68.796875" style="245" customWidth="1"/>
    <col min="3" max="3" width="7.59765625" style="245" customWidth="1"/>
    <col min="4" max="4" width="20.19921875" style="246" customWidth="1"/>
    <col min="5" max="16384" width="11.3984375" style="3"/>
  </cols>
  <sheetData>
    <row r="1" spans="1:8" s="1" customFormat="1" ht="14" customHeight="1">
      <c r="B1" s="221"/>
      <c r="C1" s="221"/>
      <c r="D1" s="222"/>
    </row>
    <row r="2" spans="1:8" s="1" customFormat="1" ht="28.25" customHeight="1">
      <c r="A2" s="2010" t="s">
        <v>426</v>
      </c>
      <c r="B2" s="2011"/>
      <c r="C2" s="221"/>
      <c r="D2" s="223">
        <v>2013</v>
      </c>
    </row>
    <row r="3" spans="1:8" ht="39" customHeight="1">
      <c r="A3" s="224" t="s">
        <v>380</v>
      </c>
      <c r="B3" s="224"/>
      <c r="C3" s="225"/>
      <c r="D3" s="226" t="s">
        <v>381</v>
      </c>
    </row>
    <row r="4" spans="1:8" ht="38" customHeight="1">
      <c r="A4" s="227"/>
      <c r="B4" s="228"/>
      <c r="C4" s="229"/>
      <c r="D4" s="230" t="s">
        <v>382</v>
      </c>
    </row>
    <row r="5" spans="1:8" ht="20" customHeight="1" thickBot="1">
      <c r="A5" s="231">
        <v>3010</v>
      </c>
      <c r="B5" s="231" t="s">
        <v>427</v>
      </c>
      <c r="C5" s="232"/>
      <c r="D5" s="233" vm="22">
        <v>6876623992.3200016</v>
      </c>
      <c r="F5" s="43"/>
      <c r="G5" s="43"/>
      <c r="H5" s="43"/>
    </row>
    <row r="6" spans="1:8" ht="20" customHeight="1" thickBot="1">
      <c r="A6" s="234">
        <v>331</v>
      </c>
      <c r="B6" s="234" t="s">
        <v>385</v>
      </c>
      <c r="C6" s="235" t="s">
        <v>386</v>
      </c>
      <c r="D6" s="233" vm="23">
        <v>-35350416.159999989</v>
      </c>
      <c r="F6" s="43"/>
      <c r="G6" s="43"/>
      <c r="H6" s="43"/>
    </row>
    <row r="7" spans="1:8" ht="20" customHeight="1" thickBot="1">
      <c r="A7" s="234">
        <v>3501</v>
      </c>
      <c r="B7" s="234" t="s">
        <v>387</v>
      </c>
      <c r="C7" s="235" t="s">
        <v>386</v>
      </c>
      <c r="D7" s="233" vm="24">
        <v>-28521456.850000001</v>
      </c>
      <c r="F7" s="43"/>
      <c r="G7" s="43"/>
      <c r="H7" s="43"/>
    </row>
    <row r="8" spans="1:8" ht="20" customHeight="1" thickBot="1">
      <c r="A8" s="234">
        <v>36</v>
      </c>
      <c r="B8" s="234" t="s">
        <v>388</v>
      </c>
      <c r="C8" s="235"/>
      <c r="D8" s="233" vm="25">
        <v>957716211.39000034</v>
      </c>
      <c r="F8" s="43"/>
      <c r="G8" s="43"/>
      <c r="H8" s="43"/>
    </row>
    <row r="9" spans="1:8" ht="20" customHeight="1" thickBot="1">
      <c r="A9" s="234">
        <v>37</v>
      </c>
      <c r="B9" s="234" t="s">
        <v>389</v>
      </c>
      <c r="C9" s="235" t="s">
        <v>386</v>
      </c>
      <c r="D9" s="233" vm="26">
        <v>-954234778.19000018</v>
      </c>
      <c r="F9" s="43"/>
      <c r="G9" s="43"/>
      <c r="H9" s="43"/>
    </row>
    <row r="10" spans="1:8" ht="20" customHeight="1" thickBot="1">
      <c r="A10" s="234"/>
      <c r="B10" s="234"/>
      <c r="C10" s="235"/>
      <c r="D10" s="233" t="s">
        <v>390</v>
      </c>
      <c r="F10" s="43"/>
      <c r="G10" s="43"/>
      <c r="H10" s="43"/>
    </row>
    <row r="11" spans="1:8" ht="20" customHeight="1" thickBot="1">
      <c r="A11" s="234">
        <v>3</v>
      </c>
      <c r="B11" s="234" t="s">
        <v>391</v>
      </c>
      <c r="C11" s="235"/>
      <c r="D11" s="233">
        <v>6816233552.5100012</v>
      </c>
      <c r="F11" s="43"/>
      <c r="G11" s="43"/>
      <c r="H11" s="43"/>
    </row>
    <row r="12" spans="1:8" ht="20" customHeight="1" thickBot="1">
      <c r="A12" s="234"/>
      <c r="B12" s="234"/>
      <c r="C12" s="235"/>
      <c r="D12" s="233" t="s">
        <v>390</v>
      </c>
      <c r="F12" s="43"/>
      <c r="G12" s="43"/>
      <c r="H12" s="43"/>
    </row>
    <row r="13" spans="1:8" ht="20" customHeight="1" thickBot="1">
      <c r="A13" s="234">
        <v>4010</v>
      </c>
      <c r="B13" s="234" t="s">
        <v>428</v>
      </c>
      <c r="C13" s="235" t="s">
        <v>386</v>
      </c>
      <c r="D13" s="233" vm="27">
        <v>-10947454714.050001</v>
      </c>
      <c r="F13" s="43"/>
      <c r="G13" s="43"/>
      <c r="H13" s="43"/>
    </row>
    <row r="14" spans="1:8" ht="20" customHeight="1" thickBot="1">
      <c r="A14" s="234">
        <v>4200</v>
      </c>
      <c r="B14" s="234" t="s">
        <v>429</v>
      </c>
      <c r="C14" s="235"/>
      <c r="D14" s="233" vm="28">
        <v>952389426.63999999</v>
      </c>
      <c r="F14" s="43"/>
      <c r="G14" s="43"/>
      <c r="H14" s="43"/>
    </row>
    <row r="15" spans="1:8" ht="20" customHeight="1" thickBot="1">
      <c r="A15" s="234">
        <v>4210</v>
      </c>
      <c r="B15" s="234" t="s">
        <v>430</v>
      </c>
      <c r="C15" s="235" t="s">
        <v>386</v>
      </c>
      <c r="D15" s="233" vm="29">
        <v>-4217583.76</v>
      </c>
      <c r="F15" s="43"/>
      <c r="G15" s="43"/>
      <c r="H15" s="43"/>
    </row>
    <row r="16" spans="1:8" ht="20" customHeight="1" thickBot="1">
      <c r="A16" s="234">
        <v>4300</v>
      </c>
      <c r="B16" s="234" t="s">
        <v>396</v>
      </c>
      <c r="C16" s="235" t="s">
        <v>386</v>
      </c>
      <c r="D16" s="233" vm="30">
        <v>-3904067.8399999994</v>
      </c>
      <c r="F16" s="43"/>
      <c r="G16" s="43"/>
      <c r="H16" s="237"/>
    </row>
    <row r="17" spans="1:8" ht="20" customHeight="1" thickBot="1">
      <c r="A17" s="234">
        <v>4310</v>
      </c>
      <c r="B17" s="234" t="s">
        <v>397</v>
      </c>
      <c r="C17" s="235" t="s">
        <v>386</v>
      </c>
      <c r="D17" s="233" vm="31">
        <v>-7186856.6199999992</v>
      </c>
      <c r="F17" s="43"/>
      <c r="G17" s="43"/>
      <c r="H17" s="43"/>
    </row>
    <row r="18" spans="1:8" ht="20" customHeight="1" thickBot="1">
      <c r="A18" s="234">
        <v>4321</v>
      </c>
      <c r="B18" s="234" t="s">
        <v>398</v>
      </c>
      <c r="C18" s="235" t="s">
        <v>386</v>
      </c>
      <c r="D18" s="233" vm="32">
        <v>-5610727.0100000026</v>
      </c>
      <c r="F18" s="43"/>
      <c r="G18" s="43"/>
      <c r="H18" s="238"/>
    </row>
    <row r="19" spans="1:8" ht="20" customHeight="1" thickBot="1">
      <c r="A19" s="234">
        <v>4510</v>
      </c>
      <c r="B19" s="234" t="s">
        <v>399</v>
      </c>
      <c r="C19" s="235"/>
      <c r="D19" s="233" vm="33">
        <v>51001352.850000024</v>
      </c>
      <c r="F19" s="43"/>
      <c r="G19" s="43"/>
      <c r="H19" s="43"/>
    </row>
    <row r="20" spans="1:8" ht="20" customHeight="1" thickBot="1">
      <c r="A20" s="234">
        <v>4401</v>
      </c>
      <c r="B20" s="234" t="s">
        <v>400</v>
      </c>
      <c r="C20" s="235"/>
      <c r="D20" s="233" vm="34">
        <v>38483656.210000001</v>
      </c>
      <c r="F20" s="43"/>
      <c r="G20" s="43"/>
      <c r="H20" s="43"/>
    </row>
    <row r="21" spans="1:8" ht="20" customHeight="1" thickBot="1">
      <c r="A21" s="234">
        <v>48</v>
      </c>
      <c r="B21" s="234" t="s">
        <v>401</v>
      </c>
      <c r="C21" s="235"/>
      <c r="D21" s="233" vm="35">
        <v>2037944106.4099998</v>
      </c>
      <c r="F21" s="43"/>
      <c r="G21" s="43"/>
      <c r="H21" s="43"/>
    </row>
    <row r="22" spans="1:8" ht="20" customHeight="1" thickBot="1">
      <c r="A22" s="234"/>
      <c r="B22" s="234"/>
      <c r="C22" s="235"/>
      <c r="D22" s="233" t="s">
        <v>390</v>
      </c>
      <c r="F22" s="43"/>
      <c r="G22" s="43"/>
      <c r="H22" s="43"/>
    </row>
    <row r="23" spans="1:8" ht="20" customHeight="1" thickBot="1">
      <c r="A23" s="234">
        <v>4</v>
      </c>
      <c r="B23" s="234" t="s">
        <v>402</v>
      </c>
      <c r="C23" s="235"/>
      <c r="D23" s="233">
        <v>-7888555407.1700039</v>
      </c>
      <c r="F23" s="43"/>
      <c r="G23" s="43"/>
      <c r="H23" s="43"/>
    </row>
    <row r="24" spans="1:8" ht="20" customHeight="1" thickBot="1">
      <c r="A24" s="234"/>
      <c r="B24" s="234"/>
      <c r="C24" s="235"/>
      <c r="D24" s="233" t="s">
        <v>390</v>
      </c>
      <c r="F24" s="43"/>
      <c r="G24" s="43"/>
      <c r="H24" s="43"/>
    </row>
    <row r="25" spans="1:8" ht="20" customHeight="1" thickBot="1">
      <c r="A25" s="234">
        <v>992</v>
      </c>
      <c r="B25" s="234" t="s">
        <v>403</v>
      </c>
      <c r="C25" s="235"/>
      <c r="D25" s="233">
        <v>-1072321854.6600027</v>
      </c>
      <c r="F25" s="43"/>
      <c r="G25" s="43"/>
      <c r="H25" s="43"/>
    </row>
    <row r="26" spans="1:8" ht="20" customHeight="1" thickBot="1">
      <c r="A26" s="234"/>
      <c r="B26" s="234"/>
      <c r="C26" s="235"/>
      <c r="D26" s="233" t="s">
        <v>390</v>
      </c>
      <c r="F26" s="43"/>
      <c r="G26" s="43"/>
      <c r="H26" s="43"/>
    </row>
    <row r="27" spans="1:8" ht="20" customHeight="1" thickBot="1">
      <c r="A27" s="234">
        <v>500</v>
      </c>
      <c r="B27" s="234" t="s">
        <v>404</v>
      </c>
      <c r="C27" s="235" t="s">
        <v>386</v>
      </c>
      <c r="D27" s="233" vm="36">
        <v>-340094765.25000012</v>
      </c>
      <c r="F27" s="43"/>
      <c r="G27" s="43"/>
      <c r="H27" s="43"/>
    </row>
    <row r="28" spans="1:8" ht="20" customHeight="1" thickBot="1">
      <c r="A28" s="234">
        <v>501</v>
      </c>
      <c r="B28" s="234" t="s">
        <v>405</v>
      </c>
      <c r="C28" s="235" t="s">
        <v>386</v>
      </c>
      <c r="D28" s="233" vm="37">
        <v>-1423563.22</v>
      </c>
      <c r="F28" s="43"/>
      <c r="G28" s="43"/>
      <c r="H28" s="43"/>
    </row>
    <row r="29" spans="1:8" ht="20" customHeight="1" thickBot="1">
      <c r="A29" s="234">
        <v>510</v>
      </c>
      <c r="B29" s="234" t="s">
        <v>406</v>
      </c>
      <c r="C29" s="235" t="s">
        <v>386</v>
      </c>
      <c r="D29" s="233" vm="38">
        <v>622187.16000000574</v>
      </c>
      <c r="F29" s="43"/>
      <c r="G29" s="43"/>
      <c r="H29" s="43"/>
    </row>
    <row r="30" spans="1:8" ht="20" customHeight="1" thickBot="1">
      <c r="A30" s="234">
        <v>516</v>
      </c>
      <c r="B30" s="234" t="s">
        <v>407</v>
      </c>
      <c r="C30" s="235" t="s">
        <v>386</v>
      </c>
      <c r="D30" s="233" vm="39">
        <v>-17619735.300000004</v>
      </c>
      <c r="F30" s="43"/>
      <c r="G30" s="43"/>
      <c r="H30" s="43"/>
    </row>
    <row r="31" spans="1:8" ht="20" customHeight="1" thickBot="1">
      <c r="A31" s="234">
        <v>517</v>
      </c>
      <c r="B31" s="234" t="s">
        <v>408</v>
      </c>
      <c r="C31" s="235" t="s">
        <v>386</v>
      </c>
      <c r="D31" s="233" vm="40">
        <v>-5946750.7699999996</v>
      </c>
      <c r="F31" s="43"/>
      <c r="G31" s="43"/>
      <c r="H31" s="43"/>
    </row>
    <row r="32" spans="1:8" ht="20" customHeight="1" thickBot="1">
      <c r="A32" s="234">
        <v>519</v>
      </c>
      <c r="B32" s="234" t="s">
        <v>409</v>
      </c>
      <c r="C32" s="235" t="s">
        <v>386</v>
      </c>
      <c r="D32" s="233" vm="41">
        <v>-10783881.610000001</v>
      </c>
      <c r="F32" s="43"/>
      <c r="G32" s="43"/>
      <c r="H32" s="43"/>
    </row>
    <row r="33" spans="1:8" ht="20" customHeight="1" thickBot="1">
      <c r="A33" s="234"/>
      <c r="B33" s="234"/>
      <c r="C33" s="235"/>
      <c r="D33" s="233" t="s">
        <v>390</v>
      </c>
      <c r="F33" s="43"/>
      <c r="G33" s="43"/>
      <c r="H33" s="43"/>
    </row>
    <row r="34" spans="1:8" ht="20" customHeight="1" thickBot="1">
      <c r="A34" s="234">
        <v>5</v>
      </c>
      <c r="B34" s="234" t="s">
        <v>410</v>
      </c>
      <c r="C34" s="235"/>
      <c r="D34" s="233">
        <v>-375246508.99000013</v>
      </c>
      <c r="F34" s="43"/>
      <c r="G34" s="43"/>
      <c r="H34" s="43"/>
    </row>
    <row r="35" spans="1:8" ht="20" customHeight="1" thickBot="1">
      <c r="A35" s="234"/>
      <c r="B35" s="234"/>
      <c r="C35" s="235"/>
      <c r="D35" s="233" t="s">
        <v>390</v>
      </c>
      <c r="F35" s="43"/>
      <c r="G35" s="43"/>
      <c r="H35" s="43"/>
    </row>
    <row r="36" spans="1:8" ht="20" customHeight="1" thickBot="1">
      <c r="A36" s="234">
        <v>993</v>
      </c>
      <c r="B36" s="234" t="s">
        <v>411</v>
      </c>
      <c r="C36" s="235" t="s">
        <v>386</v>
      </c>
      <c r="D36" s="233">
        <v>-8263801916.1600037</v>
      </c>
      <c r="F36" s="43"/>
      <c r="G36" s="43"/>
      <c r="H36" s="43"/>
    </row>
    <row r="37" spans="1:8" ht="20" customHeight="1" thickBot="1">
      <c r="A37" s="234"/>
      <c r="B37" s="234"/>
      <c r="C37" s="235"/>
      <c r="D37" s="233" t="s">
        <v>390</v>
      </c>
      <c r="F37" s="43"/>
      <c r="G37" s="43"/>
      <c r="H37" s="43"/>
    </row>
    <row r="38" spans="1:8" ht="20" customHeight="1" thickBot="1">
      <c r="A38" s="234">
        <v>994</v>
      </c>
      <c r="B38" s="234" t="s">
        <v>412</v>
      </c>
      <c r="C38" s="235"/>
      <c r="D38" s="233">
        <v>-1447568363.6500025</v>
      </c>
      <c r="F38" s="43"/>
      <c r="G38" s="43"/>
      <c r="H38" s="43"/>
    </row>
    <row r="39" spans="1:8" ht="20" customHeight="1" thickBot="1">
      <c r="A39" s="234"/>
      <c r="B39" s="234"/>
      <c r="C39" s="235"/>
      <c r="D39" s="233" t="s">
        <v>390</v>
      </c>
      <c r="F39" s="43"/>
      <c r="G39" s="43"/>
      <c r="H39" s="43"/>
    </row>
    <row r="40" spans="1:8" ht="20" customHeight="1" thickBot="1">
      <c r="A40" s="234">
        <v>70</v>
      </c>
      <c r="B40" s="234" t="s">
        <v>413</v>
      </c>
      <c r="C40" s="235"/>
      <c r="D40" s="233" vm="42">
        <v>12595472.42</v>
      </c>
      <c r="F40" s="43"/>
      <c r="G40" s="43"/>
      <c r="H40" s="43"/>
    </row>
    <row r="41" spans="1:8" ht="20" customHeight="1" thickBot="1">
      <c r="A41" s="234">
        <v>71</v>
      </c>
      <c r="B41" s="234" t="s">
        <v>414</v>
      </c>
      <c r="C41" s="235" t="s">
        <v>386</v>
      </c>
      <c r="D41" s="233" vm="43">
        <v>-3850468.3700000006</v>
      </c>
      <c r="F41" s="43"/>
      <c r="G41" s="43"/>
      <c r="H41" s="43"/>
    </row>
    <row r="42" spans="1:8" ht="20" customHeight="1" thickBot="1">
      <c r="A42" s="234">
        <v>73</v>
      </c>
      <c r="B42" s="234" t="s">
        <v>415</v>
      </c>
      <c r="C42" s="235"/>
      <c r="D42" s="233" vm="43">
        <v>102496266.59999999</v>
      </c>
      <c r="F42" s="43"/>
      <c r="G42" s="43"/>
      <c r="H42" s="43"/>
    </row>
    <row r="43" spans="1:8" ht="20" customHeight="1" thickBot="1">
      <c r="A43" s="234">
        <v>810</v>
      </c>
      <c r="B43" s="234" t="s">
        <v>416</v>
      </c>
      <c r="C43" s="235"/>
      <c r="D43" s="233" vm="44">
        <v>10708784.040000001</v>
      </c>
      <c r="F43" s="43"/>
      <c r="G43" s="43"/>
      <c r="H43" s="43"/>
    </row>
    <row r="44" spans="1:8" ht="20" customHeight="1" thickBot="1">
      <c r="A44" s="234">
        <v>820</v>
      </c>
      <c r="B44" s="234" t="s">
        <v>417</v>
      </c>
      <c r="C44" s="235" t="s">
        <v>386</v>
      </c>
      <c r="D44" s="233" vm="44">
        <v>-3401303.96</v>
      </c>
      <c r="F44" s="43"/>
      <c r="G44" s="43"/>
      <c r="H44" s="43"/>
    </row>
    <row r="45" spans="1:8" ht="20" customHeight="1" thickBot="1">
      <c r="A45" s="234">
        <v>9</v>
      </c>
      <c r="B45" s="234" t="s">
        <v>418</v>
      </c>
      <c r="C45" s="235"/>
      <c r="D45" s="233">
        <v>0</v>
      </c>
      <c r="F45" s="43"/>
      <c r="G45" s="43"/>
      <c r="H45" s="43"/>
    </row>
    <row r="46" spans="1:8" ht="20" customHeight="1" thickBot="1">
      <c r="A46" s="234"/>
      <c r="B46" s="234"/>
      <c r="C46" s="235"/>
      <c r="D46" s="233" t="s">
        <v>390</v>
      </c>
      <c r="F46" s="43"/>
      <c r="G46" s="43"/>
      <c r="H46" s="43"/>
    </row>
    <row r="47" spans="1:8" ht="20" customHeight="1" thickBot="1">
      <c r="A47" s="234">
        <v>995</v>
      </c>
      <c r="B47" s="234" t="s">
        <v>1867</v>
      </c>
      <c r="C47" s="235"/>
      <c r="D47" s="233">
        <v>118548750.73</v>
      </c>
      <c r="F47" s="43"/>
      <c r="G47" s="43"/>
      <c r="H47" s="43"/>
    </row>
    <row r="48" spans="1:8" ht="20" customHeight="1" thickBot="1">
      <c r="A48" s="234"/>
      <c r="B48" s="234"/>
      <c r="C48" s="235"/>
      <c r="D48" s="233" t="s">
        <v>390</v>
      </c>
      <c r="F48" s="43"/>
      <c r="G48" s="43"/>
      <c r="H48" s="43"/>
    </row>
    <row r="49" spans="1:8" ht="20" customHeight="1" thickBot="1">
      <c r="A49" s="242">
        <v>999</v>
      </c>
      <c r="B49" s="242" t="s">
        <v>419</v>
      </c>
      <c r="C49" s="243"/>
      <c r="D49" s="244">
        <v>-1329019612.9200025</v>
      </c>
      <c r="F49" s="43"/>
      <c r="G49" s="43"/>
      <c r="H49" s="43"/>
    </row>
    <row r="50" spans="1:8" ht="15.5" customHeight="1">
      <c r="A50" s="3" t="s">
        <v>346</v>
      </c>
    </row>
    <row r="52" spans="1:8">
      <c r="A52" s="247" t="s">
        <v>431</v>
      </c>
    </row>
    <row r="53" spans="1:8">
      <c r="A53" s="258"/>
    </row>
    <row r="54" spans="1:8">
      <c r="A54" s="3" t="s">
        <v>432</v>
      </c>
    </row>
    <row r="57" spans="1:8">
      <c r="A57" s="3" t="s">
        <v>302</v>
      </c>
    </row>
    <row r="63" spans="1:8">
      <c r="B63" s="259"/>
      <c r="C63" s="259"/>
      <c r="D63" s="43"/>
    </row>
    <row r="66" spans="1:4" ht="14">
      <c r="A66" s="260"/>
      <c r="B66" s="260"/>
      <c r="C66" s="261"/>
      <c r="D66" s="262"/>
    </row>
  </sheetData>
  <mergeCells count="1">
    <mergeCell ref="A2:B2"/>
  </mergeCells>
  <pageMargins left="0.6" right="0.63" top="0.78" bottom="0.49" header="0.42" footer="0.4921259845"/>
  <pageSetup paperSize="9" scale="71" orientation="portrait"/>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6194F-E08A-064A-8698-BC2125D426A4}">
  <sheetPr>
    <pageSetUpPr fitToPage="1"/>
  </sheetPr>
  <dimension ref="A1:H66"/>
  <sheetViews>
    <sheetView zoomScaleNormal="100" workbookViewId="0"/>
  </sheetViews>
  <sheetFormatPr baseColWidth="10" defaultColWidth="11.3984375" defaultRowHeight="13"/>
  <cols>
    <col min="1" max="1" width="12.3984375" style="3" customWidth="1"/>
    <col min="2" max="2" width="69.3984375" style="245" customWidth="1"/>
    <col min="3" max="3" width="7.59765625" style="245" customWidth="1"/>
    <col min="4" max="4" width="20.19921875" style="246" customWidth="1"/>
    <col min="5" max="16384" width="11.3984375" style="3"/>
  </cols>
  <sheetData>
    <row r="1" spans="1:8" s="1" customFormat="1" ht="14" customHeight="1">
      <c r="B1" s="221"/>
      <c r="C1" s="221"/>
      <c r="D1" s="222"/>
    </row>
    <row r="2" spans="1:8" s="1" customFormat="1" ht="29.5" customHeight="1">
      <c r="A2" s="2010" t="s">
        <v>433</v>
      </c>
      <c r="B2" s="2011"/>
      <c r="C2" s="221"/>
      <c r="D2" s="223">
        <v>2013</v>
      </c>
    </row>
    <row r="3" spans="1:8" ht="39" customHeight="1">
      <c r="A3" s="224" t="s">
        <v>380</v>
      </c>
      <c r="B3" s="224"/>
      <c r="C3" s="225"/>
      <c r="D3" s="226" t="s">
        <v>381</v>
      </c>
    </row>
    <row r="4" spans="1:8" ht="38" customHeight="1">
      <c r="A4" s="227"/>
      <c r="B4" s="228"/>
      <c r="C4" s="229"/>
      <c r="D4" s="230" t="s">
        <v>382</v>
      </c>
    </row>
    <row r="5" spans="1:8" ht="20" customHeight="1" thickBot="1">
      <c r="A5" s="231">
        <v>3012</v>
      </c>
      <c r="B5" s="231" t="s">
        <v>427</v>
      </c>
      <c r="C5" s="232"/>
      <c r="D5" s="233" vm="45">
        <v>4718013408.2600002</v>
      </c>
      <c r="F5" s="43"/>
      <c r="G5" s="43"/>
      <c r="H5" s="43"/>
    </row>
    <row r="6" spans="1:8" ht="20" customHeight="1" thickBot="1">
      <c r="A6" s="234">
        <v>331</v>
      </c>
      <c r="B6" s="234" t="s">
        <v>385</v>
      </c>
      <c r="C6" s="235" t="s">
        <v>386</v>
      </c>
      <c r="D6" s="233" vm="46">
        <v>-28205204.699999996</v>
      </c>
      <c r="F6" s="43"/>
      <c r="G6" s="43"/>
      <c r="H6" s="43"/>
    </row>
    <row r="7" spans="1:8" ht="20" customHeight="1" thickBot="1">
      <c r="A7" s="234">
        <v>3501</v>
      </c>
      <c r="B7" s="234" t="s">
        <v>387</v>
      </c>
      <c r="C7" s="235" t="s">
        <v>386</v>
      </c>
      <c r="D7" s="233" vm="47">
        <v>-17446991.589999996</v>
      </c>
      <c r="F7" s="43"/>
      <c r="G7" s="43"/>
      <c r="H7" s="43"/>
    </row>
    <row r="8" spans="1:8" ht="20" customHeight="1" thickBot="1">
      <c r="A8" s="234">
        <v>36</v>
      </c>
      <c r="B8" s="234" t="s">
        <v>388</v>
      </c>
      <c r="C8" s="235"/>
      <c r="D8" s="233" vm="48">
        <v>357230802.80000007</v>
      </c>
      <c r="F8" s="43"/>
      <c r="G8" s="43"/>
      <c r="H8" s="43"/>
    </row>
    <row r="9" spans="1:8" ht="20" customHeight="1" thickBot="1">
      <c r="A9" s="234">
        <v>37</v>
      </c>
      <c r="B9" s="234" t="s">
        <v>389</v>
      </c>
      <c r="C9" s="235" t="s">
        <v>386</v>
      </c>
      <c r="D9" s="233" vm="49">
        <v>-353906702.57999992</v>
      </c>
      <c r="F9" s="43"/>
      <c r="G9" s="43"/>
      <c r="H9" s="43"/>
    </row>
    <row r="10" spans="1:8" ht="20" customHeight="1" thickBot="1">
      <c r="A10" s="234"/>
      <c r="B10" s="234"/>
      <c r="C10" s="235"/>
      <c r="D10" s="233" t="s">
        <v>390</v>
      </c>
      <c r="F10" s="43"/>
      <c r="G10" s="43"/>
      <c r="H10" s="43"/>
    </row>
    <row r="11" spans="1:8" ht="20" customHeight="1" thickBot="1">
      <c r="A11" s="234">
        <v>3</v>
      </c>
      <c r="B11" s="234" t="s">
        <v>391</v>
      </c>
      <c r="C11" s="235"/>
      <c r="D11" s="233">
        <v>4675685312.1900005</v>
      </c>
      <c r="F11" s="43"/>
      <c r="G11" s="43"/>
      <c r="H11" s="43"/>
    </row>
    <row r="12" spans="1:8" ht="20" customHeight="1" thickBot="1">
      <c r="A12" s="234"/>
      <c r="B12" s="234"/>
      <c r="C12" s="235"/>
      <c r="D12" s="233" t="s">
        <v>390</v>
      </c>
      <c r="F12" s="43"/>
      <c r="G12" s="43"/>
      <c r="H12" s="43"/>
    </row>
    <row r="13" spans="1:8" ht="20" customHeight="1" thickBot="1">
      <c r="A13" s="234">
        <v>4012</v>
      </c>
      <c r="B13" s="234" t="s">
        <v>428</v>
      </c>
      <c r="C13" s="235" t="s">
        <v>386</v>
      </c>
      <c r="D13" s="233" vm="50">
        <v>-4572059469.8899984</v>
      </c>
      <c r="F13" s="43"/>
      <c r="G13" s="43"/>
      <c r="H13" s="43"/>
    </row>
    <row r="14" spans="1:8" ht="20" customHeight="1" thickBot="1">
      <c r="A14" s="234">
        <v>4202</v>
      </c>
      <c r="B14" s="234" t="s">
        <v>429</v>
      </c>
      <c r="C14" s="235"/>
      <c r="D14" s="233" vm="51">
        <v>841162678.44999981</v>
      </c>
      <c r="F14" s="43"/>
      <c r="G14" s="43"/>
      <c r="H14" s="43"/>
    </row>
    <row r="15" spans="1:8" ht="20" customHeight="1" thickBot="1">
      <c r="A15" s="234">
        <v>4212</v>
      </c>
      <c r="B15" s="234" t="s">
        <v>430</v>
      </c>
      <c r="C15" s="235" t="s">
        <v>386</v>
      </c>
      <c r="D15" s="233" vm="52">
        <v>-2412973.2800000003</v>
      </c>
      <c r="F15" s="43"/>
      <c r="G15" s="43"/>
      <c r="H15" s="43"/>
    </row>
    <row r="16" spans="1:8" ht="20" customHeight="1" thickBot="1">
      <c r="A16" s="234">
        <v>4300</v>
      </c>
      <c r="B16" s="234" t="s">
        <v>396</v>
      </c>
      <c r="C16" s="235" t="s">
        <v>386</v>
      </c>
      <c r="D16" s="233" vm="53">
        <v>-1033023.1299999999</v>
      </c>
      <c r="F16" s="43"/>
      <c r="G16" s="43"/>
      <c r="H16" s="237"/>
    </row>
    <row r="17" spans="1:8" ht="20" customHeight="1" thickBot="1">
      <c r="A17" s="234">
        <v>4310</v>
      </c>
      <c r="B17" s="234" t="s">
        <v>397</v>
      </c>
      <c r="C17" s="235" t="s">
        <v>386</v>
      </c>
      <c r="D17" s="233" vm="54">
        <v>-2616224.8100000005</v>
      </c>
      <c r="F17" s="43"/>
      <c r="G17" s="43"/>
      <c r="H17" s="43"/>
    </row>
    <row r="18" spans="1:8" ht="20" customHeight="1" thickBot="1">
      <c r="A18" s="234">
        <v>4321</v>
      </c>
      <c r="B18" s="234" t="s">
        <v>398</v>
      </c>
      <c r="C18" s="235" t="s">
        <v>386</v>
      </c>
      <c r="D18" s="233" vm="55">
        <v>-2857146.72</v>
      </c>
      <c r="F18" s="43"/>
      <c r="G18" s="43"/>
      <c r="H18" s="238"/>
    </row>
    <row r="19" spans="1:8" ht="20" customHeight="1" thickBot="1">
      <c r="A19" s="234">
        <v>4510</v>
      </c>
      <c r="B19" s="234" t="s">
        <v>399</v>
      </c>
      <c r="C19" s="235"/>
      <c r="D19" s="233" vm="56">
        <v>52543329.31000001</v>
      </c>
      <c r="F19" s="43"/>
      <c r="G19" s="43"/>
      <c r="H19" s="43"/>
    </row>
    <row r="20" spans="1:8" ht="20" customHeight="1" thickBot="1">
      <c r="A20" s="234">
        <v>4401</v>
      </c>
      <c r="B20" s="234" t="s">
        <v>400</v>
      </c>
      <c r="C20" s="235"/>
      <c r="D20" s="233" vm="57">
        <v>10249154.540000001</v>
      </c>
      <c r="F20" s="43"/>
      <c r="G20" s="43"/>
      <c r="H20" s="43"/>
    </row>
    <row r="21" spans="1:8" ht="20" customHeight="1" thickBot="1">
      <c r="A21" s="234">
        <v>48</v>
      </c>
      <c r="B21" s="234" t="s">
        <v>401</v>
      </c>
      <c r="C21" s="235"/>
      <c r="D21" s="233" vm="58">
        <v>91885551.969999909</v>
      </c>
      <c r="F21" s="43"/>
      <c r="G21" s="43"/>
      <c r="H21" s="43"/>
    </row>
    <row r="22" spans="1:8" ht="20" customHeight="1" thickBot="1">
      <c r="A22" s="234"/>
      <c r="B22" s="234"/>
      <c r="C22" s="235"/>
      <c r="D22" s="233" t="s">
        <v>390</v>
      </c>
      <c r="F22" s="43"/>
      <c r="G22" s="43"/>
      <c r="H22" s="43"/>
    </row>
    <row r="23" spans="1:8" ht="20" customHeight="1" thickBot="1">
      <c r="A23" s="234">
        <v>4</v>
      </c>
      <c r="B23" s="234" t="s">
        <v>402</v>
      </c>
      <c r="C23" s="235"/>
      <c r="D23" s="233">
        <v>-3585138123.559999</v>
      </c>
      <c r="F23" s="43"/>
      <c r="G23" s="43"/>
      <c r="H23" s="43"/>
    </row>
    <row r="24" spans="1:8" ht="20" customHeight="1" thickBot="1">
      <c r="A24" s="234"/>
      <c r="B24" s="234"/>
      <c r="C24" s="235"/>
      <c r="D24" s="233" t="s">
        <v>390</v>
      </c>
      <c r="F24" s="43"/>
      <c r="G24" s="43"/>
      <c r="H24" s="43"/>
    </row>
    <row r="25" spans="1:8" ht="20" customHeight="1" thickBot="1">
      <c r="A25" s="234">
        <v>992</v>
      </c>
      <c r="B25" s="234" t="s">
        <v>403</v>
      </c>
      <c r="C25" s="235"/>
      <c r="D25" s="233">
        <v>1090547188.6300015</v>
      </c>
      <c r="F25" s="43"/>
      <c r="G25" s="43"/>
      <c r="H25" s="43"/>
    </row>
    <row r="26" spans="1:8" ht="20" customHeight="1" thickBot="1">
      <c r="A26" s="234"/>
      <c r="B26" s="234"/>
      <c r="C26" s="235"/>
      <c r="D26" s="233" t="s">
        <v>390</v>
      </c>
      <c r="F26" s="43"/>
      <c r="G26" s="43"/>
      <c r="H26" s="43"/>
    </row>
    <row r="27" spans="1:8" ht="20" customHeight="1" thickBot="1">
      <c r="A27" s="234">
        <v>500</v>
      </c>
      <c r="B27" s="234" t="s">
        <v>404</v>
      </c>
      <c r="C27" s="235" t="s">
        <v>386</v>
      </c>
      <c r="D27" s="233" vm="59">
        <v>-184749426.46000001</v>
      </c>
      <c r="F27" s="43"/>
      <c r="G27" s="43"/>
      <c r="H27" s="43"/>
    </row>
    <row r="28" spans="1:8" ht="20" customHeight="1" thickBot="1">
      <c r="A28" s="234">
        <v>501</v>
      </c>
      <c r="B28" s="234" t="s">
        <v>405</v>
      </c>
      <c r="C28" s="235" t="s">
        <v>386</v>
      </c>
      <c r="D28" s="233" vm="60">
        <v>-832461.2</v>
      </c>
      <c r="F28" s="43"/>
      <c r="G28" s="43"/>
      <c r="H28" s="43"/>
    </row>
    <row r="29" spans="1:8" ht="20" customHeight="1" thickBot="1">
      <c r="A29" s="234">
        <v>510</v>
      </c>
      <c r="B29" s="234" t="s">
        <v>406</v>
      </c>
      <c r="C29" s="235" t="s">
        <v>386</v>
      </c>
      <c r="D29" s="233" vm="61">
        <v>-17098478.460000008</v>
      </c>
      <c r="F29" s="43"/>
      <c r="G29" s="43"/>
      <c r="H29" s="43"/>
    </row>
    <row r="30" spans="1:8" ht="20" customHeight="1" thickBot="1">
      <c r="A30" s="234">
        <v>516</v>
      </c>
      <c r="B30" s="234" t="s">
        <v>407</v>
      </c>
      <c r="C30" s="235" t="s">
        <v>386</v>
      </c>
      <c r="D30" s="233" vm="62">
        <v>-9891081.9800000023</v>
      </c>
      <c r="F30" s="43"/>
      <c r="G30" s="43"/>
      <c r="H30" s="43"/>
    </row>
    <row r="31" spans="1:8" ht="20" customHeight="1" thickBot="1">
      <c r="A31" s="234">
        <v>517</v>
      </c>
      <c r="B31" s="234" t="s">
        <v>408</v>
      </c>
      <c r="C31" s="235" t="s">
        <v>386</v>
      </c>
      <c r="D31" s="233" vm="63">
        <v>-4306391.1000000015</v>
      </c>
      <c r="F31" s="43"/>
      <c r="G31" s="43"/>
      <c r="H31" s="43"/>
    </row>
    <row r="32" spans="1:8" ht="20" customHeight="1" thickBot="1">
      <c r="A32" s="234">
        <v>519</v>
      </c>
      <c r="B32" s="234" t="s">
        <v>409</v>
      </c>
      <c r="C32" s="235" t="s">
        <v>386</v>
      </c>
      <c r="D32" s="233" vm="64">
        <v>-5505259.71</v>
      </c>
      <c r="F32" s="43"/>
      <c r="G32" s="43"/>
      <c r="H32" s="43"/>
    </row>
    <row r="33" spans="1:8" ht="20" customHeight="1" thickBot="1">
      <c r="A33" s="234"/>
      <c r="B33" s="234"/>
      <c r="C33" s="235"/>
      <c r="D33" s="233" t="s">
        <v>390</v>
      </c>
      <c r="F33" s="43"/>
      <c r="G33" s="43"/>
      <c r="H33" s="43"/>
    </row>
    <row r="34" spans="1:8" ht="20" customHeight="1" thickBot="1">
      <c r="A34" s="234">
        <v>5</v>
      </c>
      <c r="B34" s="234" t="s">
        <v>410</v>
      </c>
      <c r="C34" s="235"/>
      <c r="D34" s="233">
        <v>-222383098.91</v>
      </c>
      <c r="F34" s="43"/>
      <c r="G34" s="43"/>
      <c r="H34" s="43"/>
    </row>
    <row r="35" spans="1:8" ht="20" customHeight="1" thickBot="1">
      <c r="A35" s="234"/>
      <c r="B35" s="234"/>
      <c r="C35" s="235"/>
      <c r="D35" s="233" t="s">
        <v>390</v>
      </c>
      <c r="F35" s="43"/>
      <c r="G35" s="43"/>
      <c r="H35" s="43"/>
    </row>
    <row r="36" spans="1:8" ht="20" customHeight="1" thickBot="1">
      <c r="A36" s="234">
        <v>993</v>
      </c>
      <c r="B36" s="234" t="s">
        <v>411</v>
      </c>
      <c r="C36" s="235" t="s">
        <v>386</v>
      </c>
      <c r="D36" s="233">
        <v>-3807521222.4699988</v>
      </c>
      <c r="F36" s="43"/>
      <c r="G36" s="43"/>
      <c r="H36" s="43"/>
    </row>
    <row r="37" spans="1:8" ht="20" customHeight="1" thickBot="1">
      <c r="A37" s="234"/>
      <c r="B37" s="234"/>
      <c r="C37" s="235"/>
      <c r="D37" s="233" t="s">
        <v>390</v>
      </c>
      <c r="F37" s="43"/>
      <c r="G37" s="43"/>
      <c r="H37" s="43"/>
    </row>
    <row r="38" spans="1:8" ht="20" customHeight="1" thickBot="1">
      <c r="A38" s="234">
        <v>994</v>
      </c>
      <c r="B38" s="234" t="s">
        <v>412</v>
      </c>
      <c r="C38" s="235"/>
      <c r="D38" s="233">
        <v>868164089.7200017</v>
      </c>
      <c r="F38" s="43"/>
      <c r="G38" s="43"/>
      <c r="H38" s="43"/>
    </row>
    <row r="39" spans="1:8" ht="20" customHeight="1" thickBot="1">
      <c r="A39" s="234"/>
      <c r="B39" s="234"/>
      <c r="C39" s="235"/>
      <c r="D39" s="233" t="s">
        <v>390</v>
      </c>
      <c r="F39" s="43"/>
      <c r="G39" s="43"/>
      <c r="H39" s="43"/>
    </row>
    <row r="40" spans="1:8" ht="20" customHeight="1" thickBot="1">
      <c r="A40" s="234">
        <v>70</v>
      </c>
      <c r="B40" s="234" t="s">
        <v>413</v>
      </c>
      <c r="C40" s="235"/>
      <c r="D40" s="233" vm="65">
        <v>10415451.539999999</v>
      </c>
      <c r="F40" s="43"/>
      <c r="G40" s="43"/>
      <c r="H40" s="43"/>
    </row>
    <row r="41" spans="1:8" ht="20" customHeight="1" thickBot="1">
      <c r="A41" s="234">
        <v>71</v>
      </c>
      <c r="B41" s="234" t="s">
        <v>414</v>
      </c>
      <c r="C41" s="235" t="s">
        <v>386</v>
      </c>
      <c r="D41" s="233" vm="66">
        <v>-2592778.2399999998</v>
      </c>
      <c r="F41" s="43"/>
      <c r="G41" s="43"/>
      <c r="H41" s="43"/>
    </row>
    <row r="42" spans="1:8" ht="20" customHeight="1" thickBot="1">
      <c r="A42" s="234">
        <v>73</v>
      </c>
      <c r="B42" s="234" t="s">
        <v>415</v>
      </c>
      <c r="C42" s="235"/>
      <c r="D42" s="233" vm="66">
        <v>74078477.799999982</v>
      </c>
      <c r="F42" s="43"/>
      <c r="G42" s="43"/>
      <c r="H42" s="43"/>
    </row>
    <row r="43" spans="1:8" ht="20" customHeight="1" thickBot="1">
      <c r="A43" s="234">
        <v>810</v>
      </c>
      <c r="B43" s="234" t="s">
        <v>416</v>
      </c>
      <c r="C43" s="235"/>
      <c r="D43" s="233" vm="67">
        <v>4794458</v>
      </c>
      <c r="F43" s="43"/>
      <c r="G43" s="43"/>
      <c r="H43" s="43"/>
    </row>
    <row r="44" spans="1:8" ht="20" customHeight="1" thickBot="1">
      <c r="A44" s="234">
        <v>820</v>
      </c>
      <c r="B44" s="234" t="s">
        <v>417</v>
      </c>
      <c r="C44" s="235" t="s">
        <v>386</v>
      </c>
      <c r="D44" s="233" vm="67">
        <v>-1758181.95</v>
      </c>
      <c r="F44" s="43"/>
      <c r="G44" s="43"/>
      <c r="H44" s="43"/>
    </row>
    <row r="45" spans="1:8" ht="20" customHeight="1" thickBot="1">
      <c r="A45" s="234">
        <v>9</v>
      </c>
      <c r="B45" s="234" t="s">
        <v>418</v>
      </c>
      <c r="C45" s="235"/>
      <c r="D45" s="233">
        <v>0</v>
      </c>
      <c r="F45" s="43"/>
      <c r="G45" s="43"/>
      <c r="H45" s="43"/>
    </row>
    <row r="46" spans="1:8" ht="20" customHeight="1" thickBot="1">
      <c r="A46" s="234"/>
      <c r="B46" s="234"/>
      <c r="C46" s="235"/>
      <c r="D46" s="233" t="s">
        <v>390</v>
      </c>
      <c r="F46" s="43"/>
      <c r="G46" s="43"/>
      <c r="H46" s="43"/>
    </row>
    <row r="47" spans="1:8" ht="20" customHeight="1" thickBot="1">
      <c r="A47" s="234">
        <v>995</v>
      </c>
      <c r="B47" s="234" t="s">
        <v>1867</v>
      </c>
      <c r="C47" s="235"/>
      <c r="D47" s="233">
        <v>84937427.149999976</v>
      </c>
      <c r="F47" s="43"/>
      <c r="G47" s="43"/>
      <c r="H47" s="43"/>
    </row>
    <row r="48" spans="1:8" ht="20" customHeight="1" thickBot="1">
      <c r="A48" s="234"/>
      <c r="B48" s="234"/>
      <c r="C48" s="235"/>
      <c r="D48" s="233" t="s">
        <v>390</v>
      </c>
      <c r="F48" s="43"/>
      <c r="G48" s="43"/>
      <c r="H48" s="43"/>
    </row>
    <row r="49" spans="1:8" ht="20" customHeight="1" thickBot="1">
      <c r="A49" s="242">
        <v>999</v>
      </c>
      <c r="B49" s="242" t="s">
        <v>419</v>
      </c>
      <c r="C49" s="243"/>
      <c r="D49" s="244">
        <v>953101516.87000167</v>
      </c>
      <c r="F49" s="43"/>
      <c r="G49" s="43"/>
      <c r="H49" s="43"/>
    </row>
    <row r="50" spans="1:8" ht="15.5" customHeight="1">
      <c r="A50" s="3" t="s">
        <v>346</v>
      </c>
    </row>
    <row r="52" spans="1:8">
      <c r="A52" s="247" t="s">
        <v>431</v>
      </c>
    </row>
    <row r="53" spans="1:8">
      <c r="A53" s="258"/>
    </row>
    <row r="54" spans="1:8">
      <c r="A54" s="3" t="s">
        <v>434</v>
      </c>
    </row>
    <row r="57" spans="1:8">
      <c r="A57" s="3" t="s">
        <v>302</v>
      </c>
    </row>
    <row r="63" spans="1:8">
      <c r="B63" s="259"/>
      <c r="C63" s="259"/>
      <c r="D63" s="43"/>
    </row>
    <row r="66" spans="1:4" ht="14">
      <c r="A66" s="260"/>
      <c r="B66" s="260"/>
      <c r="C66" s="261"/>
      <c r="D66" s="262"/>
    </row>
  </sheetData>
  <mergeCells count="1">
    <mergeCell ref="A2:B2"/>
  </mergeCells>
  <pageMargins left="0.6" right="0.63" top="0.78" bottom="0.49" header="0.42" footer="0.4921259845"/>
  <pageSetup paperSize="9" scale="71" orientation="portrait"/>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1BB9-1277-5C4C-A277-5ECF4C14E52A}">
  <sheetPr>
    <pageSetUpPr fitToPage="1"/>
  </sheetPr>
  <dimension ref="A1:H66"/>
  <sheetViews>
    <sheetView zoomScaleNormal="100" workbookViewId="0"/>
  </sheetViews>
  <sheetFormatPr baseColWidth="10" defaultColWidth="11.3984375" defaultRowHeight="13"/>
  <cols>
    <col min="1" max="1" width="12.59765625" style="3" customWidth="1"/>
    <col min="2" max="2" width="69.19921875" style="245" customWidth="1"/>
    <col min="3" max="3" width="7.59765625" style="245" customWidth="1"/>
    <col min="4" max="4" width="20.19921875" style="246" customWidth="1"/>
    <col min="5" max="16384" width="11.3984375" style="3"/>
  </cols>
  <sheetData>
    <row r="1" spans="1:8" s="1" customFormat="1" ht="14" customHeight="1">
      <c r="B1" s="221"/>
      <c r="C1" s="221"/>
      <c r="D1" s="222"/>
    </row>
    <row r="2" spans="1:8" s="1" customFormat="1" ht="24.5" customHeight="1">
      <c r="A2" s="2010" t="s">
        <v>435</v>
      </c>
      <c r="B2" s="2011"/>
      <c r="C2" s="221"/>
      <c r="D2" s="223">
        <v>2013</v>
      </c>
    </row>
    <row r="3" spans="1:8" ht="39" customHeight="1">
      <c r="A3" s="224" t="s">
        <v>380</v>
      </c>
      <c r="B3" s="224"/>
      <c r="C3" s="225"/>
      <c r="D3" s="226" t="s">
        <v>381</v>
      </c>
    </row>
    <row r="4" spans="1:8" ht="38" customHeight="1">
      <c r="A4" s="227"/>
      <c r="B4" s="228"/>
      <c r="C4" s="229"/>
      <c r="D4" s="230" t="s">
        <v>382</v>
      </c>
    </row>
    <row r="5" spans="1:8" ht="20" customHeight="1" thickBot="1">
      <c r="A5" s="231">
        <v>3013</v>
      </c>
      <c r="B5" s="231" t="s">
        <v>427</v>
      </c>
      <c r="C5" s="232"/>
      <c r="D5" s="233" vm="68">
        <v>15425243.289999999</v>
      </c>
      <c r="F5" s="43"/>
      <c r="G5" s="43"/>
      <c r="H5" s="43"/>
    </row>
    <row r="6" spans="1:8" ht="20" customHeight="1" thickBot="1">
      <c r="A6" s="234">
        <v>331</v>
      </c>
      <c r="B6" s="234" t="s">
        <v>385</v>
      </c>
      <c r="C6" s="235" t="s">
        <v>386</v>
      </c>
      <c r="D6" s="233" vm="69">
        <v>-29052.829999999994</v>
      </c>
      <c r="F6" s="43"/>
      <c r="G6" s="43"/>
      <c r="H6" s="43"/>
    </row>
    <row r="7" spans="1:8" ht="20" customHeight="1" thickBot="1">
      <c r="A7" s="234">
        <v>3501</v>
      </c>
      <c r="B7" s="234" t="s">
        <v>387</v>
      </c>
      <c r="C7" s="235" t="s">
        <v>386</v>
      </c>
      <c r="D7" s="233" vm="70">
        <v>-38.68</v>
      </c>
      <c r="F7" s="43"/>
      <c r="G7" s="43"/>
      <c r="H7" s="43"/>
    </row>
    <row r="8" spans="1:8" ht="20" customHeight="1" thickBot="1">
      <c r="A8" s="234">
        <v>36</v>
      </c>
      <c r="B8" s="234" t="s">
        <v>388</v>
      </c>
      <c r="C8" s="235"/>
      <c r="D8" s="233" vm="71">
        <v>787188.72000000009</v>
      </c>
      <c r="F8" s="43"/>
      <c r="G8" s="43"/>
      <c r="H8" s="43"/>
    </row>
    <row r="9" spans="1:8" ht="20" customHeight="1" thickBot="1">
      <c r="A9" s="234">
        <v>37</v>
      </c>
      <c r="B9" s="234" t="s">
        <v>389</v>
      </c>
      <c r="C9" s="235" t="s">
        <v>386</v>
      </c>
      <c r="D9" s="233" vm="72">
        <v>-794722.22</v>
      </c>
      <c r="F9" s="43"/>
      <c r="G9" s="43"/>
      <c r="H9" s="43"/>
    </row>
    <row r="10" spans="1:8" ht="20" customHeight="1" thickBot="1">
      <c r="A10" s="234"/>
      <c r="B10" s="234"/>
      <c r="C10" s="235"/>
      <c r="D10" s="233" t="s">
        <v>390</v>
      </c>
      <c r="F10" s="43"/>
      <c r="G10" s="43"/>
      <c r="H10" s="43"/>
    </row>
    <row r="11" spans="1:8" ht="20" customHeight="1" thickBot="1">
      <c r="A11" s="234">
        <v>3</v>
      </c>
      <c r="B11" s="234" t="s">
        <v>391</v>
      </c>
      <c r="C11" s="235"/>
      <c r="D11" s="233">
        <v>15388618.279999999</v>
      </c>
      <c r="F11" s="43"/>
      <c r="G11" s="43"/>
      <c r="H11" s="43"/>
    </row>
    <row r="12" spans="1:8" ht="20" customHeight="1" thickBot="1">
      <c r="A12" s="234"/>
      <c r="B12" s="234"/>
      <c r="C12" s="235"/>
      <c r="D12" s="233" t="s">
        <v>390</v>
      </c>
      <c r="F12" s="43"/>
      <c r="G12" s="43"/>
      <c r="H12" s="43"/>
    </row>
    <row r="13" spans="1:8" ht="20" customHeight="1" thickBot="1">
      <c r="A13" s="234">
        <v>4013</v>
      </c>
      <c r="B13" s="234" t="s">
        <v>428</v>
      </c>
      <c r="C13" s="235" t="s">
        <v>386</v>
      </c>
      <c r="D13" s="233" vm="73">
        <v>-9126851.5099999998</v>
      </c>
      <c r="F13" s="43"/>
      <c r="G13" s="43"/>
      <c r="H13" s="43"/>
    </row>
    <row r="14" spans="1:8" ht="20" customHeight="1" thickBot="1">
      <c r="A14" s="234">
        <v>4203</v>
      </c>
      <c r="B14" s="234" t="s">
        <v>429</v>
      </c>
      <c r="C14" s="235"/>
      <c r="D14" s="233" vm="74">
        <v>1237056.54</v>
      </c>
      <c r="F14" s="43"/>
      <c r="G14" s="43"/>
      <c r="H14" s="43"/>
    </row>
    <row r="15" spans="1:8" ht="20" customHeight="1" thickBot="1">
      <c r="A15" s="234">
        <v>4213</v>
      </c>
      <c r="B15" s="234" t="s">
        <v>430</v>
      </c>
      <c r="C15" s="235" t="s">
        <v>386</v>
      </c>
      <c r="D15" s="233" vm="75">
        <v>-2783.7200000000003</v>
      </c>
      <c r="F15" s="43"/>
      <c r="G15" s="43"/>
      <c r="H15" s="43"/>
    </row>
    <row r="16" spans="1:8" ht="20" customHeight="1" thickBot="1">
      <c r="A16" s="234">
        <v>4300</v>
      </c>
      <c r="B16" s="234" t="s">
        <v>396</v>
      </c>
      <c r="C16" s="235" t="s">
        <v>386</v>
      </c>
      <c r="D16" s="233" vm="76">
        <v>-166.2</v>
      </c>
      <c r="F16" s="43"/>
      <c r="G16" s="43"/>
      <c r="H16" s="237"/>
    </row>
    <row r="17" spans="1:8" ht="20" customHeight="1" thickBot="1">
      <c r="A17" s="234">
        <v>4310</v>
      </c>
      <c r="B17" s="234" t="s">
        <v>397</v>
      </c>
      <c r="C17" s="235" t="s">
        <v>386</v>
      </c>
      <c r="D17" s="233" vm="77">
        <v>-1414.0900000000001</v>
      </c>
      <c r="F17" s="43"/>
      <c r="G17" s="43"/>
      <c r="H17" s="43"/>
    </row>
    <row r="18" spans="1:8" ht="20" customHeight="1" thickBot="1">
      <c r="A18" s="234">
        <v>4321</v>
      </c>
      <c r="B18" s="234" t="s">
        <v>398</v>
      </c>
      <c r="C18" s="235" t="s">
        <v>386</v>
      </c>
      <c r="D18" s="233" vm="78">
        <v>-5868.7800000000007</v>
      </c>
      <c r="F18" s="43"/>
      <c r="G18" s="43"/>
      <c r="H18" s="238"/>
    </row>
    <row r="19" spans="1:8" ht="20" customHeight="1" thickBot="1">
      <c r="A19" s="234">
        <v>4510</v>
      </c>
      <c r="B19" s="234" t="s">
        <v>399</v>
      </c>
      <c r="C19" s="235"/>
      <c r="D19" s="233" vm="79">
        <v>-111840.58</v>
      </c>
      <c r="F19" s="43"/>
      <c r="G19" s="43"/>
      <c r="H19" s="43"/>
    </row>
    <row r="20" spans="1:8" ht="20" customHeight="1" thickBot="1">
      <c r="A20" s="234">
        <v>4401</v>
      </c>
      <c r="B20" s="234" t="s">
        <v>400</v>
      </c>
      <c r="C20" s="235"/>
      <c r="D20" s="233">
        <v>0</v>
      </c>
      <c r="F20" s="43"/>
      <c r="G20" s="43"/>
      <c r="H20" s="43"/>
    </row>
    <row r="21" spans="1:8" ht="20" customHeight="1" thickBot="1">
      <c r="A21" s="234">
        <v>48</v>
      </c>
      <c r="B21" s="234" t="s">
        <v>401</v>
      </c>
      <c r="C21" s="235"/>
      <c r="D21" s="233" vm="80">
        <v>-1562602.96</v>
      </c>
      <c r="F21" s="43"/>
      <c r="G21" s="43"/>
      <c r="H21" s="43"/>
    </row>
    <row r="22" spans="1:8" ht="20" customHeight="1" thickBot="1">
      <c r="A22" s="234"/>
      <c r="B22" s="234"/>
      <c r="C22" s="235"/>
      <c r="D22" s="233" t="s">
        <v>390</v>
      </c>
      <c r="F22" s="43"/>
      <c r="G22" s="43"/>
      <c r="H22" s="43"/>
    </row>
    <row r="23" spans="1:8" ht="20" customHeight="1" thickBot="1">
      <c r="A23" s="234">
        <v>4</v>
      </c>
      <c r="B23" s="234" t="s">
        <v>402</v>
      </c>
      <c r="C23" s="235"/>
      <c r="D23" s="233">
        <v>-9574471.3000000007</v>
      </c>
      <c r="F23" s="43"/>
      <c r="G23" s="43"/>
      <c r="H23" s="43"/>
    </row>
    <row r="24" spans="1:8" ht="20" customHeight="1" thickBot="1">
      <c r="A24" s="234"/>
      <c r="B24" s="234"/>
      <c r="C24" s="235"/>
      <c r="D24" s="233" t="s">
        <v>390</v>
      </c>
      <c r="F24" s="43"/>
      <c r="G24" s="43"/>
      <c r="H24" s="43"/>
    </row>
    <row r="25" spans="1:8" ht="20" customHeight="1" thickBot="1">
      <c r="A25" s="234">
        <v>992</v>
      </c>
      <c r="B25" s="234" t="s">
        <v>403</v>
      </c>
      <c r="C25" s="235"/>
      <c r="D25" s="233">
        <v>5814146.9799999986</v>
      </c>
      <c r="F25" s="43"/>
      <c r="G25" s="43"/>
      <c r="H25" s="43"/>
    </row>
    <row r="26" spans="1:8" ht="20" customHeight="1" thickBot="1">
      <c r="A26" s="234"/>
      <c r="B26" s="234"/>
      <c r="C26" s="235"/>
      <c r="D26" s="233" t="s">
        <v>390</v>
      </c>
      <c r="F26" s="43"/>
      <c r="G26" s="43"/>
      <c r="H26" s="43"/>
    </row>
    <row r="27" spans="1:8" ht="20" customHeight="1" thickBot="1">
      <c r="A27" s="234">
        <v>500</v>
      </c>
      <c r="B27" s="234" t="s">
        <v>404</v>
      </c>
      <c r="C27" s="235" t="s">
        <v>386</v>
      </c>
      <c r="D27" s="233" vm="81">
        <v>-1384067.59</v>
      </c>
      <c r="F27" s="43"/>
      <c r="G27" s="43"/>
      <c r="H27" s="43"/>
    </row>
    <row r="28" spans="1:8" ht="20" customHeight="1" thickBot="1">
      <c r="A28" s="234">
        <v>501</v>
      </c>
      <c r="B28" s="234" t="s">
        <v>405</v>
      </c>
      <c r="C28" s="235" t="s">
        <v>386</v>
      </c>
      <c r="D28" s="233" vm="82">
        <v>-5273.49</v>
      </c>
      <c r="F28" s="43"/>
      <c r="G28" s="43"/>
      <c r="H28" s="43"/>
    </row>
    <row r="29" spans="1:8" ht="20" customHeight="1" thickBot="1">
      <c r="A29" s="234">
        <v>510</v>
      </c>
      <c r="B29" s="234" t="s">
        <v>406</v>
      </c>
      <c r="C29" s="235" t="s">
        <v>386</v>
      </c>
      <c r="D29" s="233" vm="83">
        <v>754566.28</v>
      </c>
      <c r="F29" s="43"/>
      <c r="G29" s="43"/>
      <c r="H29" s="43"/>
    </row>
    <row r="30" spans="1:8" ht="20" customHeight="1" thickBot="1">
      <c r="A30" s="234">
        <v>516</v>
      </c>
      <c r="B30" s="234" t="s">
        <v>407</v>
      </c>
      <c r="C30" s="235" t="s">
        <v>386</v>
      </c>
      <c r="D30" s="233" vm="84">
        <v>-91654.030000000013</v>
      </c>
      <c r="F30" s="43"/>
      <c r="G30" s="43"/>
      <c r="H30" s="43"/>
    </row>
    <row r="31" spans="1:8" ht="20" customHeight="1" thickBot="1">
      <c r="A31" s="234">
        <v>517</v>
      </c>
      <c r="B31" s="234" t="s">
        <v>408</v>
      </c>
      <c r="C31" s="235" t="s">
        <v>386</v>
      </c>
      <c r="D31" s="233" vm="85">
        <v>-2959.3</v>
      </c>
      <c r="F31" s="43"/>
      <c r="G31" s="43"/>
      <c r="H31" s="43"/>
    </row>
    <row r="32" spans="1:8" ht="20" customHeight="1" thickBot="1">
      <c r="A32" s="234">
        <v>519</v>
      </c>
      <c r="B32" s="234" t="s">
        <v>409</v>
      </c>
      <c r="C32" s="235" t="s">
        <v>386</v>
      </c>
      <c r="D32" s="233" vm="86">
        <v>-44011.330000000009</v>
      </c>
      <c r="F32" s="43"/>
      <c r="G32" s="43"/>
      <c r="H32" s="43"/>
    </row>
    <row r="33" spans="1:8" ht="20" customHeight="1" thickBot="1">
      <c r="A33" s="234"/>
      <c r="B33" s="234"/>
      <c r="C33" s="235"/>
      <c r="D33" s="233" t="s">
        <v>390</v>
      </c>
      <c r="F33" s="43"/>
      <c r="G33" s="43"/>
      <c r="H33" s="43"/>
    </row>
    <row r="34" spans="1:8" ht="20" customHeight="1" thickBot="1">
      <c r="A34" s="234">
        <v>5</v>
      </c>
      <c r="B34" s="234" t="s">
        <v>410</v>
      </c>
      <c r="C34" s="235"/>
      <c r="D34" s="233">
        <v>-773399.46000000008</v>
      </c>
      <c r="F34" s="43"/>
      <c r="G34" s="43"/>
      <c r="H34" s="43"/>
    </row>
    <row r="35" spans="1:8" ht="20" customHeight="1" thickBot="1">
      <c r="A35" s="234"/>
      <c r="B35" s="234"/>
      <c r="C35" s="235"/>
      <c r="D35" s="233" t="s">
        <v>390</v>
      </c>
      <c r="F35" s="43"/>
      <c r="G35" s="43"/>
      <c r="H35" s="43"/>
    </row>
    <row r="36" spans="1:8" ht="20" customHeight="1" thickBot="1">
      <c r="A36" s="234">
        <v>993</v>
      </c>
      <c r="B36" s="234" t="s">
        <v>411</v>
      </c>
      <c r="C36" s="235" t="s">
        <v>386</v>
      </c>
      <c r="D36" s="233">
        <v>-10347870.760000002</v>
      </c>
      <c r="F36" s="43"/>
      <c r="G36" s="43"/>
      <c r="H36" s="43"/>
    </row>
    <row r="37" spans="1:8" ht="20" customHeight="1" thickBot="1">
      <c r="A37" s="234"/>
      <c r="B37" s="234"/>
      <c r="C37" s="235"/>
      <c r="D37" s="233" t="s">
        <v>390</v>
      </c>
      <c r="F37" s="43"/>
      <c r="G37" s="43"/>
      <c r="H37" s="43"/>
    </row>
    <row r="38" spans="1:8" ht="20" customHeight="1" thickBot="1">
      <c r="A38" s="234">
        <v>994</v>
      </c>
      <c r="B38" s="234" t="s">
        <v>412</v>
      </c>
      <c r="C38" s="235"/>
      <c r="D38" s="233">
        <v>5040747.5199999977</v>
      </c>
      <c r="F38" s="43"/>
      <c r="G38" s="43"/>
      <c r="H38" s="43"/>
    </row>
    <row r="39" spans="1:8" ht="20" customHeight="1" thickBot="1">
      <c r="A39" s="234"/>
      <c r="B39" s="234"/>
      <c r="C39" s="235"/>
      <c r="D39" s="233" t="s">
        <v>390</v>
      </c>
      <c r="F39" s="43"/>
      <c r="G39" s="43"/>
      <c r="H39" s="43"/>
    </row>
    <row r="40" spans="1:8" ht="20" customHeight="1" thickBot="1">
      <c r="A40" s="234">
        <v>70</v>
      </c>
      <c r="B40" s="234" t="s">
        <v>413</v>
      </c>
      <c r="C40" s="235"/>
      <c r="D40" s="233" vm="87">
        <v>39533.769999999997</v>
      </c>
      <c r="F40" s="43"/>
      <c r="G40" s="43"/>
      <c r="H40" s="43"/>
    </row>
    <row r="41" spans="1:8" ht="20" customHeight="1" thickBot="1">
      <c r="A41" s="234">
        <v>71</v>
      </c>
      <c r="B41" s="234" t="s">
        <v>414</v>
      </c>
      <c r="C41" s="235" t="s">
        <v>386</v>
      </c>
      <c r="D41" s="233" vm="88">
        <v>-19688.84</v>
      </c>
      <c r="F41" s="43"/>
      <c r="G41" s="43"/>
      <c r="H41" s="43"/>
    </row>
    <row r="42" spans="1:8" ht="20" customHeight="1" thickBot="1">
      <c r="A42" s="234">
        <v>73</v>
      </c>
      <c r="B42" s="234" t="s">
        <v>415</v>
      </c>
      <c r="C42" s="235"/>
      <c r="D42" s="233" vm="88">
        <v>504228.67</v>
      </c>
      <c r="F42" s="43"/>
      <c r="G42" s="43"/>
      <c r="H42" s="43"/>
    </row>
    <row r="43" spans="1:8" ht="20" customHeight="1" thickBot="1">
      <c r="A43" s="234">
        <v>810</v>
      </c>
      <c r="B43" s="234" t="s">
        <v>416</v>
      </c>
      <c r="C43" s="235"/>
      <c r="D43" s="233" vm="89">
        <v>13233.630000000001</v>
      </c>
      <c r="F43" s="43"/>
      <c r="G43" s="43"/>
      <c r="H43" s="43"/>
    </row>
    <row r="44" spans="1:8" ht="20" customHeight="1" thickBot="1">
      <c r="A44" s="234">
        <v>820</v>
      </c>
      <c r="B44" s="234" t="s">
        <v>417</v>
      </c>
      <c r="C44" s="235" t="s">
        <v>386</v>
      </c>
      <c r="D44" s="233" vm="89">
        <v>-10288.07</v>
      </c>
      <c r="F44" s="43"/>
      <c r="G44" s="43"/>
      <c r="H44" s="43"/>
    </row>
    <row r="45" spans="1:8" ht="20" customHeight="1" thickBot="1">
      <c r="A45" s="234">
        <v>9</v>
      </c>
      <c r="B45" s="234" t="s">
        <v>418</v>
      </c>
      <c r="C45" s="235"/>
      <c r="D45" s="233">
        <v>0</v>
      </c>
      <c r="F45" s="43"/>
      <c r="G45" s="43"/>
      <c r="H45" s="43"/>
    </row>
    <row r="46" spans="1:8" ht="20" customHeight="1" thickBot="1">
      <c r="A46" s="234"/>
      <c r="B46" s="234"/>
      <c r="C46" s="235"/>
      <c r="D46" s="233" t="s">
        <v>390</v>
      </c>
      <c r="F46" s="43"/>
      <c r="G46" s="43"/>
      <c r="H46" s="43"/>
    </row>
    <row r="47" spans="1:8" ht="20" customHeight="1" thickBot="1">
      <c r="A47" s="234">
        <v>995</v>
      </c>
      <c r="B47" s="234" t="s">
        <v>1867</v>
      </c>
      <c r="C47" s="235"/>
      <c r="D47" s="233">
        <v>527019.16</v>
      </c>
      <c r="F47" s="43"/>
      <c r="G47" s="43"/>
      <c r="H47" s="43"/>
    </row>
    <row r="48" spans="1:8" ht="20" customHeight="1" thickBot="1">
      <c r="A48" s="234"/>
      <c r="B48" s="234"/>
      <c r="C48" s="235"/>
      <c r="D48" s="233" t="s">
        <v>390</v>
      </c>
      <c r="F48" s="43"/>
      <c r="G48" s="43"/>
      <c r="H48" s="43"/>
    </row>
    <row r="49" spans="1:8" ht="20" customHeight="1" thickBot="1">
      <c r="A49" s="242">
        <v>999</v>
      </c>
      <c r="B49" s="242" t="s">
        <v>419</v>
      </c>
      <c r="C49" s="243"/>
      <c r="D49" s="244">
        <v>5567766.6799999978</v>
      </c>
      <c r="F49" s="43"/>
      <c r="G49" s="43"/>
      <c r="H49" s="43"/>
    </row>
    <row r="50" spans="1:8" ht="15.5" customHeight="1">
      <c r="A50" s="3" t="s">
        <v>346</v>
      </c>
    </row>
    <row r="52" spans="1:8">
      <c r="A52" s="247" t="s">
        <v>431</v>
      </c>
    </row>
    <row r="53" spans="1:8">
      <c r="A53" s="258"/>
    </row>
    <row r="54" spans="1:8">
      <c r="A54" s="3" t="s">
        <v>436</v>
      </c>
    </row>
    <row r="57" spans="1:8">
      <c r="A57" s="3" t="s">
        <v>302</v>
      </c>
    </row>
    <row r="63" spans="1:8">
      <c r="B63" s="259"/>
      <c r="C63" s="259"/>
      <c r="D63" s="43"/>
    </row>
    <row r="66" spans="1:4" ht="14">
      <c r="A66" s="260"/>
      <c r="B66" s="260"/>
      <c r="C66" s="261"/>
      <c r="D66" s="262"/>
    </row>
  </sheetData>
  <mergeCells count="1">
    <mergeCell ref="A2:B2"/>
  </mergeCells>
  <pageMargins left="0.6" right="0.63" top="0.78" bottom="0.49" header="0.42" footer="0.4921259845"/>
  <pageSetup paperSize="9" scale="71" orientation="portrait"/>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F9628-C200-954D-BF64-FFE89489146F}">
  <sheetPr>
    <pageSetUpPr fitToPage="1"/>
  </sheetPr>
  <dimension ref="A1:H66"/>
  <sheetViews>
    <sheetView zoomScaleNormal="100" workbookViewId="0"/>
  </sheetViews>
  <sheetFormatPr baseColWidth="10" defaultColWidth="11.3984375" defaultRowHeight="13"/>
  <cols>
    <col min="1" max="1" width="15.796875" style="3" customWidth="1"/>
    <col min="2" max="2" width="68.59765625" style="245" customWidth="1"/>
    <col min="3" max="3" width="7.59765625" style="245" customWidth="1"/>
    <col min="4" max="4" width="20.19921875" style="246" customWidth="1"/>
    <col min="5" max="16384" width="11.3984375" style="3"/>
  </cols>
  <sheetData>
    <row r="1" spans="1:8" s="1" customFormat="1" ht="14" customHeight="1">
      <c r="B1" s="221"/>
      <c r="C1" s="221"/>
      <c r="D1" s="222"/>
    </row>
    <row r="2" spans="1:8" s="1" customFormat="1" ht="40.75" customHeight="1">
      <c r="A2" s="2010" t="s">
        <v>437</v>
      </c>
      <c r="B2" s="2011"/>
      <c r="C2" s="264"/>
      <c r="D2" s="223">
        <v>2013</v>
      </c>
    </row>
    <row r="3" spans="1:8" ht="39" customHeight="1">
      <c r="A3" s="224" t="s">
        <v>380</v>
      </c>
      <c r="B3" s="224"/>
      <c r="C3" s="225"/>
      <c r="D3" s="226" t="s">
        <v>381</v>
      </c>
    </row>
    <row r="4" spans="1:8" ht="38" customHeight="1">
      <c r="A4" s="227"/>
      <c r="B4" s="228"/>
      <c r="C4" s="229"/>
      <c r="D4" s="230" t="s">
        <v>382</v>
      </c>
    </row>
    <row r="5" spans="1:8" ht="20" customHeight="1" thickBot="1">
      <c r="A5" s="231" t="s">
        <v>438</v>
      </c>
      <c r="B5" s="231" t="s">
        <v>427</v>
      </c>
      <c r="C5" s="232"/>
      <c r="D5" s="233" vm="90">
        <v>13374259289.829998</v>
      </c>
      <c r="F5" s="43"/>
      <c r="G5" s="43"/>
      <c r="H5" s="43"/>
    </row>
    <row r="6" spans="1:8" ht="20" customHeight="1" thickBot="1">
      <c r="A6" s="234">
        <v>331</v>
      </c>
      <c r="B6" s="234" t="s">
        <v>385</v>
      </c>
      <c r="C6" s="235" t="s">
        <v>386</v>
      </c>
      <c r="D6" s="233" vm="91">
        <v>-49007115.009999998</v>
      </c>
      <c r="F6" s="43"/>
      <c r="G6" s="43"/>
      <c r="H6" s="43"/>
    </row>
    <row r="7" spans="1:8" ht="20" customHeight="1" thickBot="1">
      <c r="A7" s="234">
        <v>3501</v>
      </c>
      <c r="B7" s="234" t="s">
        <v>387</v>
      </c>
      <c r="C7" s="235" t="s">
        <v>386</v>
      </c>
      <c r="D7" s="233" vm="92">
        <v>-30992884.989999998</v>
      </c>
      <c r="F7" s="43"/>
      <c r="G7" s="43"/>
      <c r="H7" s="43"/>
    </row>
    <row r="8" spans="1:8" ht="20" customHeight="1" thickBot="1">
      <c r="A8" s="234">
        <v>36</v>
      </c>
      <c r="B8" s="234" t="s">
        <v>388</v>
      </c>
      <c r="C8" s="235"/>
      <c r="D8" s="233" vm="93">
        <v>1182384723.99</v>
      </c>
      <c r="F8" s="43"/>
      <c r="G8" s="43"/>
      <c r="H8" s="43"/>
    </row>
    <row r="9" spans="1:8" ht="20" customHeight="1" thickBot="1">
      <c r="A9" s="234">
        <v>37</v>
      </c>
      <c r="B9" s="234" t="s">
        <v>389</v>
      </c>
      <c r="C9" s="235" t="s">
        <v>386</v>
      </c>
      <c r="D9" s="233" vm="91">
        <v>-1168265646.2800002</v>
      </c>
      <c r="F9" s="43"/>
      <c r="G9" s="43"/>
      <c r="H9" s="43"/>
    </row>
    <row r="10" spans="1:8" ht="20" customHeight="1" thickBot="1">
      <c r="A10" s="234"/>
      <c r="B10" s="234"/>
      <c r="C10" s="235"/>
      <c r="D10" s="233" t="s">
        <v>390</v>
      </c>
      <c r="F10" s="43"/>
      <c r="G10" s="43"/>
      <c r="H10" s="43"/>
    </row>
    <row r="11" spans="1:8" ht="20" customHeight="1" thickBot="1">
      <c r="A11" s="234">
        <v>3</v>
      </c>
      <c r="B11" s="234" t="s">
        <v>391</v>
      </c>
      <c r="C11" s="235"/>
      <c r="D11" s="233">
        <v>13308378367.539997</v>
      </c>
      <c r="F11" s="43"/>
      <c r="G11" s="43"/>
      <c r="H11" s="43"/>
    </row>
    <row r="12" spans="1:8" ht="20" customHeight="1" thickBot="1">
      <c r="A12" s="234"/>
      <c r="B12" s="234"/>
      <c r="C12" s="235"/>
      <c r="D12" s="233" t="s">
        <v>390</v>
      </c>
      <c r="F12" s="43"/>
      <c r="G12" s="43"/>
      <c r="H12" s="43"/>
    </row>
    <row r="13" spans="1:8" ht="20" customHeight="1" thickBot="1">
      <c r="A13" s="234" t="s">
        <v>439</v>
      </c>
      <c r="B13" s="234" t="s">
        <v>428</v>
      </c>
      <c r="C13" s="235" t="s">
        <v>386</v>
      </c>
      <c r="D13" s="233" vm="93">
        <v>-12397848873.360003</v>
      </c>
      <c r="F13" s="43"/>
      <c r="G13" s="43"/>
      <c r="H13" s="43"/>
    </row>
    <row r="14" spans="1:8" ht="20" customHeight="1" thickBot="1">
      <c r="A14" s="236" t="s">
        <v>440</v>
      </c>
      <c r="B14" s="234" t="s">
        <v>429</v>
      </c>
      <c r="C14" s="235"/>
      <c r="D14" s="233" vm="94">
        <v>2110730881.2799997</v>
      </c>
      <c r="F14" s="43"/>
      <c r="G14" s="43"/>
      <c r="H14" s="43"/>
    </row>
    <row r="15" spans="1:8" ht="20" customHeight="1" thickBot="1">
      <c r="A15" s="234" t="s">
        <v>441</v>
      </c>
      <c r="B15" s="234" t="s">
        <v>430</v>
      </c>
      <c r="C15" s="235" t="s">
        <v>386</v>
      </c>
      <c r="D15" s="233" vm="95">
        <v>-3819030.11</v>
      </c>
      <c r="F15" s="43"/>
      <c r="G15" s="43"/>
      <c r="H15" s="43"/>
    </row>
    <row r="16" spans="1:8" ht="20" customHeight="1" thickBot="1">
      <c r="A16" s="234">
        <v>4300</v>
      </c>
      <c r="B16" s="234" t="s">
        <v>396</v>
      </c>
      <c r="C16" s="235" t="s">
        <v>386</v>
      </c>
      <c r="D16" s="233" vm="96">
        <v>-69412953.550000012</v>
      </c>
      <c r="F16" s="43"/>
      <c r="G16" s="43"/>
      <c r="H16" s="237"/>
    </row>
    <row r="17" spans="1:8" ht="20" customHeight="1" thickBot="1">
      <c r="A17" s="234">
        <v>4310</v>
      </c>
      <c r="B17" s="234" t="s">
        <v>397</v>
      </c>
      <c r="C17" s="235" t="s">
        <v>386</v>
      </c>
      <c r="D17" s="233" vm="97">
        <v>-19246160.329999998</v>
      </c>
      <c r="F17" s="43"/>
      <c r="G17" s="43"/>
      <c r="H17" s="43"/>
    </row>
    <row r="18" spans="1:8" ht="20" customHeight="1" thickBot="1">
      <c r="A18" s="234">
        <v>4321</v>
      </c>
      <c r="B18" s="234" t="s">
        <v>398</v>
      </c>
      <c r="C18" s="235" t="s">
        <v>386</v>
      </c>
      <c r="D18" s="233" vm="98">
        <v>-6958708.5600000005</v>
      </c>
      <c r="F18" s="43"/>
      <c r="G18" s="43"/>
      <c r="H18" s="238"/>
    </row>
    <row r="19" spans="1:8" ht="20" customHeight="1" thickBot="1">
      <c r="A19" s="234">
        <v>4510</v>
      </c>
      <c r="B19" s="234" t="s">
        <v>399</v>
      </c>
      <c r="C19" s="235"/>
      <c r="D19" s="233" vm="99">
        <v>-192701884.67000002</v>
      </c>
      <c r="F19" s="43"/>
      <c r="G19" s="43"/>
      <c r="H19" s="43"/>
    </row>
    <row r="20" spans="1:8" ht="20" customHeight="1" thickBot="1">
      <c r="A20" s="234">
        <v>4401</v>
      </c>
      <c r="B20" s="234" t="s">
        <v>400</v>
      </c>
      <c r="C20" s="235"/>
      <c r="D20" s="233" vm="100">
        <v>22834018.060000002</v>
      </c>
      <c r="F20" s="43"/>
      <c r="G20" s="43"/>
      <c r="H20" s="43"/>
    </row>
    <row r="21" spans="1:8" ht="20" customHeight="1" thickBot="1">
      <c r="A21" s="234">
        <v>48</v>
      </c>
      <c r="B21" s="234" t="s">
        <v>401</v>
      </c>
      <c r="C21" s="235"/>
      <c r="D21" s="233" vm="101">
        <v>-2079503823.8699996</v>
      </c>
      <c r="F21" s="43"/>
      <c r="G21" s="43"/>
      <c r="H21" s="43"/>
    </row>
    <row r="22" spans="1:8" ht="20" customHeight="1" thickBot="1">
      <c r="A22" s="234"/>
      <c r="B22" s="234"/>
      <c r="C22" s="235"/>
      <c r="D22" s="233" t="s">
        <v>390</v>
      </c>
      <c r="F22" s="43"/>
      <c r="G22" s="43"/>
      <c r="H22" s="43"/>
    </row>
    <row r="23" spans="1:8" ht="20" customHeight="1" thickBot="1">
      <c r="A23" s="234">
        <v>4</v>
      </c>
      <c r="B23" s="234" t="s">
        <v>402</v>
      </c>
      <c r="C23" s="235"/>
      <c r="D23" s="233">
        <v>-12635926535.110001</v>
      </c>
      <c r="F23" s="43"/>
      <c r="G23" s="43"/>
      <c r="H23" s="43"/>
    </row>
    <row r="24" spans="1:8" ht="20" customHeight="1" thickBot="1">
      <c r="A24" s="234"/>
      <c r="B24" s="234"/>
      <c r="C24" s="235"/>
      <c r="D24" s="233" t="s">
        <v>390</v>
      </c>
      <c r="F24" s="43"/>
      <c r="G24" s="43"/>
      <c r="H24" s="43"/>
    </row>
    <row r="25" spans="1:8" ht="20" customHeight="1" thickBot="1">
      <c r="A25" s="234">
        <v>992</v>
      </c>
      <c r="B25" s="234" t="s">
        <v>403</v>
      </c>
      <c r="C25" s="235"/>
      <c r="D25" s="233">
        <v>672451832.42999649</v>
      </c>
      <c r="F25" s="43"/>
      <c r="G25" s="43"/>
      <c r="H25" s="43"/>
    </row>
    <row r="26" spans="1:8" ht="20" customHeight="1" thickBot="1">
      <c r="A26" s="234"/>
      <c r="B26" s="234"/>
      <c r="C26" s="235"/>
      <c r="D26" s="233" t="s">
        <v>390</v>
      </c>
      <c r="F26" s="43"/>
      <c r="G26" s="43"/>
      <c r="H26" s="43"/>
    </row>
    <row r="27" spans="1:8" ht="20" customHeight="1" thickBot="1">
      <c r="A27" s="234">
        <v>500</v>
      </c>
      <c r="B27" s="234" t="s">
        <v>404</v>
      </c>
      <c r="C27" s="235" t="s">
        <v>386</v>
      </c>
      <c r="D27" s="233" vm="102">
        <v>-552363116.56999993</v>
      </c>
      <c r="F27" s="43"/>
      <c r="G27" s="43"/>
      <c r="H27" s="43"/>
    </row>
    <row r="28" spans="1:8" ht="20" customHeight="1" thickBot="1">
      <c r="A28" s="234">
        <v>501</v>
      </c>
      <c r="B28" s="234" t="s">
        <v>405</v>
      </c>
      <c r="C28" s="235" t="s">
        <v>386</v>
      </c>
      <c r="D28" s="233" vm="103">
        <v>-4293385.62</v>
      </c>
      <c r="F28" s="43"/>
      <c r="G28" s="43"/>
      <c r="H28" s="43"/>
    </row>
    <row r="29" spans="1:8" ht="20" customHeight="1" thickBot="1">
      <c r="A29" s="234">
        <v>510</v>
      </c>
      <c r="B29" s="234" t="s">
        <v>406</v>
      </c>
      <c r="C29" s="235" t="s">
        <v>386</v>
      </c>
      <c r="D29" s="233" vm="104">
        <v>-49451293.780000016</v>
      </c>
      <c r="F29" s="43"/>
      <c r="G29" s="43"/>
      <c r="H29" s="43"/>
    </row>
    <row r="30" spans="1:8" ht="20" customHeight="1" thickBot="1">
      <c r="A30" s="234">
        <v>516</v>
      </c>
      <c r="B30" s="234" t="s">
        <v>407</v>
      </c>
      <c r="C30" s="235" t="s">
        <v>386</v>
      </c>
      <c r="D30" s="233" vm="105">
        <v>-30039693.710000008</v>
      </c>
      <c r="F30" s="43"/>
      <c r="G30" s="43"/>
      <c r="H30" s="43"/>
    </row>
    <row r="31" spans="1:8" ht="20" customHeight="1" thickBot="1">
      <c r="A31" s="234">
        <v>517</v>
      </c>
      <c r="B31" s="234" t="s">
        <v>408</v>
      </c>
      <c r="C31" s="235" t="s">
        <v>386</v>
      </c>
      <c r="D31" s="233" vm="106">
        <v>-12608755.980000004</v>
      </c>
      <c r="F31" s="43"/>
      <c r="G31" s="43"/>
      <c r="H31" s="43"/>
    </row>
    <row r="32" spans="1:8" ht="20" customHeight="1" thickBot="1">
      <c r="A32" s="234">
        <v>519</v>
      </c>
      <c r="B32" s="234" t="s">
        <v>409</v>
      </c>
      <c r="C32" s="235" t="s">
        <v>386</v>
      </c>
      <c r="D32" s="233" vm="107">
        <v>-15621605.83</v>
      </c>
      <c r="F32" s="43"/>
      <c r="G32" s="43"/>
      <c r="H32" s="43"/>
    </row>
    <row r="33" spans="1:8" ht="20" customHeight="1" thickBot="1">
      <c r="A33" s="234"/>
      <c r="B33" s="234"/>
      <c r="C33" s="235"/>
      <c r="D33" s="233" t="s">
        <v>390</v>
      </c>
      <c r="F33" s="43"/>
      <c r="G33" s="43"/>
      <c r="H33" s="43"/>
    </row>
    <row r="34" spans="1:8" ht="20" customHeight="1" thickBot="1">
      <c r="A34" s="234">
        <v>5</v>
      </c>
      <c r="B34" s="234" t="s">
        <v>410</v>
      </c>
      <c r="C34" s="235"/>
      <c r="D34" s="233">
        <v>-664377851.49000001</v>
      </c>
      <c r="F34" s="43"/>
      <c r="G34" s="43"/>
      <c r="H34" s="43"/>
    </row>
    <row r="35" spans="1:8" ht="20" customHeight="1" thickBot="1">
      <c r="A35" s="234"/>
      <c r="B35" s="234"/>
      <c r="C35" s="235"/>
      <c r="D35" s="233" t="s">
        <v>390</v>
      </c>
      <c r="F35" s="43"/>
      <c r="G35" s="43"/>
      <c r="H35" s="43"/>
    </row>
    <row r="36" spans="1:8" ht="20" customHeight="1" thickBot="1">
      <c r="A36" s="234">
        <v>993</v>
      </c>
      <c r="B36" s="234" t="s">
        <v>411</v>
      </c>
      <c r="C36" s="235" t="s">
        <v>386</v>
      </c>
      <c r="D36" s="233">
        <v>-13300304386.6</v>
      </c>
      <c r="F36" s="43"/>
      <c r="G36" s="43"/>
      <c r="H36" s="43"/>
    </row>
    <row r="37" spans="1:8" ht="20" customHeight="1" thickBot="1">
      <c r="A37" s="234"/>
      <c r="B37" s="234"/>
      <c r="C37" s="235"/>
      <c r="D37" s="233" t="s">
        <v>390</v>
      </c>
      <c r="F37" s="43"/>
      <c r="G37" s="43"/>
      <c r="H37" s="43"/>
    </row>
    <row r="38" spans="1:8" ht="20" customHeight="1" thickBot="1">
      <c r="A38" s="234">
        <v>994</v>
      </c>
      <c r="B38" s="234" t="s">
        <v>412</v>
      </c>
      <c r="C38" s="235"/>
      <c r="D38" s="233">
        <v>8073980.9399967194</v>
      </c>
      <c r="F38" s="43"/>
      <c r="G38" s="43"/>
      <c r="H38" s="43"/>
    </row>
    <row r="39" spans="1:8" ht="20" customHeight="1" thickBot="1">
      <c r="A39" s="234"/>
      <c r="B39" s="234"/>
      <c r="C39" s="235"/>
      <c r="D39" s="233" t="s">
        <v>390</v>
      </c>
      <c r="F39" s="43"/>
      <c r="G39" s="43"/>
      <c r="H39" s="43"/>
    </row>
    <row r="40" spans="1:8" ht="20" customHeight="1" thickBot="1">
      <c r="A40" s="234">
        <v>70</v>
      </c>
      <c r="B40" s="234" t="s">
        <v>413</v>
      </c>
      <c r="C40" s="235"/>
      <c r="D40" s="233" vm="108">
        <v>22144741.970000003</v>
      </c>
      <c r="F40" s="43"/>
      <c r="G40" s="43"/>
      <c r="H40" s="43"/>
    </row>
    <row r="41" spans="1:8" ht="20" customHeight="1" thickBot="1">
      <c r="A41" s="234">
        <v>71</v>
      </c>
      <c r="B41" s="234" t="s">
        <v>414</v>
      </c>
      <c r="C41" s="235" t="s">
        <v>386</v>
      </c>
      <c r="D41" s="233" vm="109">
        <v>-4931371.8099999996</v>
      </c>
      <c r="F41" s="43"/>
      <c r="G41" s="43"/>
      <c r="H41" s="43"/>
    </row>
    <row r="42" spans="1:8" ht="20" customHeight="1" thickBot="1">
      <c r="A42" s="234">
        <v>73</v>
      </c>
      <c r="B42" s="234" t="s">
        <v>415</v>
      </c>
      <c r="C42" s="235"/>
      <c r="D42" s="233" vm="110">
        <v>195985526.63</v>
      </c>
      <c r="F42" s="43"/>
      <c r="G42" s="43"/>
      <c r="H42" s="43"/>
    </row>
    <row r="43" spans="1:8" ht="20" customHeight="1" thickBot="1">
      <c r="A43" s="234">
        <v>810</v>
      </c>
      <c r="B43" s="234" t="s">
        <v>416</v>
      </c>
      <c r="C43" s="235"/>
      <c r="D43" s="233" vm="111">
        <v>13611866.550000001</v>
      </c>
      <c r="F43" s="43"/>
      <c r="G43" s="43"/>
      <c r="H43" s="43"/>
    </row>
    <row r="44" spans="1:8" ht="20" customHeight="1" thickBot="1">
      <c r="A44" s="234">
        <v>820</v>
      </c>
      <c r="B44" s="234" t="s">
        <v>417</v>
      </c>
      <c r="C44" s="235" t="s">
        <v>386</v>
      </c>
      <c r="D44" s="233" vm="112">
        <v>-5714406.0600000005</v>
      </c>
      <c r="F44" s="43"/>
      <c r="G44" s="43"/>
      <c r="H44" s="43"/>
    </row>
    <row r="45" spans="1:8" ht="20" customHeight="1" thickBot="1">
      <c r="A45" s="234">
        <v>9</v>
      </c>
      <c r="B45" s="234" t="s">
        <v>418</v>
      </c>
      <c r="C45" s="235"/>
      <c r="D45" s="233">
        <v>0</v>
      </c>
      <c r="F45" s="43"/>
      <c r="G45" s="43"/>
      <c r="H45" s="43"/>
    </row>
    <row r="46" spans="1:8" ht="20" customHeight="1" thickBot="1">
      <c r="A46" s="234"/>
      <c r="B46" s="234"/>
      <c r="C46" s="235"/>
      <c r="D46" s="233" t="s">
        <v>390</v>
      </c>
      <c r="F46" s="43"/>
      <c r="G46" s="43"/>
      <c r="H46" s="43"/>
    </row>
    <row r="47" spans="1:8" ht="20" customHeight="1" thickBot="1">
      <c r="A47" s="234">
        <v>995</v>
      </c>
      <c r="B47" s="234" t="s">
        <v>1867</v>
      </c>
      <c r="C47" s="235"/>
      <c r="D47" s="233">
        <v>221096357.28</v>
      </c>
      <c r="F47" s="43"/>
      <c r="G47" s="43"/>
      <c r="H47" s="43"/>
    </row>
    <row r="48" spans="1:8" ht="20" customHeight="1" thickBot="1">
      <c r="A48" s="234"/>
      <c r="B48" s="234"/>
      <c r="C48" s="235"/>
      <c r="D48" s="233" t="s">
        <v>390</v>
      </c>
      <c r="F48" s="43"/>
      <c r="G48" s="43"/>
      <c r="H48" s="43"/>
    </row>
    <row r="49" spans="1:8" ht="20" customHeight="1" thickBot="1">
      <c r="A49" s="242">
        <v>999</v>
      </c>
      <c r="B49" s="242" t="s">
        <v>419</v>
      </c>
      <c r="C49" s="243"/>
      <c r="D49" s="265">
        <v>229170338.21999672</v>
      </c>
      <c r="F49" s="43"/>
      <c r="G49" s="43"/>
      <c r="H49" s="43"/>
    </row>
    <row r="50" spans="1:8" ht="15.5" customHeight="1">
      <c r="A50" s="3" t="s">
        <v>346</v>
      </c>
    </row>
    <row r="52" spans="1:8">
      <c r="A52" s="247" t="s">
        <v>431</v>
      </c>
    </row>
    <row r="53" spans="1:8">
      <c r="A53" s="258"/>
    </row>
    <row r="54" spans="1:8">
      <c r="A54" s="3" t="s">
        <v>442</v>
      </c>
    </row>
    <row r="57" spans="1:8">
      <c r="A57" s="3" t="s">
        <v>302</v>
      </c>
    </row>
    <row r="63" spans="1:8">
      <c r="B63" s="259"/>
      <c r="C63" s="259"/>
      <c r="D63" s="43"/>
    </row>
    <row r="66" spans="1:4" ht="14">
      <c r="A66" s="260"/>
      <c r="B66" s="260"/>
      <c r="C66" s="261"/>
      <c r="D66" s="262"/>
    </row>
  </sheetData>
  <mergeCells count="1">
    <mergeCell ref="A2:B2"/>
  </mergeCells>
  <pageMargins left="0.6" right="0.63" top="0.78" bottom="0.49" header="0.42" footer="0.4921259845"/>
  <pageSetup paperSize="9" scale="68" orientation="portrait"/>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77CD5-4B85-134B-B0AA-F7DD006D1E9E}">
  <sheetPr>
    <pageSetUpPr fitToPage="1"/>
  </sheetPr>
  <dimension ref="A1:H71"/>
  <sheetViews>
    <sheetView zoomScaleNormal="100" workbookViewId="0"/>
  </sheetViews>
  <sheetFormatPr baseColWidth="10" defaultColWidth="11.3984375" defaultRowHeight="13"/>
  <cols>
    <col min="1" max="1" width="13.3984375" style="3" customWidth="1"/>
    <col min="2" max="2" width="68.796875" style="245" customWidth="1"/>
    <col min="3" max="3" width="7.59765625" style="245" customWidth="1"/>
    <col min="4" max="4" width="20.19921875" style="246" customWidth="1"/>
    <col min="5" max="16384" width="11.3984375" style="3"/>
  </cols>
  <sheetData>
    <row r="1" spans="1:8" s="1" customFormat="1" ht="14" customHeight="1">
      <c r="B1" s="221"/>
      <c r="C1" s="221"/>
      <c r="D1" s="222"/>
    </row>
    <row r="2" spans="1:8" s="1" customFormat="1" ht="55.75" customHeight="1">
      <c r="A2" s="2010" t="s">
        <v>443</v>
      </c>
      <c r="B2" s="2011"/>
      <c r="C2" s="266"/>
      <c r="D2" s="223">
        <v>2013</v>
      </c>
    </row>
    <row r="3" spans="1:8" ht="39" customHeight="1">
      <c r="A3" s="224" t="s">
        <v>380</v>
      </c>
      <c r="B3" s="224"/>
      <c r="C3" s="225"/>
      <c r="D3" s="226" t="s">
        <v>381</v>
      </c>
    </row>
    <row r="4" spans="1:8" ht="38" customHeight="1">
      <c r="A4" s="227"/>
      <c r="B4" s="228"/>
      <c r="C4" s="229"/>
      <c r="D4" s="230" t="s">
        <v>382</v>
      </c>
    </row>
    <row r="5" spans="1:8" ht="20" customHeight="1" thickBot="1">
      <c r="A5" s="231">
        <v>3011</v>
      </c>
      <c r="B5" s="231" t="s">
        <v>427</v>
      </c>
      <c r="C5" s="232"/>
      <c r="D5" s="233" vm="132">
        <v>154551857.19</v>
      </c>
      <c r="F5" s="43"/>
      <c r="G5" s="43"/>
      <c r="H5" s="43"/>
    </row>
    <row r="6" spans="1:8" ht="20" customHeight="1" thickBot="1">
      <c r="A6" s="234">
        <v>332</v>
      </c>
      <c r="B6" s="234" t="s">
        <v>385</v>
      </c>
      <c r="C6" s="235" t="s">
        <v>386</v>
      </c>
      <c r="D6" s="233" vm="131">
        <v>-1308004.52</v>
      </c>
      <c r="F6" s="43"/>
      <c r="G6" s="43"/>
      <c r="H6" s="43"/>
    </row>
    <row r="7" spans="1:8" ht="20" customHeight="1" thickBot="1">
      <c r="A7" s="234">
        <v>3501</v>
      </c>
      <c r="B7" s="234" t="s">
        <v>387</v>
      </c>
      <c r="C7" s="235" t="s">
        <v>386</v>
      </c>
      <c r="D7" s="233" vm="130">
        <v>-35118.93</v>
      </c>
      <c r="F7" s="43"/>
      <c r="G7" s="43"/>
      <c r="H7" s="43"/>
    </row>
    <row r="8" spans="1:8" ht="20" customHeight="1" thickBot="1">
      <c r="A8" s="234">
        <v>36</v>
      </c>
      <c r="B8" s="234" t="s">
        <v>388</v>
      </c>
      <c r="C8" s="235"/>
      <c r="D8" s="233" vm="129">
        <v>1220769.99</v>
      </c>
      <c r="F8" s="43"/>
      <c r="G8" s="43"/>
      <c r="H8" s="43"/>
    </row>
    <row r="9" spans="1:8" ht="20" customHeight="1" thickBot="1">
      <c r="A9" s="234">
        <v>37</v>
      </c>
      <c r="B9" s="234" t="s">
        <v>389</v>
      </c>
      <c r="C9" s="235" t="s">
        <v>386</v>
      </c>
      <c r="D9" s="233" vm="128">
        <v>-1249036.17</v>
      </c>
      <c r="F9" s="43"/>
      <c r="G9" s="43"/>
      <c r="H9" s="43"/>
    </row>
    <row r="10" spans="1:8" ht="20" customHeight="1" thickBot="1">
      <c r="A10" s="234">
        <v>3</v>
      </c>
      <c r="B10" s="234" t="s">
        <v>391</v>
      </c>
      <c r="C10" s="235"/>
      <c r="D10" s="233">
        <v>153180467.56</v>
      </c>
      <c r="F10" s="43"/>
      <c r="G10" s="43"/>
      <c r="H10" s="43"/>
    </row>
    <row r="11" spans="1:8" ht="20" customHeight="1" thickBot="1">
      <c r="A11" s="234"/>
      <c r="B11" s="234"/>
      <c r="C11" s="235"/>
      <c r="D11" s="233" t="s">
        <v>390</v>
      </c>
      <c r="F11" s="43"/>
      <c r="G11" s="43"/>
      <c r="H11" s="43"/>
    </row>
    <row r="12" spans="1:8" ht="20" customHeight="1" thickBot="1">
      <c r="A12" s="234">
        <v>4011</v>
      </c>
      <c r="B12" s="234" t="s">
        <v>428</v>
      </c>
      <c r="C12" s="235" t="s">
        <v>386</v>
      </c>
      <c r="D12" s="233" vm="127">
        <v>-111291879.64999999</v>
      </c>
      <c r="F12" s="43"/>
      <c r="G12" s="43"/>
      <c r="H12" s="43"/>
    </row>
    <row r="13" spans="1:8" ht="20" customHeight="1" thickBot="1">
      <c r="A13" s="234">
        <v>4201</v>
      </c>
      <c r="B13" s="234" t="s">
        <v>429</v>
      </c>
      <c r="C13" s="235"/>
      <c r="D13" s="233" vm="126">
        <v>6554075.5600000005</v>
      </c>
      <c r="F13" s="43"/>
      <c r="G13" s="43"/>
      <c r="H13" s="43"/>
    </row>
    <row r="14" spans="1:8" ht="20" customHeight="1" thickBot="1">
      <c r="A14" s="234">
        <v>4211</v>
      </c>
      <c r="B14" s="234" t="s">
        <v>430</v>
      </c>
      <c r="C14" s="235" t="s">
        <v>386</v>
      </c>
      <c r="D14" s="233" vm="125">
        <v>-9705.41</v>
      </c>
      <c r="F14" s="43"/>
      <c r="G14" s="43"/>
      <c r="H14" s="43"/>
    </row>
    <row r="15" spans="1:8" ht="20" customHeight="1" thickBot="1">
      <c r="A15" s="234">
        <v>4301</v>
      </c>
      <c r="B15" s="234" t="s">
        <v>396</v>
      </c>
      <c r="C15" s="235" t="s">
        <v>386</v>
      </c>
      <c r="D15" s="233" vm="124">
        <v>-17870.36</v>
      </c>
      <c r="F15" s="43"/>
      <c r="G15" s="43"/>
      <c r="H15" s="43"/>
    </row>
    <row r="16" spans="1:8" ht="20" customHeight="1" thickBot="1">
      <c r="A16" s="234">
        <v>4311</v>
      </c>
      <c r="B16" s="234" t="s">
        <v>397</v>
      </c>
      <c r="C16" s="235" t="s">
        <v>386</v>
      </c>
      <c r="D16" s="233" vm="123">
        <v>-33679.43</v>
      </c>
      <c r="F16" s="43"/>
      <c r="G16" s="43"/>
      <c r="H16" s="237"/>
    </row>
    <row r="17" spans="1:8" ht="20" customHeight="1" thickBot="1">
      <c r="A17" s="234">
        <v>4322</v>
      </c>
      <c r="B17" s="234" t="s">
        <v>398</v>
      </c>
      <c r="C17" s="235" t="s">
        <v>386</v>
      </c>
      <c r="D17" s="233" vm="122">
        <v>-71652.38</v>
      </c>
      <c r="F17" s="43"/>
      <c r="G17" s="43"/>
      <c r="H17" s="43"/>
    </row>
    <row r="18" spans="1:8" ht="20" customHeight="1" thickBot="1">
      <c r="A18" s="234">
        <v>45110</v>
      </c>
      <c r="B18" s="234" t="s">
        <v>399</v>
      </c>
      <c r="C18" s="235"/>
      <c r="D18" s="233" vm="121">
        <v>6395585.0300000003</v>
      </c>
      <c r="F18" s="43"/>
      <c r="G18" s="43"/>
      <c r="H18" s="238"/>
    </row>
    <row r="19" spans="1:8" ht="20" customHeight="1" thickBot="1">
      <c r="A19" s="234">
        <v>4401</v>
      </c>
      <c r="B19" s="234" t="s">
        <v>400</v>
      </c>
      <c r="C19" s="235"/>
      <c r="D19" s="233" vm="120">
        <v>259870.9</v>
      </c>
      <c r="F19" s="43"/>
      <c r="G19" s="43"/>
      <c r="H19" s="43"/>
    </row>
    <row r="20" spans="1:8" ht="20" customHeight="1" thickBot="1">
      <c r="A20" s="234">
        <v>48</v>
      </c>
      <c r="B20" s="234" t="s">
        <v>401</v>
      </c>
      <c r="C20" s="235"/>
      <c r="D20" s="233" vm="119">
        <v>-646495.37</v>
      </c>
      <c r="F20" s="43"/>
      <c r="G20" s="43"/>
      <c r="H20" s="43"/>
    </row>
    <row r="21" spans="1:8" ht="20" customHeight="1" thickBot="1">
      <c r="A21" s="234"/>
      <c r="B21" s="234"/>
      <c r="C21" s="235"/>
      <c r="D21" s="233" t="s">
        <v>390</v>
      </c>
      <c r="F21" s="43"/>
      <c r="G21" s="43"/>
      <c r="H21" s="43"/>
    </row>
    <row r="22" spans="1:8" ht="20" customHeight="1" thickBot="1">
      <c r="A22" s="234">
        <v>4</v>
      </c>
      <c r="B22" s="234" t="s">
        <v>402</v>
      </c>
      <c r="C22" s="235"/>
      <c r="D22" s="233">
        <v>-98861751.109999985</v>
      </c>
      <c r="F22" s="43"/>
      <c r="G22" s="43"/>
      <c r="H22" s="43"/>
    </row>
    <row r="23" spans="1:8" ht="20" customHeight="1" thickBot="1">
      <c r="A23" s="234"/>
      <c r="B23" s="234"/>
      <c r="C23" s="235"/>
      <c r="D23" s="233" t="s">
        <v>390</v>
      </c>
      <c r="F23" s="43"/>
      <c r="G23" s="43"/>
      <c r="H23" s="43"/>
    </row>
    <row r="24" spans="1:8" ht="20" customHeight="1" thickBot="1">
      <c r="A24" s="234">
        <v>992</v>
      </c>
      <c r="B24" s="234" t="s">
        <v>403</v>
      </c>
      <c r="C24" s="235"/>
      <c r="D24" s="233">
        <v>54318716.450000018</v>
      </c>
      <c r="F24" s="43"/>
      <c r="G24" s="43"/>
      <c r="H24" s="43"/>
    </row>
    <row r="25" spans="1:8" ht="20" customHeight="1" thickBot="1">
      <c r="A25" s="234"/>
      <c r="B25" s="234"/>
      <c r="C25" s="235"/>
      <c r="D25" s="233" t="s">
        <v>390</v>
      </c>
      <c r="F25" s="43"/>
      <c r="G25" s="43"/>
      <c r="H25" s="43"/>
    </row>
    <row r="26" spans="1:8" ht="20" customHeight="1" thickBot="1">
      <c r="A26" s="234">
        <v>500</v>
      </c>
      <c r="B26" s="234" t="s">
        <v>404</v>
      </c>
      <c r="C26" s="235" t="s">
        <v>386</v>
      </c>
      <c r="D26" s="233" vm="117">
        <v>-12905164.280000003</v>
      </c>
      <c r="F26" s="43"/>
      <c r="G26" s="43"/>
      <c r="H26" s="43"/>
    </row>
    <row r="27" spans="1:8" ht="20" customHeight="1" thickBot="1">
      <c r="A27" s="234">
        <v>501</v>
      </c>
      <c r="B27" s="234" t="s">
        <v>405</v>
      </c>
      <c r="C27" s="235" t="s">
        <v>386</v>
      </c>
      <c r="D27" s="233" vm="118">
        <v>-31440.03</v>
      </c>
      <c r="F27" s="43"/>
      <c r="G27" s="43"/>
      <c r="H27" s="43"/>
    </row>
    <row r="28" spans="1:8" ht="20" customHeight="1" thickBot="1">
      <c r="A28" s="234">
        <v>510</v>
      </c>
      <c r="B28" s="234" t="s">
        <v>406</v>
      </c>
      <c r="C28" s="235" t="s">
        <v>386</v>
      </c>
      <c r="D28" s="233" vm="115">
        <v>3620214.58</v>
      </c>
      <c r="F28" s="43"/>
      <c r="G28" s="43"/>
      <c r="H28" s="43"/>
    </row>
    <row r="29" spans="1:8" ht="20" customHeight="1" thickBot="1">
      <c r="A29" s="234">
        <v>516</v>
      </c>
      <c r="B29" s="234" t="s">
        <v>407</v>
      </c>
      <c r="C29" s="235" t="s">
        <v>386</v>
      </c>
      <c r="D29" s="233" vm="116">
        <v>-764589.8600000001</v>
      </c>
      <c r="F29" s="43"/>
      <c r="G29" s="43"/>
      <c r="H29" s="43"/>
    </row>
    <row r="30" spans="1:8" ht="20" customHeight="1" thickBot="1">
      <c r="A30" s="234">
        <v>517</v>
      </c>
      <c r="B30" s="234" t="s">
        <v>408</v>
      </c>
      <c r="C30" s="235" t="s">
        <v>386</v>
      </c>
      <c r="D30" s="292" vm="113">
        <v>-116898.47999999998</v>
      </c>
      <c r="F30" s="43"/>
      <c r="G30" s="43"/>
      <c r="H30" s="43"/>
    </row>
    <row r="31" spans="1:8" ht="20" customHeight="1" thickBot="1">
      <c r="A31" s="234">
        <v>519</v>
      </c>
      <c r="B31" s="234" t="s">
        <v>409</v>
      </c>
      <c r="C31" s="235" t="s">
        <v>386</v>
      </c>
      <c r="D31" s="241" vm="114">
        <v>-408703.70000000007</v>
      </c>
      <c r="F31" s="43"/>
      <c r="G31" s="43"/>
      <c r="H31" s="43"/>
    </row>
    <row r="32" spans="1:8" ht="20" customHeight="1" thickBot="1">
      <c r="A32" s="234"/>
      <c r="B32" s="234"/>
      <c r="C32" s="235"/>
      <c r="D32" s="233" t="s">
        <v>390</v>
      </c>
      <c r="F32" s="43"/>
      <c r="G32" s="43"/>
      <c r="H32" s="43"/>
    </row>
    <row r="33" spans="1:8" ht="20" customHeight="1" thickBot="1">
      <c r="A33" s="234">
        <v>5</v>
      </c>
      <c r="B33" s="234" t="s">
        <v>466</v>
      </c>
      <c r="C33" s="235"/>
      <c r="D33" s="233">
        <v>-10606581.770000001</v>
      </c>
      <c r="F33" s="43"/>
      <c r="G33" s="43"/>
      <c r="H33" s="43"/>
    </row>
    <row r="34" spans="1:8" ht="20" customHeight="1" thickBot="1">
      <c r="A34" s="234"/>
      <c r="B34" s="234"/>
      <c r="C34" s="235"/>
      <c r="D34" s="233" t="s">
        <v>390</v>
      </c>
      <c r="F34" s="43"/>
      <c r="G34" s="43"/>
      <c r="H34" s="43"/>
    </row>
    <row r="35" spans="1:8" ht="20" customHeight="1" thickBot="1">
      <c r="A35" s="234">
        <v>993</v>
      </c>
      <c r="B35" s="234" t="s">
        <v>411</v>
      </c>
      <c r="C35" s="235" t="s">
        <v>386</v>
      </c>
      <c r="D35" s="233">
        <v>-109468332.87999998</v>
      </c>
      <c r="F35" s="43"/>
      <c r="G35" s="43"/>
      <c r="H35" s="43"/>
    </row>
    <row r="36" spans="1:8" ht="20" customHeight="1" thickBot="1">
      <c r="A36" s="234"/>
      <c r="B36" s="234"/>
      <c r="C36" s="235"/>
      <c r="D36" s="233" t="s">
        <v>390</v>
      </c>
      <c r="F36" s="43"/>
      <c r="G36" s="43"/>
      <c r="H36" s="43"/>
    </row>
    <row r="37" spans="1:8" ht="20" customHeight="1" thickBot="1">
      <c r="A37" s="234">
        <v>994</v>
      </c>
      <c r="B37" s="234" t="s">
        <v>412</v>
      </c>
      <c r="C37" s="235"/>
      <c r="D37" s="233">
        <v>43712134.680000022</v>
      </c>
      <c r="F37" s="43"/>
      <c r="G37" s="43"/>
      <c r="H37" s="43"/>
    </row>
    <row r="38" spans="1:8" ht="20" customHeight="1" thickBot="1">
      <c r="A38" s="234"/>
      <c r="B38" s="234"/>
      <c r="C38" s="235"/>
      <c r="D38" s="233" t="s">
        <v>390</v>
      </c>
      <c r="F38" s="43"/>
      <c r="G38" s="43"/>
      <c r="H38" s="43"/>
    </row>
    <row r="39" spans="1:8" ht="20" customHeight="1" thickBot="1">
      <c r="A39" s="234">
        <v>70</v>
      </c>
      <c r="B39" s="234" t="s">
        <v>413</v>
      </c>
      <c r="C39" s="235"/>
      <c r="D39" s="233" vm="90">
        <v>12906.659999999996</v>
      </c>
      <c r="F39" s="43"/>
      <c r="G39" s="43"/>
      <c r="H39" s="43"/>
    </row>
    <row r="40" spans="1:8" ht="20" customHeight="1" thickBot="1">
      <c r="A40" s="234">
        <v>71</v>
      </c>
      <c r="B40" s="234" t="s">
        <v>414</v>
      </c>
      <c r="C40" s="235" t="s">
        <v>386</v>
      </c>
      <c r="D40" s="233" vm="92">
        <v>-146.90000000000026</v>
      </c>
      <c r="F40" s="43"/>
      <c r="G40" s="43"/>
      <c r="H40" s="43"/>
    </row>
    <row r="41" spans="1:8" ht="20" customHeight="1" thickBot="1">
      <c r="A41" s="234">
        <v>73</v>
      </c>
      <c r="B41" s="234" t="s">
        <v>415</v>
      </c>
      <c r="C41" s="235"/>
      <c r="D41" s="233" vm="92">
        <v>3270825.01</v>
      </c>
      <c r="F41" s="43"/>
      <c r="G41" s="43"/>
      <c r="H41" s="43"/>
    </row>
    <row r="42" spans="1:8" ht="20" customHeight="1" thickBot="1">
      <c r="A42" s="234">
        <v>810</v>
      </c>
      <c r="B42" s="234" t="s">
        <v>416</v>
      </c>
      <c r="C42" s="235"/>
      <c r="D42" s="233" vm="91">
        <v>110449.38</v>
      </c>
      <c r="F42" s="43"/>
      <c r="G42" s="43"/>
      <c r="H42" s="43"/>
    </row>
    <row r="43" spans="1:8" ht="20" customHeight="1" thickBot="1">
      <c r="A43" s="234">
        <v>820</v>
      </c>
      <c r="B43" s="234" t="s">
        <v>417</v>
      </c>
      <c r="C43" s="235" t="s">
        <v>386</v>
      </c>
      <c r="D43" s="233" vm="91">
        <v>-62989.63</v>
      </c>
      <c r="F43" s="43"/>
      <c r="G43" s="43"/>
      <c r="H43" s="43"/>
    </row>
    <row r="44" spans="1:8" ht="20" customHeight="1" thickBot="1">
      <c r="A44" s="234">
        <v>9</v>
      </c>
      <c r="B44" s="234" t="s">
        <v>418</v>
      </c>
      <c r="C44" s="235"/>
      <c r="D44" s="233">
        <v>0</v>
      </c>
      <c r="F44" s="43"/>
      <c r="G44" s="43"/>
      <c r="H44" s="43"/>
    </row>
    <row r="45" spans="1:8" ht="20" customHeight="1" thickBot="1">
      <c r="A45" s="234"/>
      <c r="B45" s="234"/>
      <c r="C45" s="235"/>
      <c r="D45" s="233" t="s">
        <v>390</v>
      </c>
      <c r="F45" s="43"/>
      <c r="G45" s="43"/>
      <c r="H45" s="43"/>
    </row>
    <row r="46" spans="1:8" ht="20" customHeight="1" thickBot="1">
      <c r="A46" s="234">
        <v>995</v>
      </c>
      <c r="B46" s="234" t="s">
        <v>1867</v>
      </c>
      <c r="C46" s="235"/>
      <c r="D46" s="233">
        <v>3331044.5199999996</v>
      </c>
      <c r="F46" s="43"/>
      <c r="G46" s="43"/>
      <c r="H46" s="43"/>
    </row>
    <row r="47" spans="1:8" ht="20" customHeight="1" thickBot="1">
      <c r="A47" s="234"/>
      <c r="B47" s="234"/>
      <c r="C47" s="235"/>
      <c r="D47" s="233" t="s">
        <v>390</v>
      </c>
      <c r="F47" s="43"/>
      <c r="G47" s="43"/>
      <c r="H47" s="43"/>
    </row>
    <row r="48" spans="1:8" ht="20" customHeight="1" thickBot="1">
      <c r="A48" s="242">
        <v>999</v>
      </c>
      <c r="B48" s="242" t="s">
        <v>419</v>
      </c>
      <c r="C48" s="243"/>
      <c r="D48" s="265">
        <v>47043179.200000018</v>
      </c>
      <c r="F48" s="43"/>
      <c r="G48" s="43"/>
      <c r="H48" s="43"/>
    </row>
    <row r="49" spans="1:5" ht="30" customHeight="1"/>
    <row r="50" spans="1:5" ht="24" customHeight="1">
      <c r="A50" s="293" t="s">
        <v>467</v>
      </c>
      <c r="B50" s="294"/>
      <c r="C50" s="294"/>
      <c r="D50" s="294"/>
      <c r="E50" s="295"/>
    </row>
    <row r="51" spans="1:5" ht="21" customHeight="1" thickBot="1">
      <c r="A51" s="296" t="s">
        <v>468</v>
      </c>
      <c r="B51" s="297" t="s">
        <v>469</v>
      </c>
      <c r="C51" s="298" t="s">
        <v>386</v>
      </c>
      <c r="D51" s="241">
        <v>-24913734.079999998</v>
      </c>
      <c r="E51" s="252"/>
    </row>
    <row r="52" spans="1:5" ht="21" customHeight="1" thickBot="1">
      <c r="A52" s="299" t="s">
        <v>468</v>
      </c>
      <c r="B52" s="234" t="s">
        <v>429</v>
      </c>
      <c r="C52" s="235"/>
      <c r="D52" s="249">
        <v>2402064.1</v>
      </c>
      <c r="E52" s="252"/>
    </row>
    <row r="53" spans="1:5" ht="21" customHeight="1" thickBot="1">
      <c r="A53" s="299" t="s">
        <v>468</v>
      </c>
      <c r="B53" s="234" t="s">
        <v>85</v>
      </c>
      <c r="C53" s="300" t="s">
        <v>386</v>
      </c>
      <c r="D53" s="249">
        <v>-22511669.980000004</v>
      </c>
      <c r="E53" s="252"/>
    </row>
    <row r="54" spans="1:5" ht="15.75" customHeight="1">
      <c r="A54" s="189" t="s">
        <v>346</v>
      </c>
      <c r="B54" s="301"/>
      <c r="C54" s="189"/>
      <c r="D54" s="302"/>
      <c r="E54" s="303"/>
    </row>
    <row r="55" spans="1:5">
      <c r="C55" s="3"/>
      <c r="D55" s="6"/>
      <c r="E55" s="246"/>
    </row>
    <row r="56" spans="1:5">
      <c r="A56" s="3" t="s">
        <v>470</v>
      </c>
      <c r="C56" s="3"/>
      <c r="D56" s="6"/>
      <c r="E56" s="246"/>
    </row>
    <row r="57" spans="1:5">
      <c r="A57" s="304" t="s">
        <v>471</v>
      </c>
      <c r="C57" s="3"/>
      <c r="D57" s="6"/>
      <c r="E57" s="246"/>
    </row>
    <row r="58" spans="1:5">
      <c r="A58" s="258"/>
    </row>
    <row r="59" spans="1:5">
      <c r="A59" s="3" t="s">
        <v>472</v>
      </c>
    </row>
    <row r="62" spans="1:5">
      <c r="A62" s="3" t="s">
        <v>302</v>
      </c>
    </row>
    <row r="68" spans="1:4">
      <c r="B68" s="259"/>
      <c r="C68" s="259"/>
      <c r="D68" s="43"/>
    </row>
    <row r="71" spans="1:4" ht="14">
      <c r="A71" s="260"/>
      <c r="B71" s="260"/>
      <c r="C71" s="261"/>
      <c r="D71" s="262"/>
    </row>
  </sheetData>
  <mergeCells count="1">
    <mergeCell ref="A2:B2"/>
  </mergeCells>
  <pageMargins left="0.6" right="0.63" top="0.78" bottom="0.49" header="0.42" footer="0.4921259845"/>
  <pageSetup paperSize="9" scale="61" orientation="portrait"/>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4279-3F5B-8F4C-A1E4-64136692A803}">
  <sheetPr>
    <pageSetUpPr fitToPage="1"/>
  </sheetPr>
  <dimension ref="A1:J30"/>
  <sheetViews>
    <sheetView zoomScaleNormal="100" workbookViewId="0"/>
  </sheetViews>
  <sheetFormatPr baseColWidth="10" defaultColWidth="11.3984375" defaultRowHeight="13"/>
  <cols>
    <col min="1" max="1" width="14.3984375" style="3" customWidth="1"/>
    <col min="2" max="2" width="17.3984375" style="3" customWidth="1"/>
    <col min="3" max="5" width="15.3984375" style="3" customWidth="1"/>
    <col min="6" max="6" width="16.3984375" style="3" customWidth="1"/>
    <col min="7" max="16384" width="11.3984375" style="3"/>
  </cols>
  <sheetData>
    <row r="1" spans="1:10" s="1" customFormat="1" ht="14" customHeight="1"/>
    <row r="2" spans="1:10" s="1" customFormat="1" ht="26.25" customHeight="1">
      <c r="A2" s="2010" t="s">
        <v>444</v>
      </c>
      <c r="B2" s="2011"/>
      <c r="C2" s="2011"/>
      <c r="D2" s="2011"/>
      <c r="E2" s="2011"/>
      <c r="F2" s="2011"/>
    </row>
    <row r="3" spans="1:10" ht="24" customHeight="1">
      <c r="A3" s="224" t="s">
        <v>445</v>
      </c>
      <c r="B3" s="267" t="s">
        <v>446</v>
      </c>
      <c r="C3" s="268" t="s">
        <v>447</v>
      </c>
      <c r="D3" s="267" t="s">
        <v>448</v>
      </c>
      <c r="E3" s="268" t="s">
        <v>449</v>
      </c>
      <c r="F3" s="267" t="s">
        <v>381</v>
      </c>
    </row>
    <row r="4" spans="1:10" ht="15" customHeight="1">
      <c r="A4" s="269"/>
      <c r="B4" s="270" t="s">
        <v>450</v>
      </c>
      <c r="C4" s="271" t="s">
        <v>451</v>
      </c>
      <c r="D4" s="270" t="s">
        <v>452</v>
      </c>
      <c r="E4" s="272" t="s">
        <v>453</v>
      </c>
      <c r="F4" s="270"/>
    </row>
    <row r="5" spans="1:10" ht="15" customHeight="1">
      <c r="A5" s="269"/>
      <c r="B5" s="270" t="s">
        <v>454</v>
      </c>
      <c r="C5" s="271" t="s">
        <v>455</v>
      </c>
      <c r="D5" s="270"/>
      <c r="E5" s="272" t="s">
        <v>456</v>
      </c>
      <c r="F5" s="270"/>
    </row>
    <row r="6" spans="1:10" ht="21.75" customHeight="1">
      <c r="A6" s="273"/>
      <c r="B6" s="274"/>
      <c r="C6" s="275"/>
      <c r="D6" s="274"/>
      <c r="E6" s="276" t="s">
        <v>457</v>
      </c>
      <c r="F6" s="274"/>
    </row>
    <row r="7" spans="1:10" ht="1.5" customHeight="1" thickBot="1">
      <c r="A7" s="277">
        <v>1996</v>
      </c>
      <c r="B7" s="278">
        <v>-991.77532199999996</v>
      </c>
      <c r="C7" s="279">
        <v>663.77988200000004</v>
      </c>
      <c r="D7" s="278">
        <v>3.1671990000000001</v>
      </c>
      <c r="E7" s="279">
        <v>4.8958959999999996</v>
      </c>
      <c r="F7" s="278">
        <v>-319.932346</v>
      </c>
      <c r="G7" s="6"/>
    </row>
    <row r="8" spans="1:10" ht="0.75" hidden="1" customHeight="1" thickBot="1">
      <c r="A8" s="280">
        <v>1997</v>
      </c>
      <c r="B8" s="281">
        <v>-876.45968600000003</v>
      </c>
      <c r="C8" s="282">
        <v>838.25617299999999</v>
      </c>
      <c r="D8" s="281">
        <v>-2.0302950000000002</v>
      </c>
      <c r="E8" s="282">
        <v>110.40569600000001</v>
      </c>
      <c r="F8" s="281">
        <v>70.171887999999996</v>
      </c>
      <c r="G8" s="6"/>
      <c r="H8" s="8"/>
      <c r="I8" s="8"/>
      <c r="J8" s="8"/>
    </row>
    <row r="9" spans="1:10" ht="25.5" hidden="1" customHeight="1" thickBot="1">
      <c r="A9" s="280">
        <v>1998</v>
      </c>
      <c r="B9" s="281">
        <v>-430.86645099999998</v>
      </c>
      <c r="C9" s="282">
        <v>357.97673800000001</v>
      </c>
      <c r="D9" s="281">
        <v>4.5447670000000002</v>
      </c>
      <c r="E9" s="282">
        <v>68.311649000000003</v>
      </c>
      <c r="F9" s="281">
        <v>-3.3297E-2</v>
      </c>
      <c r="G9" s="6"/>
    </row>
    <row r="10" spans="1:10" ht="19.75" hidden="1" customHeight="1" thickBot="1">
      <c r="A10" s="280">
        <v>1999</v>
      </c>
      <c r="B10" s="281">
        <v>-927.49870799999997</v>
      </c>
      <c r="C10" s="282">
        <v>825.43840799999998</v>
      </c>
      <c r="D10" s="281">
        <v>3.6142530000000002</v>
      </c>
      <c r="E10" s="282">
        <v>49.059277000000002</v>
      </c>
      <c r="F10" s="281">
        <v>-49.386769999999999</v>
      </c>
      <c r="G10" s="6"/>
    </row>
    <row r="11" spans="1:10" ht="0.5" customHeight="1" thickBot="1">
      <c r="A11" s="280">
        <v>2000</v>
      </c>
      <c r="B11" s="281">
        <v>-1105.229685</v>
      </c>
      <c r="C11" s="282">
        <v>733.25541792999991</v>
      </c>
      <c r="D11" s="281">
        <v>3.8776509400000001</v>
      </c>
      <c r="E11" s="282">
        <v>62.142502969999995</v>
      </c>
      <c r="F11" s="281">
        <v>-305.95411339999998</v>
      </c>
      <c r="G11" s="6"/>
    </row>
    <row r="12" spans="1:10" ht="19.5" hidden="1" customHeight="1" thickBot="1">
      <c r="A12" s="280">
        <v>2001</v>
      </c>
      <c r="B12" s="281">
        <v>-1433.3465880000001</v>
      </c>
      <c r="C12" s="282">
        <v>618.03701349999994</v>
      </c>
      <c r="D12" s="281">
        <v>2.4723382099999998</v>
      </c>
      <c r="E12" s="282">
        <v>23.119861409999999</v>
      </c>
      <c r="F12" s="281">
        <v>-789.71737487999997</v>
      </c>
      <c r="G12" s="6"/>
    </row>
    <row r="13" spans="1:10" ht="19.5" hidden="1" customHeight="1" thickBot="1">
      <c r="A13" s="280">
        <v>2002</v>
      </c>
      <c r="B13" s="281">
        <v>-1276.900302</v>
      </c>
      <c r="C13" s="282">
        <v>976.64273475999994</v>
      </c>
      <c r="D13" s="281">
        <v>4.2638926399999999</v>
      </c>
      <c r="E13" s="282">
        <v>72.321311690000002</v>
      </c>
      <c r="F13" s="281">
        <v>-223.67236291000003</v>
      </c>
      <c r="G13" s="6"/>
    </row>
    <row r="14" spans="1:10" ht="19.5" customHeight="1" thickBot="1">
      <c r="A14" s="280">
        <v>2003</v>
      </c>
      <c r="B14" s="281">
        <v>-1199.9593440000001</v>
      </c>
      <c r="C14" s="282">
        <v>1406.6882224999999</v>
      </c>
      <c r="D14" s="281">
        <v>4.8424903200000005</v>
      </c>
      <c r="E14" s="282">
        <v>188.15856750999998</v>
      </c>
      <c r="F14" s="281">
        <v>399.72993632999999</v>
      </c>
      <c r="G14" s="6"/>
    </row>
    <row r="15" spans="1:10" ht="19.5" customHeight="1" thickBot="1">
      <c r="A15" s="280">
        <v>2004</v>
      </c>
      <c r="B15" s="281">
        <v>-1391.6407119999999</v>
      </c>
      <c r="C15" s="282">
        <v>1634.9812055999998</v>
      </c>
      <c r="D15" s="281">
        <v>5.2363249600000001</v>
      </c>
      <c r="E15" s="282">
        <v>265.5648372</v>
      </c>
      <c r="F15" s="281">
        <v>514.14165575999982</v>
      </c>
      <c r="G15" s="6"/>
    </row>
    <row r="16" spans="1:10" ht="19.5" customHeight="1" thickBot="1">
      <c r="A16" s="280">
        <v>2005</v>
      </c>
      <c r="B16" s="281">
        <v>-1649.4161382499999</v>
      </c>
      <c r="C16" s="282">
        <v>1546.15646917</v>
      </c>
      <c r="D16" s="281">
        <v>5.0852622199999997</v>
      </c>
      <c r="E16" s="282">
        <v>269.59908074000003</v>
      </c>
      <c r="F16" s="281">
        <v>171.42467388000009</v>
      </c>
      <c r="G16" s="6"/>
    </row>
    <row r="17" spans="1:7" ht="19.5" customHeight="1" thickBot="1">
      <c r="A17" s="280">
        <v>2006</v>
      </c>
      <c r="B17" s="281">
        <v>-1546.9894788199999</v>
      </c>
      <c r="C17" s="282">
        <v>1652.4787121400002</v>
      </c>
      <c r="D17" s="281">
        <v>4.8317589400000003</v>
      </c>
      <c r="E17" s="282">
        <v>380.62896021</v>
      </c>
      <c r="F17" s="281">
        <v>490.94995247000014</v>
      </c>
      <c r="G17" s="6"/>
    </row>
    <row r="18" spans="1:7" ht="19.5" customHeight="1" thickBot="1">
      <c r="A18" s="280">
        <v>2007</v>
      </c>
      <c r="B18" s="281">
        <v>-1647.7206760699999</v>
      </c>
      <c r="C18" s="282">
        <v>1490.2231348800001</v>
      </c>
      <c r="D18" s="281">
        <v>5.3827035700000003</v>
      </c>
      <c r="E18" s="282">
        <v>330.77491456000001</v>
      </c>
      <c r="F18" s="281">
        <v>178.66007694000018</v>
      </c>
      <c r="G18" s="6"/>
    </row>
    <row r="19" spans="1:7" ht="19.5" customHeight="1" thickBot="1">
      <c r="A19" s="280">
        <v>2008</v>
      </c>
      <c r="B19" s="281">
        <v>-2065.22871609</v>
      </c>
      <c r="C19" s="282">
        <v>1210.1395178499999</v>
      </c>
      <c r="D19" s="281">
        <v>3.7607259900000001</v>
      </c>
      <c r="E19" s="282">
        <v>96.009766569999996</v>
      </c>
      <c r="F19" s="281">
        <v>-755.31870568000011</v>
      </c>
      <c r="G19" s="6"/>
    </row>
    <row r="20" spans="1:7" ht="19.5" customHeight="1" thickBot="1">
      <c r="A20" s="280">
        <v>2009</v>
      </c>
      <c r="B20" s="281">
        <v>-1681.9109433599999</v>
      </c>
      <c r="C20" s="282">
        <v>1084.05465501</v>
      </c>
      <c r="D20" s="281">
        <v>4.3658856799999999</v>
      </c>
      <c r="E20" s="282">
        <v>121.88118064</v>
      </c>
      <c r="F20" s="281">
        <v>-471.60922202999984</v>
      </c>
      <c r="G20" s="6"/>
    </row>
    <row r="21" spans="1:7" ht="19.5" customHeight="1" thickBot="1">
      <c r="A21" s="280">
        <v>2010</v>
      </c>
      <c r="B21" s="281">
        <v>-1450.2067990799999</v>
      </c>
      <c r="C21" s="282">
        <v>1231.1412968599998</v>
      </c>
      <c r="D21" s="281">
        <v>6.3382554500000001</v>
      </c>
      <c r="E21" s="282">
        <v>437.23905256</v>
      </c>
      <c r="F21" s="281">
        <v>224.5118057899999</v>
      </c>
      <c r="G21" s="6"/>
    </row>
    <row r="22" spans="1:7" ht="19.5" customHeight="1" thickBot="1">
      <c r="A22" s="280">
        <v>2011</v>
      </c>
      <c r="B22" s="281">
        <v>-1395.4619334900001</v>
      </c>
      <c r="C22" s="282">
        <v>1202.0855390499999</v>
      </c>
      <c r="D22" s="281">
        <v>6.52914935</v>
      </c>
      <c r="E22" s="282">
        <v>774.51678420000007</v>
      </c>
      <c r="F22" s="281">
        <v>587.66953910999985</v>
      </c>
      <c r="G22" s="6"/>
    </row>
    <row r="23" spans="1:7" ht="19.5" customHeight="1" thickBot="1">
      <c r="A23" s="280">
        <v>2012</v>
      </c>
      <c r="B23" s="281">
        <v>-1127.4137352235175</v>
      </c>
      <c r="C23" s="282">
        <v>1233.7530670045585</v>
      </c>
      <c r="D23" s="281">
        <v>6.4760358299999998</v>
      </c>
      <c r="E23" s="282">
        <v>803.06923873765572</v>
      </c>
      <c r="F23" s="281">
        <v>915.88460634869671</v>
      </c>
      <c r="G23" s="6"/>
    </row>
    <row r="24" spans="1:7" ht="30" customHeight="1" thickBot="1">
      <c r="A24" s="283">
        <v>2013</v>
      </c>
      <c r="B24" s="284">
        <v>-1329.0196129200024</v>
      </c>
      <c r="C24" s="285">
        <v>953.10151687000166</v>
      </c>
      <c r="D24" s="284">
        <v>5.5677666799999974</v>
      </c>
      <c r="E24" s="285">
        <v>229.17033821999672</v>
      </c>
      <c r="F24" s="284">
        <v>-141.17999115000401</v>
      </c>
      <c r="G24" s="286"/>
    </row>
    <row r="25" spans="1:7" ht="20" customHeight="1">
      <c r="A25" s="189" t="s">
        <v>346</v>
      </c>
      <c r="B25" s="189"/>
      <c r="C25" s="189"/>
      <c r="D25" s="189"/>
      <c r="E25" s="189"/>
      <c r="F25" s="189"/>
    </row>
    <row r="26" spans="1:7" ht="12" customHeight="1">
      <c r="A26" s="219"/>
      <c r="B26" s="219"/>
      <c r="C26" s="219"/>
      <c r="D26" s="219"/>
      <c r="E26" s="219"/>
      <c r="F26" s="219"/>
    </row>
    <row r="27" spans="1:7">
      <c r="A27" s="3" t="s">
        <v>458</v>
      </c>
    </row>
    <row r="30" spans="1:7">
      <c r="A30" s="3" t="s">
        <v>302</v>
      </c>
    </row>
  </sheetData>
  <mergeCells count="1">
    <mergeCell ref="A2:F2"/>
  </mergeCells>
  <pageMargins left="0.6" right="0.65" top="1.01" bottom="0.49" header="0.53" footer="0.4921259845"/>
  <pageSetup paperSize="9" scale="85" orientation="portrait"/>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3DEAC-296F-6340-BD4E-D6C803CEF947}">
  <sheetPr>
    <pageSetUpPr fitToPage="1"/>
  </sheetPr>
  <dimension ref="A1:J30"/>
  <sheetViews>
    <sheetView zoomScaleNormal="100" workbookViewId="0">
      <selection activeCell="G29" sqref="G29"/>
    </sheetView>
  </sheetViews>
  <sheetFormatPr baseColWidth="10" defaultColWidth="11.3984375" defaultRowHeight="13"/>
  <cols>
    <col min="1" max="1" width="14.3984375" style="3" customWidth="1"/>
    <col min="2" max="6" width="15.3984375" style="3" customWidth="1"/>
    <col min="7" max="7" width="16.19921875" style="3" customWidth="1"/>
    <col min="8" max="16384" width="11.3984375" style="3"/>
  </cols>
  <sheetData>
    <row r="1" spans="1:10" s="1" customFormat="1" ht="14" customHeight="1"/>
    <row r="2" spans="1:10" s="1" customFormat="1" ht="39" customHeight="1">
      <c r="A2" s="2010" t="s">
        <v>459</v>
      </c>
      <c r="B2" s="2011"/>
      <c r="C2" s="2011"/>
      <c r="D2" s="2011"/>
      <c r="E2" s="2011"/>
      <c r="F2" s="2011"/>
    </row>
    <row r="3" spans="1:10" ht="24" customHeight="1">
      <c r="A3" s="224" t="s">
        <v>460</v>
      </c>
      <c r="B3" s="267" t="s">
        <v>446</v>
      </c>
      <c r="C3" s="268" t="s">
        <v>447</v>
      </c>
      <c r="D3" s="267" t="s">
        <v>448</v>
      </c>
      <c r="E3" s="268" t="s">
        <v>449</v>
      </c>
      <c r="F3" s="267" t="s">
        <v>461</v>
      </c>
    </row>
    <row r="4" spans="1:10" ht="15" customHeight="1">
      <c r="A4" s="269"/>
      <c r="B4" s="270" t="s">
        <v>450</v>
      </c>
      <c r="C4" s="271" t="s">
        <v>451</v>
      </c>
      <c r="D4" s="270" t="s">
        <v>452</v>
      </c>
      <c r="E4" s="272" t="s">
        <v>453</v>
      </c>
      <c r="F4" s="270" t="s">
        <v>462</v>
      </c>
    </row>
    <row r="5" spans="1:10" ht="15" customHeight="1">
      <c r="A5" s="269"/>
      <c r="B5" s="270" t="s">
        <v>454</v>
      </c>
      <c r="C5" s="271" t="s">
        <v>455</v>
      </c>
      <c r="D5" s="270"/>
      <c r="E5" s="272" t="s">
        <v>463</v>
      </c>
      <c r="F5" s="270" t="s">
        <v>464</v>
      </c>
    </row>
    <row r="6" spans="1:10" ht="24" customHeight="1">
      <c r="A6" s="273"/>
      <c r="B6" s="274"/>
      <c r="C6" s="275"/>
      <c r="D6" s="274"/>
      <c r="E6" s="276" t="s">
        <v>457</v>
      </c>
      <c r="F6" s="274"/>
    </row>
    <row r="7" spans="1:10" ht="1.5" customHeight="1" thickBot="1">
      <c r="A7" s="277">
        <v>1996</v>
      </c>
      <c r="B7" s="287">
        <v>-209.25119249563258</v>
      </c>
      <c r="C7" s="288">
        <v>287.88798918153714</v>
      </c>
      <c r="D7" s="287">
        <v>113.8133893919793</v>
      </c>
      <c r="E7" s="288">
        <v>40.26296485139558</v>
      </c>
      <c r="F7" s="287">
        <v>-44.467447531910054</v>
      </c>
    </row>
    <row r="8" spans="1:10" ht="0.75" hidden="1" customHeight="1" thickBot="1">
      <c r="A8" s="280">
        <v>1997</v>
      </c>
      <c r="B8" s="289">
        <v>-214.61582270081155</v>
      </c>
      <c r="C8" s="159">
        <v>306.33942450638875</v>
      </c>
      <c r="D8" s="289">
        <v>-176.63955107012353</v>
      </c>
      <c r="E8" s="159">
        <v>288.19554520703849</v>
      </c>
      <c r="F8" s="289">
        <v>9.7260962701001628</v>
      </c>
      <c r="H8" s="8"/>
      <c r="I8" s="8"/>
      <c r="J8" s="8"/>
    </row>
    <row r="9" spans="1:10" ht="19.5" hidden="1" customHeight="1" thickBot="1">
      <c r="A9" s="280">
        <v>1998</v>
      </c>
      <c r="B9" s="289">
        <v>-107.28033046607707</v>
      </c>
      <c r="C9" s="159">
        <v>131.29687859897859</v>
      </c>
      <c r="D9" s="289">
        <v>384.2379945891106</v>
      </c>
      <c r="E9" s="159">
        <v>138.27149421099506</v>
      </c>
      <c r="F9" s="289">
        <v>-4.5935747895146139E-3</v>
      </c>
    </row>
    <row r="10" spans="1:10" ht="19.75" hidden="1" customHeight="1" thickBot="1">
      <c r="A10" s="280">
        <v>1999</v>
      </c>
      <c r="B10" s="289">
        <v>-231.94750851767455</v>
      </c>
      <c r="C10" s="159">
        <v>303.95700464199626</v>
      </c>
      <c r="D10" s="289">
        <v>352.33505556638721</v>
      </c>
      <c r="E10" s="159">
        <v>90.53364520474635</v>
      </c>
      <c r="F10" s="289">
        <v>-6.7964685777290796</v>
      </c>
    </row>
    <row r="11" spans="1:10" ht="19.75" hidden="1" customHeight="1" thickBot="1">
      <c r="A11" s="280">
        <v>2000</v>
      </c>
      <c r="B11" s="289">
        <v>-281.80831964955939</v>
      </c>
      <c r="C11" s="159">
        <v>265.81296038591444</v>
      </c>
      <c r="D11" s="289">
        <v>395.23503618387525</v>
      </c>
      <c r="E11" s="159">
        <v>107.54256442516194</v>
      </c>
      <c r="F11" s="289">
        <v>-42.095410127886048</v>
      </c>
    </row>
    <row r="12" spans="1:10" ht="20" hidden="1" customHeight="1" thickBot="1">
      <c r="A12" s="280">
        <v>2001</v>
      </c>
      <c r="B12" s="289">
        <v>-369.21073383560986</v>
      </c>
      <c r="C12" s="159">
        <v>218.09355776804139</v>
      </c>
      <c r="D12" s="289">
        <v>264.67596724119471</v>
      </c>
      <c r="E12" s="159">
        <v>38.795684474417683</v>
      </c>
      <c r="F12" s="289">
        <v>-107.86592232759077</v>
      </c>
    </row>
    <row r="13" spans="1:10" ht="20" hidden="1" customHeight="1" thickBot="1">
      <c r="A13" s="280">
        <v>2002</v>
      </c>
      <c r="B13" s="289">
        <v>-334.90929649130862</v>
      </c>
      <c r="C13" s="159">
        <v>327.64230472151957</v>
      </c>
      <c r="D13" s="289">
        <v>482.61376796830785</v>
      </c>
      <c r="E13" s="159">
        <v>129.83261678350553</v>
      </c>
      <c r="F13" s="289">
        <v>-30.392888912290669</v>
      </c>
    </row>
    <row r="14" spans="1:10" ht="20" customHeight="1" thickBot="1">
      <c r="A14" s="280">
        <v>2003</v>
      </c>
      <c r="B14" s="289">
        <v>-326.58442193959615</v>
      </c>
      <c r="C14" s="159">
        <v>452.73392575127201</v>
      </c>
      <c r="D14" s="289">
        <v>582.24002885655887</v>
      </c>
      <c r="E14" s="159">
        <v>311.77683579562023</v>
      </c>
      <c r="F14" s="289">
        <v>54.067330132819563</v>
      </c>
    </row>
    <row r="15" spans="1:10" ht="20" customHeight="1" thickBot="1">
      <c r="A15" s="280">
        <v>2004</v>
      </c>
      <c r="B15" s="289">
        <v>-382.39377988050956</v>
      </c>
      <c r="C15" s="159">
        <v>540.52128193947215</v>
      </c>
      <c r="D15" s="289">
        <v>646.61953074833286</v>
      </c>
      <c r="E15" s="159">
        <v>355.14430610645576</v>
      </c>
      <c r="F15" s="289">
        <v>69.291571070195104</v>
      </c>
    </row>
    <row r="16" spans="1:10" ht="20" customHeight="1" thickBot="1">
      <c r="A16" s="280">
        <v>2005</v>
      </c>
      <c r="B16" s="289">
        <v>-457.46233703722402</v>
      </c>
      <c r="C16" s="159">
        <v>526.06943385550483</v>
      </c>
      <c r="D16" s="289">
        <v>659.48154843729731</v>
      </c>
      <c r="E16" s="159">
        <v>297.53361969202518</v>
      </c>
      <c r="F16" s="289">
        <v>22.983877251046639</v>
      </c>
    </row>
    <row r="17" spans="1:6" ht="20" customHeight="1" thickBot="1">
      <c r="A17" s="280">
        <v>2006</v>
      </c>
      <c r="B17" s="289">
        <v>-460.949938416431</v>
      </c>
      <c r="C17" s="159">
        <v>592.83257515796822</v>
      </c>
      <c r="D17" s="289">
        <v>669.21868975069253</v>
      </c>
      <c r="E17" s="159">
        <v>280.53307562761364</v>
      </c>
      <c r="F17" s="289">
        <v>65.394207090333808</v>
      </c>
    </row>
    <row r="18" spans="1:6" ht="20" customHeight="1" thickBot="1">
      <c r="A18" s="280">
        <v>2007</v>
      </c>
      <c r="B18" s="289">
        <v>-523.18043356720625</v>
      </c>
      <c r="C18" s="159">
        <v>577.6616172956227</v>
      </c>
      <c r="D18" s="289">
        <v>779.76293930175291</v>
      </c>
      <c r="E18" s="159">
        <v>179.66674102290708</v>
      </c>
      <c r="F18" s="289">
        <v>23.57885238636468</v>
      </c>
    </row>
    <row r="19" spans="1:6" ht="20" customHeight="1" thickBot="1">
      <c r="A19" s="280">
        <v>2008</v>
      </c>
      <c r="B19" s="289">
        <v>-695.79333085705503</v>
      </c>
      <c r="C19" s="159">
        <v>505.40006483827597</v>
      </c>
      <c r="D19" s="289">
        <v>573.54369223730373</v>
      </c>
      <c r="E19" s="159">
        <v>41.734830202162946</v>
      </c>
      <c r="F19" s="289">
        <v>-98.482009802061683</v>
      </c>
    </row>
    <row r="20" spans="1:6" ht="20" customHeight="1" thickBot="1">
      <c r="A20" s="280">
        <v>2009</v>
      </c>
      <c r="B20" s="289">
        <v>-617.40706927192127</v>
      </c>
      <c r="C20" s="159">
        <v>501.83068232343282</v>
      </c>
      <c r="D20" s="289">
        <v>710.13104749512036</v>
      </c>
      <c r="E20" s="159">
        <v>42.639330908197657</v>
      </c>
      <c r="F20" s="289">
        <v>-60.861268998486345</v>
      </c>
    </row>
    <row r="21" spans="1:6" ht="20" customHeight="1" thickBot="1">
      <c r="A21" s="280">
        <v>2010</v>
      </c>
      <c r="B21" s="289">
        <v>-605.39071524853591</v>
      </c>
      <c r="C21" s="159">
        <v>703.46750642247537</v>
      </c>
      <c r="D21" s="289">
        <v>1118.2525494001411</v>
      </c>
      <c r="E21" s="159">
        <v>119.09418401622064</v>
      </c>
      <c r="F21" s="289">
        <v>28.700286181136185</v>
      </c>
    </row>
    <row r="22" spans="1:6" ht="20" customHeight="1" thickBot="1">
      <c r="A22" s="280">
        <v>2011</v>
      </c>
      <c r="B22" s="289">
        <v>-644.45246992511591</v>
      </c>
      <c r="C22" s="159">
        <v>785.63523045511965</v>
      </c>
      <c r="D22" s="289">
        <v>1243.4106551133116</v>
      </c>
      <c r="E22" s="159">
        <v>184.13071637706312</v>
      </c>
      <c r="F22" s="289">
        <v>74.322514170985116</v>
      </c>
    </row>
    <row r="23" spans="1:6" ht="20" customHeight="1" thickBot="1">
      <c r="A23" s="280">
        <v>2012</v>
      </c>
      <c r="B23" s="289">
        <v>-561.75029134699707</v>
      </c>
      <c r="C23" s="159">
        <v>894.59637362497779</v>
      </c>
      <c r="D23" s="289">
        <v>1294.6892902838865</v>
      </c>
      <c r="E23" s="159">
        <v>174.27021983880326</v>
      </c>
      <c r="F23" s="289">
        <v>114.49603786904737</v>
      </c>
    </row>
    <row r="24" spans="1:6" s="200" customFormat="1" ht="24.5" customHeight="1" thickBot="1">
      <c r="A24" s="283">
        <v>2013</v>
      </c>
      <c r="B24" s="290">
        <v>-699.33898597869836</v>
      </c>
      <c r="C24" s="291">
        <v>742.52742257463763</v>
      </c>
      <c r="D24" s="290">
        <v>1156.8183419904421</v>
      </c>
      <c r="E24" s="291">
        <v>46.742822909884147</v>
      </c>
      <c r="F24" s="290">
        <v>-17.447744034238511</v>
      </c>
    </row>
    <row r="25" spans="1:6" ht="20" customHeight="1">
      <c r="A25" s="189" t="s">
        <v>346</v>
      </c>
      <c r="B25" s="189"/>
      <c r="C25" s="189"/>
      <c r="D25" s="189"/>
      <c r="E25" s="189"/>
      <c r="F25" s="189"/>
    </row>
    <row r="27" spans="1:6">
      <c r="A27" s="3" t="s">
        <v>465</v>
      </c>
    </row>
    <row r="30" spans="1:6">
      <c r="A30" s="3" t="s">
        <v>302</v>
      </c>
    </row>
  </sheetData>
  <mergeCells count="1">
    <mergeCell ref="A2:F2"/>
  </mergeCells>
  <pageMargins left="0.57999999999999996" right="0.72" top="1.1000000000000001" bottom="0.49" header="0.57999999999999996" footer="0.4921259845"/>
  <pageSetup paperSize="9" scale="83" orientation="portrait" horizontalDpi="4294967292" verticalDpi="429496729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353CD-4870-2E41-9452-7455387A2A77}">
  <sheetPr>
    <pageSetUpPr fitToPage="1"/>
  </sheetPr>
  <dimension ref="A1:J30"/>
  <sheetViews>
    <sheetView zoomScaleNormal="100" workbookViewId="0">
      <selection activeCell="A23" sqref="A23:IV23"/>
    </sheetView>
  </sheetViews>
  <sheetFormatPr baseColWidth="10" defaultColWidth="11.3984375" defaultRowHeight="13"/>
  <cols>
    <col min="1" max="1" width="14.3984375" style="3" customWidth="1"/>
    <col min="2" max="7" width="15.3984375" style="3" customWidth="1"/>
    <col min="8" max="8" width="17.59765625" style="3" customWidth="1"/>
    <col min="9" max="16384" width="11.3984375" style="3"/>
  </cols>
  <sheetData>
    <row r="1" spans="1:10" s="1" customFormat="1" ht="14" customHeight="1"/>
    <row r="2" spans="1:10" s="1" customFormat="1" ht="24.5" customHeight="1">
      <c r="A2" s="311" t="s">
        <v>481</v>
      </c>
      <c r="H2" s="312"/>
    </row>
    <row r="3" spans="1:10" ht="24" customHeight="1">
      <c r="A3" s="224" t="s">
        <v>460</v>
      </c>
      <c r="B3" s="267" t="s">
        <v>446</v>
      </c>
      <c r="C3" s="268" t="s">
        <v>447</v>
      </c>
      <c r="D3" s="267" t="s">
        <v>448</v>
      </c>
      <c r="E3" s="268" t="s">
        <v>449</v>
      </c>
      <c r="F3" s="267" t="s">
        <v>381</v>
      </c>
      <c r="G3" s="268" t="s">
        <v>482</v>
      </c>
      <c r="H3" s="270" t="s">
        <v>462</v>
      </c>
    </row>
    <row r="4" spans="1:10" ht="15" customHeight="1">
      <c r="A4" s="269"/>
      <c r="B4" s="270" t="s">
        <v>450</v>
      </c>
      <c r="C4" s="271" t="s">
        <v>451</v>
      </c>
      <c r="D4" s="270" t="s">
        <v>483</v>
      </c>
      <c r="E4" s="271" t="s">
        <v>453</v>
      </c>
      <c r="F4" s="270"/>
      <c r="G4" s="271" t="s">
        <v>462</v>
      </c>
      <c r="H4" s="313" t="s">
        <v>484</v>
      </c>
    </row>
    <row r="5" spans="1:10" ht="15" customHeight="1">
      <c r="A5" s="269"/>
      <c r="B5" s="270" t="s">
        <v>454</v>
      </c>
      <c r="C5" s="271" t="s">
        <v>455</v>
      </c>
      <c r="D5" s="270" t="s">
        <v>485</v>
      </c>
      <c r="E5" s="271" t="s">
        <v>456</v>
      </c>
      <c r="F5" s="270"/>
      <c r="G5" s="314" t="s">
        <v>484</v>
      </c>
      <c r="H5" s="315" t="s">
        <v>486</v>
      </c>
    </row>
    <row r="6" spans="1:10" ht="20.25" customHeight="1">
      <c r="A6" s="273"/>
      <c r="B6" s="274"/>
      <c r="C6" s="275"/>
      <c r="D6" s="274"/>
      <c r="E6" s="275" t="s">
        <v>457</v>
      </c>
      <c r="F6" s="274"/>
      <c r="G6" s="275" t="s">
        <v>487</v>
      </c>
      <c r="H6" s="274"/>
    </row>
    <row r="7" spans="1:10" ht="1.25" customHeight="1" thickBot="1">
      <c r="A7" s="316">
        <v>1996</v>
      </c>
      <c r="B7" s="278">
        <v>649.20907799999998</v>
      </c>
      <c r="C7" s="279">
        <v>296.20469200000002</v>
      </c>
      <c r="D7" s="317">
        <v>2.7034440000000002</v>
      </c>
      <c r="E7" s="279">
        <v>11.710364999999999</v>
      </c>
      <c r="F7" s="278">
        <v>959.82757900000001</v>
      </c>
      <c r="G7" s="318">
        <v>8.160992566527614E-2</v>
      </c>
      <c r="H7" s="278">
        <v>11761.162275000001</v>
      </c>
    </row>
    <row r="8" spans="1:10" ht="20.25" hidden="1" customHeight="1" thickBot="1">
      <c r="A8" s="319">
        <v>1997</v>
      </c>
      <c r="B8" s="281">
        <v>500.88918699999999</v>
      </c>
      <c r="C8" s="282">
        <v>356.20229</v>
      </c>
      <c r="D8" s="320">
        <v>0.94700200000000001</v>
      </c>
      <c r="E8" s="282">
        <v>35.169956999999997</v>
      </c>
      <c r="F8" s="281">
        <v>893.208437</v>
      </c>
      <c r="G8" s="321">
        <v>7.2355407590263501E-2</v>
      </c>
      <c r="H8" s="281">
        <v>12344.736444</v>
      </c>
      <c r="I8" s="8"/>
      <c r="J8" s="8"/>
    </row>
    <row r="9" spans="1:10" ht="20.25" hidden="1" customHeight="1" thickBot="1">
      <c r="A9" s="319">
        <v>1998</v>
      </c>
      <c r="B9" s="281">
        <v>457.36546700000002</v>
      </c>
      <c r="C9" s="282">
        <v>348.23780499999998</v>
      </c>
      <c r="D9" s="320">
        <v>0.77532999999999996</v>
      </c>
      <c r="E9" s="282">
        <v>48.566195999999998</v>
      </c>
      <c r="F9" s="281">
        <v>854.94479699999999</v>
      </c>
      <c r="G9" s="321">
        <v>6.5539994260804965E-2</v>
      </c>
      <c r="H9" s="281">
        <v>13044.627279</v>
      </c>
    </row>
    <row r="10" spans="1:10" ht="19.75" hidden="1" customHeight="1" thickBot="1">
      <c r="A10" s="319">
        <v>1999</v>
      </c>
      <c r="B10" s="281">
        <v>466.63042200000001</v>
      </c>
      <c r="C10" s="282">
        <v>332.81061399999999</v>
      </c>
      <c r="D10" s="320">
        <v>0.65314099999999997</v>
      </c>
      <c r="E10" s="282">
        <v>54.148946000000002</v>
      </c>
      <c r="F10" s="281">
        <v>854.24312299999997</v>
      </c>
      <c r="G10" s="321">
        <v>6.3520258007815578E-2</v>
      </c>
      <c r="H10" s="281">
        <v>13448.357260999999</v>
      </c>
    </row>
    <row r="11" spans="1:10" ht="0.5" customHeight="1" thickBot="1">
      <c r="A11" s="319">
        <v>2000</v>
      </c>
      <c r="B11" s="281">
        <v>463.03968730999998</v>
      </c>
      <c r="C11" s="282">
        <v>338.66405874999998</v>
      </c>
      <c r="D11" s="320">
        <v>0.69213239999999998</v>
      </c>
      <c r="E11" s="282">
        <v>60.882478249999998</v>
      </c>
      <c r="F11" s="281">
        <v>863.27835670999991</v>
      </c>
      <c r="G11" s="321">
        <v>6.0778319554744782E-2</v>
      </c>
      <c r="H11" s="281">
        <v>14203.722035000001</v>
      </c>
    </row>
    <row r="12" spans="1:10" ht="20" hidden="1" customHeight="1" thickBot="1">
      <c r="A12" s="319">
        <v>2001</v>
      </c>
      <c r="B12" s="281">
        <v>473.4058023</v>
      </c>
      <c r="C12" s="282">
        <v>367.78467855999997</v>
      </c>
      <c r="D12" s="320">
        <v>0.74993127000000004</v>
      </c>
      <c r="E12" s="282">
        <v>66.915939469999998</v>
      </c>
      <c r="F12" s="281">
        <v>908.85635160000004</v>
      </c>
      <c r="G12" s="321">
        <v>6.0883052653460515E-2</v>
      </c>
      <c r="H12" s="281">
        <v>14927.903775999999</v>
      </c>
    </row>
    <row r="13" spans="1:10" ht="20" hidden="1" customHeight="1" thickBot="1">
      <c r="A13" s="319">
        <v>2002</v>
      </c>
      <c r="B13" s="281">
        <v>472.86005104000003</v>
      </c>
      <c r="C13" s="282">
        <v>381.94053387999998</v>
      </c>
      <c r="D13" s="320">
        <v>0.68625539000000002</v>
      </c>
      <c r="E13" s="282">
        <v>68.086548329999999</v>
      </c>
      <c r="F13" s="281">
        <v>923.57338864000008</v>
      </c>
      <c r="G13" s="321">
        <v>5.9305732530714958E-2</v>
      </c>
      <c r="H13" s="281">
        <v>15573.087949999999</v>
      </c>
    </row>
    <row r="14" spans="1:10" ht="20" customHeight="1" thickBot="1">
      <c r="A14" s="319">
        <v>2003</v>
      </c>
      <c r="B14" s="281">
        <v>470.97029786000002</v>
      </c>
      <c r="C14" s="282">
        <v>408.59478426000004</v>
      </c>
      <c r="D14" s="320">
        <v>0.69236929000000003</v>
      </c>
      <c r="E14" s="282">
        <v>68.876407299999997</v>
      </c>
      <c r="F14" s="281">
        <v>949.13385871000003</v>
      </c>
      <c r="G14" s="321">
        <v>5.7102364889053812E-2</v>
      </c>
      <c r="H14" s="281">
        <v>16621.620847999999</v>
      </c>
    </row>
    <row r="15" spans="1:10" ht="20" customHeight="1" thickBot="1">
      <c r="A15" s="319">
        <v>2004</v>
      </c>
      <c r="B15" s="281">
        <v>484.89785329</v>
      </c>
      <c r="C15" s="282">
        <v>415.93059272000005</v>
      </c>
      <c r="D15" s="320">
        <v>0.72310930000000007</v>
      </c>
      <c r="E15" s="282">
        <v>85.829196190000005</v>
      </c>
      <c r="F15" s="281">
        <v>987.38075149999997</v>
      </c>
      <c r="G15" s="321">
        <v>5.6068315584587115E-2</v>
      </c>
      <c r="H15" s="281">
        <v>17610.315936999999</v>
      </c>
    </row>
    <row r="16" spans="1:10" ht="20" customHeight="1" thickBot="1">
      <c r="A16" s="319">
        <v>2005</v>
      </c>
      <c r="B16" s="281">
        <v>499.70172670000005</v>
      </c>
      <c r="C16" s="282">
        <v>398.93824144999996</v>
      </c>
      <c r="D16" s="320">
        <v>0.73337903999999998</v>
      </c>
      <c r="E16" s="282">
        <v>99.764105649999991</v>
      </c>
      <c r="F16" s="281">
        <v>999.13745284000004</v>
      </c>
      <c r="G16" s="321">
        <v>5.3974609336098663E-2</v>
      </c>
      <c r="H16" s="281">
        <v>18511.249365759999</v>
      </c>
    </row>
    <row r="17" spans="1:9" ht="20" customHeight="1" thickBot="1">
      <c r="A17" s="319">
        <v>2006</v>
      </c>
      <c r="B17" s="281">
        <v>508.33811201999998</v>
      </c>
      <c r="C17" s="282">
        <v>413.42068921999999</v>
      </c>
      <c r="D17" s="320">
        <v>0.82242013000000003</v>
      </c>
      <c r="E17" s="282">
        <v>155.37155938000001</v>
      </c>
      <c r="F17" s="281">
        <v>1077.9527807500001</v>
      </c>
      <c r="G17" s="321">
        <v>5.6978300934543424E-2</v>
      </c>
      <c r="H17" s="281">
        <v>18918.654348580003</v>
      </c>
    </row>
    <row r="18" spans="1:9" ht="20" customHeight="1" thickBot="1">
      <c r="A18" s="319">
        <v>2007</v>
      </c>
      <c r="B18" s="281">
        <v>481.02098633999998</v>
      </c>
      <c r="C18" s="282">
        <v>375.93586996999994</v>
      </c>
      <c r="D18" s="320">
        <v>0.73084894999999994</v>
      </c>
      <c r="E18" s="282">
        <v>214.01462028999998</v>
      </c>
      <c r="F18" s="281">
        <v>1071.7023255499998</v>
      </c>
      <c r="G18" s="321">
        <v>5.4317232192756151E-2</v>
      </c>
      <c r="H18" s="281">
        <v>19730.429594549998</v>
      </c>
    </row>
    <row r="19" spans="1:9" ht="20" customHeight="1" thickBot="1">
      <c r="A19" s="319">
        <v>2008</v>
      </c>
      <c r="B19" s="281">
        <v>494.93695520999995</v>
      </c>
      <c r="C19" s="282">
        <v>380.25120643000002</v>
      </c>
      <c r="D19" s="320">
        <v>1.0176752199999999</v>
      </c>
      <c r="E19" s="282">
        <v>292.41166817999999</v>
      </c>
      <c r="F19" s="281">
        <v>1168.61750504</v>
      </c>
      <c r="G19" s="321">
        <v>5.6945041751302432E-2</v>
      </c>
      <c r="H19" s="281">
        <v>20521.848243500001</v>
      </c>
    </row>
    <row r="20" spans="1:9" ht="20" customHeight="1" thickBot="1">
      <c r="A20" s="319">
        <v>2009</v>
      </c>
      <c r="B20" s="281">
        <v>471.00206706</v>
      </c>
      <c r="C20" s="282">
        <v>343.37352005000002</v>
      </c>
      <c r="D20" s="320">
        <v>0.93321898000000003</v>
      </c>
      <c r="E20" s="282">
        <v>318.95528353000003</v>
      </c>
      <c r="F20" s="281">
        <v>1134.26408962</v>
      </c>
      <c r="G20" s="321">
        <v>5.3220919384584751E-2</v>
      </c>
      <c r="H20" s="281">
        <v>21312.37308066</v>
      </c>
    </row>
    <row r="21" spans="1:9" ht="20" customHeight="1" thickBot="1">
      <c r="A21" s="319">
        <v>2010</v>
      </c>
      <c r="B21" s="281">
        <v>455.71942082999999</v>
      </c>
      <c r="C21" s="282">
        <v>304.80923538000002</v>
      </c>
      <c r="D21" s="320">
        <v>0.89981051000000001</v>
      </c>
      <c r="E21" s="282">
        <v>464.01499822000005</v>
      </c>
      <c r="F21" s="281">
        <v>1225.44346494</v>
      </c>
      <c r="G21" s="321">
        <v>5.5200957332831042E-2</v>
      </c>
      <c r="H21" s="281">
        <v>22199.677761949999</v>
      </c>
    </row>
    <row r="22" spans="1:9" ht="20" customHeight="1" thickBot="1">
      <c r="A22" s="319">
        <v>2011</v>
      </c>
      <c r="B22" s="281">
        <v>411.97753652</v>
      </c>
      <c r="C22" s="282">
        <v>262.80639998000004</v>
      </c>
      <c r="D22" s="320">
        <v>0.79432531000000006</v>
      </c>
      <c r="E22" s="282">
        <v>579.08079178000003</v>
      </c>
      <c r="F22" s="281">
        <v>1254.65905359</v>
      </c>
      <c r="G22" s="321">
        <v>5.4420163641072827E-2</v>
      </c>
      <c r="H22" s="281">
        <v>23055.040074209999</v>
      </c>
    </row>
    <row r="23" spans="1:9" ht="20" customHeight="1" thickBot="1">
      <c r="A23" s="319">
        <v>2012</v>
      </c>
      <c r="B23" s="281">
        <v>384.29905683999999</v>
      </c>
      <c r="C23" s="282">
        <v>234.74842206999995</v>
      </c>
      <c r="D23" s="320">
        <v>0.77901889000000035</v>
      </c>
      <c r="E23" s="282">
        <v>622.04983021999988</v>
      </c>
      <c r="F23" s="281">
        <v>1241.8763280199996</v>
      </c>
      <c r="G23" s="321">
        <v>5.1632998881645603E-2</v>
      </c>
      <c r="H23" s="281">
        <v>24051.989133280018</v>
      </c>
    </row>
    <row r="24" spans="1:9" ht="27" customHeight="1" thickBot="1">
      <c r="A24" s="322">
        <v>2013</v>
      </c>
      <c r="B24" s="284">
        <v>375.24650899000011</v>
      </c>
      <c r="C24" s="285">
        <v>222.38309891</v>
      </c>
      <c r="D24" s="323">
        <v>0.77339946000000004</v>
      </c>
      <c r="E24" s="285">
        <v>664.37785149000001</v>
      </c>
      <c r="F24" s="284">
        <v>1262.7808588500002</v>
      </c>
      <c r="G24" s="324">
        <v>4.9751086712088693E-2</v>
      </c>
      <c r="H24" s="325">
        <v>25381.975395989997</v>
      </c>
      <c r="I24" s="6"/>
    </row>
    <row r="25" spans="1:9" ht="20" customHeight="1">
      <c r="A25" s="189" t="s">
        <v>346</v>
      </c>
      <c r="B25" s="189"/>
      <c r="C25" s="189"/>
      <c r="D25" s="189"/>
      <c r="E25" s="189"/>
      <c r="F25" s="189"/>
      <c r="G25" s="189"/>
    </row>
    <row r="26" spans="1:9">
      <c r="F26" s="326"/>
    </row>
    <row r="27" spans="1:9">
      <c r="A27" s="3" t="s">
        <v>488</v>
      </c>
    </row>
    <row r="30" spans="1:9">
      <c r="A30" s="3" t="s">
        <v>302</v>
      </c>
    </row>
  </sheetData>
  <pageMargins left="0.48" right="0.56000000000000005" top="0.94" bottom="0.49" header="0.57999999999999996" footer="0.4921259845"/>
  <pageSetup paperSize="9" scale="74" orientation="portrait" horizontalDpi="1200" verticalDpi="12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7045C-834F-534A-B085-2BD42B43C25D}">
  <sheetPr>
    <pageSetUpPr fitToPage="1"/>
  </sheetPr>
  <dimension ref="A1:J33"/>
  <sheetViews>
    <sheetView zoomScaleNormal="100" workbookViewId="0">
      <selection activeCell="G24" sqref="G24"/>
    </sheetView>
  </sheetViews>
  <sheetFormatPr baseColWidth="10" defaultColWidth="11.3984375" defaultRowHeight="13"/>
  <cols>
    <col min="1" max="1" width="19.59765625" style="3" customWidth="1"/>
    <col min="2" max="7" width="14.796875" style="3" customWidth="1"/>
    <col min="8" max="8" width="15.3984375" style="3" customWidth="1"/>
    <col min="9" max="16384" width="11.3984375" style="3"/>
  </cols>
  <sheetData>
    <row r="1" spans="1:10" s="1" customFormat="1" ht="14" customHeight="1"/>
    <row r="2" spans="1:10" s="1" customFormat="1" ht="39" customHeight="1">
      <c r="A2" s="2010" t="s">
        <v>473</v>
      </c>
      <c r="B2" s="2011"/>
      <c r="C2" s="2011"/>
      <c r="D2" s="2011"/>
      <c r="E2" s="2011"/>
      <c r="F2" s="2011"/>
      <c r="G2" s="2011"/>
    </row>
    <row r="3" spans="1:10" ht="24" customHeight="1">
      <c r="A3" s="224" t="s">
        <v>474</v>
      </c>
      <c r="B3" s="267" t="s">
        <v>446</v>
      </c>
      <c r="C3" s="268" t="s">
        <v>447</v>
      </c>
      <c r="D3" s="267" t="s">
        <v>448</v>
      </c>
      <c r="E3" s="268" t="s">
        <v>449</v>
      </c>
      <c r="F3" s="267" t="s">
        <v>461</v>
      </c>
      <c r="G3" s="305" t="s">
        <v>475</v>
      </c>
    </row>
    <row r="4" spans="1:10" ht="15" customHeight="1">
      <c r="A4" s="269"/>
      <c r="B4" s="270" t="s">
        <v>450</v>
      </c>
      <c r="C4" s="271" t="s">
        <v>451</v>
      </c>
      <c r="D4" s="270" t="s">
        <v>452</v>
      </c>
      <c r="E4" s="272" t="s">
        <v>453</v>
      </c>
      <c r="F4" s="270" t="s">
        <v>462</v>
      </c>
      <c r="G4" s="306" t="s">
        <v>476</v>
      </c>
    </row>
    <row r="5" spans="1:10" ht="15" customHeight="1">
      <c r="A5" s="269"/>
      <c r="B5" s="270" t="s">
        <v>454</v>
      </c>
      <c r="C5" s="271" t="s">
        <v>455</v>
      </c>
      <c r="D5" s="270"/>
      <c r="E5" s="272" t="s">
        <v>456</v>
      </c>
      <c r="F5" s="270" t="s">
        <v>464</v>
      </c>
      <c r="G5" s="306" t="s">
        <v>477</v>
      </c>
    </row>
    <row r="6" spans="1:10" ht="24" customHeight="1">
      <c r="A6" s="273"/>
      <c r="B6" s="274"/>
      <c r="C6" s="275"/>
      <c r="D6" s="274"/>
      <c r="E6" s="276" t="s">
        <v>457</v>
      </c>
      <c r="F6" s="274"/>
      <c r="G6" s="307"/>
    </row>
    <row r="7" spans="1:10" ht="1.5" customHeight="1" thickBot="1">
      <c r="A7" s="277">
        <v>1996</v>
      </c>
      <c r="B7" s="287">
        <v>136.25633624011897</v>
      </c>
      <c r="C7" s="288">
        <v>127.79353200948181</v>
      </c>
      <c r="D7" s="287">
        <v>96.63909680636462</v>
      </c>
      <c r="E7" s="288">
        <v>95.799111034393832</v>
      </c>
      <c r="F7" s="287">
        <v>132.70728197496163</v>
      </c>
      <c r="G7" s="308" t="s">
        <v>153</v>
      </c>
    </row>
    <row r="8" spans="1:10" ht="0.75" hidden="1" customHeight="1" thickBot="1">
      <c r="A8" s="280">
        <v>1997</v>
      </c>
      <c r="B8" s="289">
        <v>122.28388291326327</v>
      </c>
      <c r="C8" s="159">
        <v>129.78383725884626</v>
      </c>
      <c r="D8" s="289">
        <v>82.144307921487695</v>
      </c>
      <c r="E8" s="159">
        <v>91.530406769184182</v>
      </c>
      <c r="F8" s="289">
        <v>123.43149540708447</v>
      </c>
      <c r="G8" s="309">
        <v>-6.9896590675613865E-2</v>
      </c>
      <c r="H8" s="8"/>
      <c r="I8" s="8"/>
      <c r="J8" s="8"/>
    </row>
    <row r="9" spans="1:10" ht="19.5" hidden="1" customHeight="1" thickBot="1">
      <c r="A9" s="280">
        <v>1998</v>
      </c>
      <c r="B9" s="289">
        <v>113.90947743657725</v>
      </c>
      <c r="C9" s="159">
        <v>127.75990429514097</v>
      </c>
      <c r="D9" s="289">
        <v>65.568362624341077</v>
      </c>
      <c r="E9" s="159">
        <v>98.331132505025209</v>
      </c>
      <c r="F9" s="289">
        <v>117.97848775207628</v>
      </c>
      <c r="G9" s="309">
        <v>-4.4178413597144285E-2</v>
      </c>
    </row>
    <row r="10" spans="1:10" ht="0.5" customHeight="1" thickBot="1">
      <c r="A10" s="280">
        <v>1999</v>
      </c>
      <c r="B10" s="289">
        <v>116.6302387940619</v>
      </c>
      <c r="C10" s="159">
        <v>122.48597640832864</v>
      </c>
      <c r="D10" s="289">
        <v>63.636453645907217</v>
      </c>
      <c r="E10" s="159">
        <v>99.871273541122832</v>
      </c>
      <c r="F10" s="289">
        <v>117.4940565477967</v>
      </c>
      <c r="G10" s="309">
        <v>-4.1060977599371553E-3</v>
      </c>
    </row>
    <row r="11" spans="1:10" ht="19.75" hidden="1" customHeight="1" thickBot="1">
      <c r="A11" s="280">
        <v>2000</v>
      </c>
      <c r="B11" s="289">
        <v>118.11326184499447</v>
      </c>
      <c r="C11" s="159">
        <v>122.82001844339827</v>
      </c>
      <c r="D11" s="289">
        <v>70.575681714912832</v>
      </c>
      <c r="E11" s="159">
        <v>105.40546938179519</v>
      </c>
      <c r="F11" s="289">
        <v>118.82517955467451</v>
      </c>
      <c r="G11" s="309">
        <v>1.1329279505608872E-2</v>
      </c>
    </row>
    <row r="12" spans="1:10" ht="20" hidden="1" customHeight="1" thickBot="1">
      <c r="A12" s="280">
        <v>2001</v>
      </c>
      <c r="B12" s="289">
        <v>122.28094527947958</v>
      </c>
      <c r="C12" s="159">
        <v>130.14398309335388</v>
      </c>
      <c r="D12" s="289">
        <v>80.506361665597908</v>
      </c>
      <c r="E12" s="159">
        <v>112.59779374933687</v>
      </c>
      <c r="F12" s="289">
        <v>124.4829649981852</v>
      </c>
      <c r="G12" s="309">
        <v>4.7614364772808095E-2</v>
      </c>
    </row>
    <row r="13" spans="1:10" ht="20" hidden="1" customHeight="1" thickBot="1">
      <c r="A13" s="280">
        <v>2002</v>
      </c>
      <c r="B13" s="289">
        <v>124.27195786188075</v>
      </c>
      <c r="C13" s="159">
        <v>128.38973481689291</v>
      </c>
      <c r="D13" s="289">
        <v>77.830445649226519</v>
      </c>
      <c r="E13" s="159">
        <v>122.4754761732322</v>
      </c>
      <c r="F13" s="289">
        <v>125.74808222386092</v>
      </c>
      <c r="G13" s="309">
        <v>1.0162974714605868E-2</v>
      </c>
    </row>
    <row r="14" spans="1:10" ht="20" customHeight="1" thickBot="1">
      <c r="A14" s="280">
        <v>2003</v>
      </c>
      <c r="B14" s="289">
        <v>128.5402458391188</v>
      </c>
      <c r="C14" s="159">
        <v>131.87263408168673</v>
      </c>
      <c r="D14" s="289">
        <v>83.481024310609115</v>
      </c>
      <c r="E14" s="159">
        <v>114.44768353320697</v>
      </c>
      <c r="F14" s="289">
        <v>128.73966972012906</v>
      </c>
      <c r="G14" s="309">
        <v>2.379032302808734E-2</v>
      </c>
    </row>
    <row r="15" spans="1:10" ht="20" customHeight="1" thickBot="1">
      <c r="A15" s="280">
        <v>2004</v>
      </c>
      <c r="B15" s="289">
        <v>133.89664863820261</v>
      </c>
      <c r="C15" s="159">
        <v>138.18364680965905</v>
      </c>
      <c r="D15" s="289">
        <v>89.735012221915184</v>
      </c>
      <c r="E15" s="159">
        <v>115.34667566120858</v>
      </c>
      <c r="F15" s="289">
        <v>133.72666834516727</v>
      </c>
      <c r="G15" s="309">
        <v>3.8737077979767956E-2</v>
      </c>
    </row>
    <row r="16" spans="1:10" ht="20" customHeight="1" thickBot="1">
      <c r="A16" s="280">
        <v>2005</v>
      </c>
      <c r="B16" s="289">
        <v>139.01270585958784</v>
      </c>
      <c r="C16" s="159">
        <v>136.1488062285959</v>
      </c>
      <c r="D16" s="289">
        <v>95.397354752764386</v>
      </c>
      <c r="E16" s="159">
        <v>110.4359557992189</v>
      </c>
      <c r="F16" s="289">
        <v>134.36734701880684</v>
      </c>
      <c r="G16" s="309">
        <v>4.7909566698086633E-3</v>
      </c>
    </row>
    <row r="17" spans="1:7" ht="20" customHeight="1" thickBot="1">
      <c r="A17" s="280">
        <v>2006</v>
      </c>
      <c r="B17" s="289">
        <v>152.05712262324346</v>
      </c>
      <c r="C17" s="159">
        <v>148.89361962722464</v>
      </c>
      <c r="D17" s="289">
        <v>114.35212235678111</v>
      </c>
      <c r="E17" s="159">
        <v>114.95859950450664</v>
      </c>
      <c r="F17" s="289">
        <v>144.14164974186156</v>
      </c>
      <c r="G17" s="309">
        <v>7.2743139906503093E-2</v>
      </c>
    </row>
    <row r="18" spans="1:7" ht="20" customHeight="1" thickBot="1">
      <c r="A18" s="280">
        <v>2007</v>
      </c>
      <c r="B18" s="289">
        <v>153.53394819727981</v>
      </c>
      <c r="C18" s="159">
        <v>146.49016496747089</v>
      </c>
      <c r="D18" s="289">
        <v>106.4295548199686</v>
      </c>
      <c r="E18" s="159">
        <v>116.85601145123582</v>
      </c>
      <c r="F18" s="289">
        <v>142.18108092891754</v>
      </c>
      <c r="G18" s="309">
        <v>-1.3601681515752978E-2</v>
      </c>
    </row>
    <row r="19" spans="1:7" ht="20" customHeight="1" thickBot="1">
      <c r="A19" s="280">
        <v>2008</v>
      </c>
      <c r="B19" s="289">
        <v>167.93193432892173</v>
      </c>
      <c r="C19" s="159">
        <v>159.93435091546164</v>
      </c>
      <c r="D19" s="289">
        <v>156.30588062787325</v>
      </c>
      <c r="E19" s="159">
        <v>128.01157384011668</v>
      </c>
      <c r="F19" s="289">
        <v>153.45122216145543</v>
      </c>
      <c r="G19" s="309">
        <v>7.9266110223007225E-2</v>
      </c>
    </row>
    <row r="20" spans="1:7" ht="20" customHeight="1" thickBot="1">
      <c r="A20" s="280">
        <v>2009</v>
      </c>
      <c r="B20" s="289">
        <v>171.40267042150649</v>
      </c>
      <c r="C20" s="159">
        <v>157.32558072140361</v>
      </c>
      <c r="D20" s="289">
        <v>151.57606667132279</v>
      </c>
      <c r="E20" s="159">
        <v>115.05500459047256</v>
      </c>
      <c r="F20" s="289">
        <v>147.137937911667</v>
      </c>
      <c r="G20" s="309">
        <v>-4.1141961340300348E-2</v>
      </c>
    </row>
    <row r="21" spans="1:7" ht="20" customHeight="1" thickBot="1">
      <c r="A21" s="280">
        <v>2010</v>
      </c>
      <c r="B21" s="289">
        <v>188.877451795903</v>
      </c>
      <c r="C21" s="159">
        <v>172.52463858216302</v>
      </c>
      <c r="D21" s="289">
        <v>158.24377663232056</v>
      </c>
      <c r="E21" s="159">
        <v>129.09245090218451</v>
      </c>
      <c r="F21" s="289">
        <v>157.5188625219555</v>
      </c>
      <c r="G21" s="309">
        <v>7.0552331761782661E-2</v>
      </c>
    </row>
    <row r="22" spans="1:7" ht="20" customHeight="1" thickBot="1">
      <c r="A22" s="280">
        <v>2011</v>
      </c>
      <c r="B22" s="289">
        <v>188.95587733254902</v>
      </c>
      <c r="C22" s="159">
        <v>170.43105300862277</v>
      </c>
      <c r="D22" s="289">
        <v>150.91658718608338</v>
      </c>
      <c r="E22" s="159">
        <v>140.03650848931724</v>
      </c>
      <c r="F22" s="289">
        <v>159.5695842935244</v>
      </c>
      <c r="G22" s="309">
        <v>1.3018896522840606E-2</v>
      </c>
    </row>
    <row r="23" spans="1:7" ht="20" customHeight="1" thickBot="1">
      <c r="A23" s="280">
        <v>2012</v>
      </c>
      <c r="B23" s="289">
        <v>190.1319357782121</v>
      </c>
      <c r="C23" s="159">
        <v>168.90981638857878</v>
      </c>
      <c r="D23" s="289">
        <v>155.36874551256486</v>
      </c>
      <c r="E23" s="159">
        <v>137.09585335191196</v>
      </c>
      <c r="F23" s="289">
        <v>156.14491013470354</v>
      </c>
      <c r="G23" s="309">
        <v>-2.1461948240218853E-2</v>
      </c>
    </row>
    <row r="24" spans="1:7" ht="26.25" customHeight="1" thickBot="1">
      <c r="A24" s="283">
        <v>2013</v>
      </c>
      <c r="B24" s="290">
        <v>196.33841948315165</v>
      </c>
      <c r="C24" s="291">
        <v>172.28735061865231</v>
      </c>
      <c r="D24" s="290">
        <v>160.09660037716088</v>
      </c>
      <c r="E24" s="291">
        <v>137.29351469281559</v>
      </c>
      <c r="F24" s="290">
        <v>156.94657120546304</v>
      </c>
      <c r="G24" s="310">
        <v>5.1340839100546543E-3</v>
      </c>
    </row>
    <row r="25" spans="1:7" ht="20.25" customHeight="1">
      <c r="A25" s="189" t="s">
        <v>346</v>
      </c>
      <c r="B25" s="189"/>
      <c r="C25" s="189"/>
      <c r="D25" s="189"/>
      <c r="E25" s="189"/>
      <c r="F25" s="189"/>
      <c r="G25" s="189"/>
    </row>
    <row r="27" spans="1:7">
      <c r="A27" s="3" t="s">
        <v>478</v>
      </c>
    </row>
    <row r="28" spans="1:7">
      <c r="A28" s="3" t="s">
        <v>479</v>
      </c>
    </row>
    <row r="30" spans="1:7">
      <c r="A30" s="3" t="s">
        <v>480</v>
      </c>
    </row>
    <row r="33" spans="1:1">
      <c r="A33" s="3" t="s">
        <v>302</v>
      </c>
    </row>
  </sheetData>
  <mergeCells count="1">
    <mergeCell ref="A2:G2"/>
  </mergeCells>
  <pageMargins left="0.55000000000000004" right="0.55000000000000004" top="1.0900000000000001" bottom="0.49" header="0.53" footer="0.4921259845"/>
  <pageSetup paperSize="9" scale="74" orientation="portrait" horizontalDpi="4294967292" verticalDpi="4294967292"/>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A3FC8-8EEA-8C42-9D7E-D601E96E3BAB}">
  <sheetPr>
    <pageSetUpPr fitToPage="1"/>
  </sheetPr>
  <dimension ref="A1:K36"/>
  <sheetViews>
    <sheetView zoomScaleNormal="100" workbookViewId="0"/>
  </sheetViews>
  <sheetFormatPr baseColWidth="10" defaultColWidth="11.3984375" defaultRowHeight="13"/>
  <cols>
    <col min="1" max="1" width="17.796875" style="3" customWidth="1"/>
    <col min="2" max="5" width="17.3984375" style="3" customWidth="1"/>
    <col min="6" max="6" width="17.3984375" style="492" customWidth="1"/>
    <col min="7" max="7" width="17.3984375" style="3" customWidth="1"/>
    <col min="8" max="16384" width="11.3984375" style="3"/>
  </cols>
  <sheetData>
    <row r="1" spans="1:11" s="1" customFormat="1" ht="14" customHeight="1">
      <c r="F1" s="673"/>
    </row>
    <row r="2" spans="1:11" s="1" customFormat="1" ht="24" customHeight="1">
      <c r="A2" s="311" t="s">
        <v>2015</v>
      </c>
      <c r="F2" s="327"/>
      <c r="G2" s="1105"/>
    </row>
    <row r="3" spans="1:11" ht="24" customHeight="1">
      <c r="A3" s="224" t="s">
        <v>460</v>
      </c>
      <c r="B3" s="267" t="s">
        <v>2005</v>
      </c>
      <c r="C3" s="305" t="s">
        <v>475</v>
      </c>
      <c r="D3" s="267" t="s">
        <v>861</v>
      </c>
      <c r="E3" s="466" t="s">
        <v>2016</v>
      </c>
      <c r="F3" s="1337" t="s">
        <v>2016</v>
      </c>
      <c r="G3" s="466" t="s">
        <v>2017</v>
      </c>
    </row>
    <row r="4" spans="1:11" ht="15" customHeight="1">
      <c r="A4" s="269"/>
      <c r="B4" s="614" t="s">
        <v>861</v>
      </c>
      <c r="C4" s="306" t="s">
        <v>476</v>
      </c>
      <c r="D4" s="614" t="s">
        <v>2018</v>
      </c>
      <c r="E4" s="683" t="s">
        <v>2019</v>
      </c>
      <c r="F4" s="1272" t="s">
        <v>2019</v>
      </c>
      <c r="G4" s="683"/>
    </row>
    <row r="5" spans="1:11" ht="15" customHeight="1">
      <c r="A5" s="269"/>
      <c r="B5" s="315" t="s">
        <v>843</v>
      </c>
      <c r="C5" s="306" t="s">
        <v>477</v>
      </c>
      <c r="D5" s="270" t="s">
        <v>2020</v>
      </c>
      <c r="E5" s="683" t="s">
        <v>2021</v>
      </c>
      <c r="F5" s="1272" t="s">
        <v>2022</v>
      </c>
      <c r="G5" s="683"/>
    </row>
    <row r="6" spans="1:11" ht="22.5" customHeight="1">
      <c r="A6" s="273"/>
      <c r="B6" s="274"/>
      <c r="C6" s="307"/>
      <c r="D6" s="274"/>
      <c r="E6" s="275"/>
      <c r="F6" s="1273"/>
      <c r="G6" s="275"/>
    </row>
    <row r="7" spans="1:11" ht="1.5" customHeight="1" thickBot="1">
      <c r="A7" s="277">
        <v>1996</v>
      </c>
      <c r="B7" s="287">
        <v>2856.0771495999998</v>
      </c>
      <c r="C7" s="308" t="s">
        <v>1858</v>
      </c>
      <c r="D7" s="287">
        <v>394.88575237875602</v>
      </c>
      <c r="E7" s="318">
        <v>0.25659604678130066</v>
      </c>
      <c r="F7" s="740">
        <v>0.16889043725722225</v>
      </c>
      <c r="G7" s="318" t="s">
        <v>153</v>
      </c>
    </row>
    <row r="8" spans="1:11" ht="0.75" hidden="1" customHeight="1" thickBot="1">
      <c r="A8" s="280">
        <v>1997</v>
      </c>
      <c r="B8" s="289">
        <v>2991.8799653000001</v>
      </c>
      <c r="C8" s="309">
        <v>4.7548721055738929E-2</v>
      </c>
      <c r="D8" s="289">
        <v>413.44461478530076</v>
      </c>
      <c r="E8" s="741">
        <v>0.24848089473110047</v>
      </c>
      <c r="F8" s="433">
        <v>0.17196051689003333</v>
      </c>
      <c r="G8" s="741" t="s">
        <v>153</v>
      </c>
      <c r="I8" s="8"/>
      <c r="J8" s="8"/>
      <c r="K8" s="8"/>
    </row>
    <row r="9" spans="1:11" ht="22.5" hidden="1" customHeight="1" thickBot="1">
      <c r="A9" s="280">
        <v>1998</v>
      </c>
      <c r="B9" s="289">
        <v>2985.5309591999999</v>
      </c>
      <c r="C9" s="309">
        <v>-2.1220791521171876E-3</v>
      </c>
      <c r="D9" s="289">
        <v>411.98967338686089</v>
      </c>
      <c r="E9" s="741">
        <v>0.23492819435144413</v>
      </c>
      <c r="F9" s="433">
        <v>0.16909401257090675</v>
      </c>
      <c r="G9" s="741" t="s">
        <v>153</v>
      </c>
    </row>
    <row r="10" spans="1:11" ht="0.5" hidden="1" customHeight="1" thickBot="1">
      <c r="A10" s="280">
        <v>1999</v>
      </c>
      <c r="B10" s="289">
        <v>3077.4121471999997</v>
      </c>
      <c r="C10" s="309">
        <v>3.0775493289347849E-2</v>
      </c>
      <c r="D10" s="289">
        <v>423.27251702147385</v>
      </c>
      <c r="E10" s="741">
        <v>0.23610935015841622</v>
      </c>
      <c r="F10" s="433">
        <v>0.17151239307717711</v>
      </c>
      <c r="G10" s="741" t="s">
        <v>153</v>
      </c>
    </row>
    <row r="11" spans="1:11" ht="19.75" hidden="1" customHeight="1" thickBot="1">
      <c r="A11" s="280">
        <v>2000</v>
      </c>
      <c r="B11" s="289">
        <v>2832.1064589000002</v>
      </c>
      <c r="C11" s="309">
        <v>-7.9711678698347957E-2</v>
      </c>
      <c r="D11" s="289">
        <v>389.82276793217119</v>
      </c>
      <c r="E11" s="741">
        <v>0.21069626660407667</v>
      </c>
      <c r="F11" s="433">
        <v>0.16991133453450352</v>
      </c>
      <c r="G11" s="741" t="s">
        <v>153</v>
      </c>
    </row>
    <row r="12" spans="1:11" ht="20" hidden="1" customHeight="1" thickBot="1">
      <c r="A12" s="280">
        <v>2001</v>
      </c>
      <c r="B12" s="289">
        <v>2102.6392701999998</v>
      </c>
      <c r="C12" s="309">
        <v>-0.25757053955638659</v>
      </c>
      <c r="D12" s="289">
        <v>287.99008361810974</v>
      </c>
      <c r="E12" s="741">
        <v>0.15021735666544661</v>
      </c>
      <c r="F12" s="433">
        <v>0.16939255966928513</v>
      </c>
      <c r="G12" s="741" t="s">
        <v>153</v>
      </c>
    </row>
    <row r="13" spans="1:11" ht="20" hidden="1" customHeight="1" thickBot="1">
      <c r="A13" s="280">
        <v>2002</v>
      </c>
      <c r="B13" s="289">
        <v>1965.5320859999999</v>
      </c>
      <c r="C13" s="309">
        <v>-6.5207183249725215E-2</v>
      </c>
      <c r="D13" s="289">
        <v>267.61478124431557</v>
      </c>
      <c r="E13" s="741">
        <v>0.12800562007019203</v>
      </c>
      <c r="F13" s="433">
        <v>0.16961724397646502</v>
      </c>
      <c r="G13" s="741" t="s">
        <v>153</v>
      </c>
    </row>
    <row r="14" spans="1:11" ht="20" customHeight="1" thickBot="1">
      <c r="A14" s="280">
        <v>2003</v>
      </c>
      <c r="B14" s="289">
        <v>2393.7060728000001</v>
      </c>
      <c r="C14" s="309">
        <v>0.2178412603130612</v>
      </c>
      <c r="D14" s="289">
        <v>324.68015590359045</v>
      </c>
      <c r="E14" s="741">
        <v>0.14231214354211111</v>
      </c>
      <c r="F14" s="433">
        <v>0.170648522304884</v>
      </c>
      <c r="G14" s="741" t="s">
        <v>153</v>
      </c>
    </row>
    <row r="15" spans="1:11" ht="20" customHeight="1" thickBot="1">
      <c r="A15" s="280">
        <v>2004</v>
      </c>
      <c r="B15" s="289">
        <v>2968.4810149999998</v>
      </c>
      <c r="C15" s="309">
        <v>0.24011926473815798</v>
      </c>
      <c r="D15" s="289">
        <v>402.03849991887398</v>
      </c>
      <c r="E15" s="741">
        <v>0.16464390527007836</v>
      </c>
      <c r="F15" s="433">
        <v>0.16498531532934302</v>
      </c>
      <c r="G15" s="741" t="s">
        <v>153</v>
      </c>
    </row>
    <row r="16" spans="1:11" ht="20" customHeight="1" thickBot="1">
      <c r="A16" s="280">
        <v>2005</v>
      </c>
      <c r="B16" s="289">
        <v>3184.4883300000001</v>
      </c>
      <c r="C16" s="309">
        <v>7.2766951820980502E-2</v>
      </c>
      <c r="D16" s="289">
        <v>428.26064350549666</v>
      </c>
      <c r="E16" s="741">
        <v>0.17216782468933323</v>
      </c>
      <c r="F16" s="433">
        <v>0.16198747607257327</v>
      </c>
      <c r="G16" s="741" t="s">
        <v>153</v>
      </c>
    </row>
    <row r="17" spans="1:7" ht="20" customHeight="1" thickBot="1">
      <c r="A17" s="280">
        <v>2006</v>
      </c>
      <c r="B17" s="289">
        <v>3749.0085764</v>
      </c>
      <c r="C17" s="309">
        <v>0.17727188417738679</v>
      </c>
      <c r="D17" s="289">
        <v>501.3096435628392</v>
      </c>
      <c r="E17" s="741">
        <v>0.19410142905887745</v>
      </c>
      <c r="F17" s="433">
        <v>0.16226794774511255</v>
      </c>
      <c r="G17" s="741" t="s">
        <v>153</v>
      </c>
    </row>
    <row r="18" spans="1:7" ht="20" customHeight="1" thickBot="1">
      <c r="A18" s="280">
        <v>2007</v>
      </c>
      <c r="B18" s="289">
        <v>3970.4438487200005</v>
      </c>
      <c r="C18" s="309">
        <v>5.9065021540344008E-2</v>
      </c>
      <c r="D18" s="289">
        <v>526.75277940082935</v>
      </c>
      <c r="E18" s="741">
        <v>0.20165652481540366</v>
      </c>
      <c r="F18" s="433">
        <v>0.14404868700935056</v>
      </c>
      <c r="G18" s="741" t="s">
        <v>153</v>
      </c>
    </row>
    <row r="19" spans="1:7" ht="20" customHeight="1" thickBot="1">
      <c r="A19" s="280">
        <v>2008</v>
      </c>
      <c r="B19" s="289">
        <v>3251.9246672899999</v>
      </c>
      <c r="C19" s="309">
        <v>-0.18096696712173332</v>
      </c>
      <c r="D19" s="289">
        <v>427.01052060248747</v>
      </c>
      <c r="E19" s="741">
        <v>0.16513713887296896</v>
      </c>
      <c r="F19" s="433">
        <v>0.12504203657801569</v>
      </c>
      <c r="G19" s="741" t="s">
        <v>153</v>
      </c>
    </row>
    <row r="20" spans="1:7" ht="20" customHeight="1" thickBot="1">
      <c r="A20" s="280">
        <v>2009</v>
      </c>
      <c r="B20" s="289">
        <v>2863.0083966900002</v>
      </c>
      <c r="C20" s="309">
        <v>-0.11959571957861626</v>
      </c>
      <c r="D20" s="289">
        <v>371.39247578148081</v>
      </c>
      <c r="E20" s="741">
        <v>0.14226293301594328</v>
      </c>
      <c r="F20" s="433">
        <v>0.11570685531661619</v>
      </c>
      <c r="G20" s="741" t="s">
        <v>153</v>
      </c>
    </row>
    <row r="21" spans="1:7" ht="20" customHeight="1" thickBot="1">
      <c r="A21" s="280">
        <v>2010</v>
      </c>
      <c r="B21" s="289">
        <v>3115.7425221299982</v>
      </c>
      <c r="C21" s="309">
        <v>8.8275719251187157E-2</v>
      </c>
      <c r="D21" s="289">
        <v>400.498474410467</v>
      </c>
      <c r="E21" s="741">
        <v>0.14129428895428542</v>
      </c>
      <c r="F21" s="433">
        <v>0.11794364414276826</v>
      </c>
      <c r="G21" s="741" t="s">
        <v>153</v>
      </c>
    </row>
    <row r="22" spans="1:7" ht="20" customHeight="1" thickBot="1">
      <c r="A22" s="280">
        <v>2011</v>
      </c>
      <c r="B22" s="289">
        <v>3710.7086986599998</v>
      </c>
      <c r="C22" s="309">
        <v>0.19095485981404781</v>
      </c>
      <c r="D22" s="289">
        <v>471.93399801474044</v>
      </c>
      <c r="E22" s="741">
        <v>0.15702589734700953</v>
      </c>
      <c r="F22" s="433">
        <v>0.10795280327500194</v>
      </c>
      <c r="G22" s="741" t="s">
        <v>153</v>
      </c>
    </row>
    <row r="23" spans="1:7" ht="20" customHeight="1" thickBot="1">
      <c r="A23" s="280">
        <v>2012</v>
      </c>
      <c r="B23" s="1339">
        <v>6503.6949367299985</v>
      </c>
      <c r="C23" s="1340" t="s">
        <v>153</v>
      </c>
      <c r="D23" s="1339">
        <v>817.72949684208777</v>
      </c>
      <c r="E23" s="1347" t="s">
        <v>153</v>
      </c>
      <c r="F23" s="1341" t="s">
        <v>153</v>
      </c>
      <c r="G23" s="741">
        <v>1.7229892961854574</v>
      </c>
    </row>
    <row r="24" spans="1:7" ht="30" customHeight="1" thickBot="1">
      <c r="A24" s="283">
        <v>2013</v>
      </c>
      <c r="B24" s="1233">
        <v>6361.8757346599996</v>
      </c>
      <c r="C24" s="1342">
        <v>-2.1805943152263585E-2</v>
      </c>
      <c r="D24" s="1233">
        <v>790.69505784272883</v>
      </c>
      <c r="E24" s="1310" t="s">
        <v>153</v>
      </c>
      <c r="F24" s="566" t="s">
        <v>153</v>
      </c>
      <c r="G24" s="1310">
        <v>1.6078393560784257</v>
      </c>
    </row>
    <row r="25" spans="1:7" ht="20" customHeight="1">
      <c r="A25" s="189" t="s">
        <v>346</v>
      </c>
      <c r="B25" s="189"/>
      <c r="C25" s="189"/>
      <c r="D25" s="189"/>
      <c r="E25" s="189"/>
      <c r="F25" s="686"/>
      <c r="G25" s="686"/>
    </row>
    <row r="26" spans="1:7" ht="14.25" customHeight="1">
      <c r="A26" s="219"/>
      <c r="B26" s="219"/>
      <c r="C26" s="219"/>
      <c r="D26" s="219"/>
      <c r="E26" s="219"/>
      <c r="F26" s="687"/>
      <c r="G26" s="219"/>
    </row>
    <row r="27" spans="1:7" ht="12.75" customHeight="1">
      <c r="A27" s="219" t="s">
        <v>2023</v>
      </c>
      <c r="B27" s="219"/>
      <c r="C27" s="219"/>
      <c r="D27" s="219"/>
      <c r="E27" s="219"/>
      <c r="F27" s="687"/>
      <c r="G27" s="219"/>
    </row>
    <row r="28" spans="1:7">
      <c r="A28" s="3" t="s">
        <v>2024</v>
      </c>
    </row>
    <row r="29" spans="1:7">
      <c r="A29" s="219" t="s">
        <v>2025</v>
      </c>
    </row>
    <row r="30" spans="1:7">
      <c r="A30" t="s">
        <v>2026</v>
      </c>
    </row>
    <row r="31" spans="1:7">
      <c r="A31" s="837" t="s">
        <v>2027</v>
      </c>
    </row>
    <row r="32" spans="1:7">
      <c r="A32" s="219"/>
    </row>
    <row r="33" spans="1:1">
      <c r="A33" s="3" t="s">
        <v>2028</v>
      </c>
    </row>
    <row r="36" spans="1:1">
      <c r="A36" s="3" t="s">
        <v>302</v>
      </c>
    </row>
  </sheetData>
  <pageMargins left="0.44" right="0.26" top="0.82677165354330717" bottom="0.47244094488188981" header="0.51181102362204722" footer="0.51181102362204722"/>
  <pageSetup paperSize="9" scale="74" orientation="portrait" horizontalDpi="2400" verticalDpi="240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87052-31AD-EE49-AF7C-BB6EAFA0CAE3}">
  <sheetPr>
    <pageSetUpPr fitToPage="1"/>
  </sheetPr>
  <dimension ref="A1:K34"/>
  <sheetViews>
    <sheetView zoomScaleNormal="100" workbookViewId="0"/>
  </sheetViews>
  <sheetFormatPr baseColWidth="10" defaultColWidth="11.3984375" defaultRowHeight="13"/>
  <cols>
    <col min="1" max="1" width="21" style="3" customWidth="1"/>
    <col min="2" max="2" width="16.796875" style="3" customWidth="1"/>
    <col min="3" max="3" width="15.3984375" style="3" customWidth="1"/>
    <col min="4" max="4" width="16.59765625" style="3" customWidth="1"/>
    <col min="5" max="5" width="15.3984375" style="3" customWidth="1"/>
    <col min="6" max="6" width="17.3984375" style="492" customWidth="1"/>
    <col min="7" max="7" width="15.3984375" style="3" customWidth="1"/>
    <col min="8" max="16384" width="11.3984375" style="3"/>
  </cols>
  <sheetData>
    <row r="1" spans="1:11" s="1" customFormat="1" ht="14" customHeight="1">
      <c r="F1" s="673"/>
    </row>
    <row r="2" spans="1:11" s="1" customFormat="1" ht="24" customHeight="1">
      <c r="A2" s="2010" t="s">
        <v>2004</v>
      </c>
      <c r="B2" s="2011"/>
      <c r="C2" s="2011"/>
      <c r="D2" s="2011"/>
      <c r="E2" s="2011"/>
      <c r="F2" s="2011"/>
      <c r="G2" s="327"/>
    </row>
    <row r="3" spans="1:11" ht="24" customHeight="1">
      <c r="A3" s="224" t="s">
        <v>460</v>
      </c>
      <c r="B3" s="267" t="s">
        <v>2005</v>
      </c>
      <c r="C3" s="305" t="s">
        <v>475</v>
      </c>
      <c r="D3" s="267" t="s">
        <v>2006</v>
      </c>
      <c r="E3" s="305" t="s">
        <v>475</v>
      </c>
      <c r="F3" s="1337" t="s">
        <v>1573</v>
      </c>
      <c r="G3" s="1111"/>
    </row>
    <row r="4" spans="1:11" ht="15" customHeight="1">
      <c r="A4" s="269"/>
      <c r="B4" s="614" t="s">
        <v>2007</v>
      </c>
      <c r="C4" s="306" t="s">
        <v>476</v>
      </c>
      <c r="D4" s="614" t="s">
        <v>2008</v>
      </c>
      <c r="E4" s="306" t="s">
        <v>476</v>
      </c>
      <c r="F4" s="1272" t="s">
        <v>1526</v>
      </c>
      <c r="G4" s="1111"/>
    </row>
    <row r="5" spans="1:11" ht="15" customHeight="1">
      <c r="A5" s="269"/>
      <c r="B5" s="270" t="s">
        <v>2009</v>
      </c>
      <c r="C5" s="306" t="s">
        <v>477</v>
      </c>
      <c r="D5" s="270" t="s">
        <v>1536</v>
      </c>
      <c r="E5" s="306" t="s">
        <v>477</v>
      </c>
      <c r="F5" s="1272" t="s">
        <v>1505</v>
      </c>
      <c r="G5" s="1111"/>
    </row>
    <row r="6" spans="1:11" ht="24" customHeight="1">
      <c r="A6" s="273"/>
      <c r="B6" s="274" t="s">
        <v>843</v>
      </c>
      <c r="C6" s="307"/>
      <c r="D6" s="274" t="s">
        <v>1556</v>
      </c>
      <c r="E6" s="307"/>
      <c r="F6" s="1273" t="s">
        <v>2010</v>
      </c>
      <c r="G6" s="1306"/>
    </row>
    <row r="7" spans="1:11" ht="2.25" customHeight="1" thickBot="1">
      <c r="A7" s="277">
        <v>1996</v>
      </c>
      <c r="B7" s="287">
        <v>3454.5367919999999</v>
      </c>
      <c r="C7" s="308" t="s">
        <v>1858</v>
      </c>
      <c r="D7" s="287">
        <v>477.62973077565988</v>
      </c>
      <c r="E7" s="308" t="s">
        <v>1858</v>
      </c>
      <c r="F7" s="740">
        <v>0.3204435263250443</v>
      </c>
      <c r="G7" s="1338"/>
    </row>
    <row r="8" spans="1:11" ht="0.75" hidden="1" customHeight="1" thickBot="1">
      <c r="A8" s="280">
        <v>1997</v>
      </c>
      <c r="B8" s="289">
        <v>3507.8977540000001</v>
      </c>
      <c r="C8" s="309">
        <v>1.5446632996809664E-2</v>
      </c>
      <c r="D8" s="289">
        <v>484.75254775428522</v>
      </c>
      <c r="E8" s="309">
        <v>1.4912842563334664E-2</v>
      </c>
      <c r="F8" s="433">
        <v>0.30878035637656381</v>
      </c>
      <c r="G8" s="1338"/>
      <c r="I8" s="8"/>
      <c r="J8" s="8"/>
      <c r="K8" s="8"/>
    </row>
    <row r="9" spans="1:11" ht="19.5" hidden="1" customHeight="1" thickBot="1">
      <c r="A9" s="280">
        <v>1998</v>
      </c>
      <c r="B9" s="289">
        <v>3693.9578390000001</v>
      </c>
      <c r="C9" s="309">
        <v>5.3040338700818382E-2</v>
      </c>
      <c r="D9" s="289">
        <v>509.74935597525797</v>
      </c>
      <c r="E9" s="309">
        <v>5.1566120357232882E-2</v>
      </c>
      <c r="F9" s="433">
        <v>0.30971755221728081</v>
      </c>
      <c r="G9" s="1338"/>
    </row>
    <row r="10" spans="1:11" ht="19.75" hidden="1" customHeight="1" thickBot="1">
      <c r="A10" s="280">
        <v>1999</v>
      </c>
      <c r="B10" s="289">
        <v>3810.0183766999999</v>
      </c>
      <c r="C10" s="309">
        <v>3.1419020670636219E-2</v>
      </c>
      <c r="D10" s="289">
        <v>524.03642778331459</v>
      </c>
      <c r="E10" s="309">
        <v>2.8027640723002865E-2</v>
      </c>
      <c r="F10" s="433">
        <v>0.30650294561819263</v>
      </c>
      <c r="G10" s="1338"/>
    </row>
    <row r="11" spans="1:11" ht="19.75" hidden="1" customHeight="1" thickBot="1">
      <c r="A11" s="280">
        <v>2000</v>
      </c>
      <c r="B11" s="289">
        <v>3956.2184863000002</v>
      </c>
      <c r="C11" s="309">
        <v>3.8372547096906594E-2</v>
      </c>
      <c r="D11" s="289">
        <v>544.55016542757153</v>
      </c>
      <c r="E11" s="309">
        <v>3.9145632930577913E-2</v>
      </c>
      <c r="F11" s="433">
        <v>0.29993370263899466</v>
      </c>
      <c r="G11" s="1338"/>
    </row>
    <row r="12" spans="1:11" ht="20" hidden="1" customHeight="1" thickBot="1">
      <c r="A12" s="280">
        <v>2001</v>
      </c>
      <c r="B12" s="289">
        <v>3996.3588403000003</v>
      </c>
      <c r="C12" s="309">
        <v>1.0146141862235935E-2</v>
      </c>
      <c r="D12" s="289">
        <v>547.35962635511339</v>
      </c>
      <c r="E12" s="309">
        <v>5.1592325297264803E-3</v>
      </c>
      <c r="F12" s="433">
        <v>0.28573440049664334</v>
      </c>
      <c r="G12" s="1338"/>
    </row>
    <row r="13" spans="1:11" ht="20" hidden="1" customHeight="1" thickBot="1">
      <c r="A13" s="280">
        <v>2002</v>
      </c>
      <c r="B13" s="289">
        <v>4018.0238040999998</v>
      </c>
      <c r="C13" s="309">
        <v>5.4211757917047021E-3</v>
      </c>
      <c r="D13" s="289">
        <v>547.06945209780417</v>
      </c>
      <c r="E13" s="309">
        <v>-5.3013456480431012E-4</v>
      </c>
      <c r="F13" s="433">
        <v>0.27534370592196139</v>
      </c>
      <c r="G13" s="1338"/>
    </row>
    <row r="14" spans="1:11" ht="20" customHeight="1" thickBot="1">
      <c r="A14" s="280">
        <v>2003</v>
      </c>
      <c r="B14" s="289">
        <v>4264.2535405999997</v>
      </c>
      <c r="C14" s="309">
        <v>6.1281303572354805E-2</v>
      </c>
      <c r="D14" s="289">
        <v>578.39954541909435</v>
      </c>
      <c r="E14" s="309">
        <v>5.7268950406847131E-2</v>
      </c>
      <c r="F14" s="433">
        <v>0.27806202962780097</v>
      </c>
      <c r="G14" s="1338"/>
    </row>
    <row r="15" spans="1:11" ht="20" customHeight="1" thickBot="1">
      <c r="A15" s="280">
        <v>2004</v>
      </c>
      <c r="B15" s="289">
        <v>4487.9860973999994</v>
      </c>
      <c r="C15" s="309">
        <v>5.2466992093654796E-2</v>
      </c>
      <c r="D15" s="289">
        <v>607.83383459013214</v>
      </c>
      <c r="E15" s="309">
        <v>5.0889198313097593E-2</v>
      </c>
      <c r="F15" s="433">
        <v>0.27520979583864619</v>
      </c>
      <c r="G15" s="1338"/>
    </row>
    <row r="16" spans="1:11" ht="20" customHeight="1" thickBot="1">
      <c r="A16" s="280">
        <v>2005</v>
      </c>
      <c r="B16" s="289">
        <v>4710.4063185000005</v>
      </c>
      <c r="C16" s="309">
        <v>4.9559026314465314E-2</v>
      </c>
      <c r="D16" s="289">
        <v>633.47119917588623</v>
      </c>
      <c r="E16" s="309">
        <v>4.2178245314431359E-2</v>
      </c>
      <c r="F16" s="433">
        <v>0.27145060304290114</v>
      </c>
      <c r="G16" s="1338"/>
    </row>
    <row r="17" spans="1:7" ht="20" customHeight="1" thickBot="1">
      <c r="A17" s="280">
        <v>2006</v>
      </c>
      <c r="B17" s="289">
        <v>4989.9724866999995</v>
      </c>
      <c r="C17" s="309">
        <v>5.9350754329198757E-2</v>
      </c>
      <c r="D17" s="289">
        <v>667.24876129732593</v>
      </c>
      <c r="E17" s="309">
        <v>5.3321385668965833E-2</v>
      </c>
      <c r="F17" s="433">
        <v>0.28410364747524469</v>
      </c>
      <c r="G17" s="1338"/>
    </row>
    <row r="18" spans="1:7" ht="20" customHeight="1" thickBot="1">
      <c r="A18" s="280">
        <v>2007</v>
      </c>
      <c r="B18" s="289">
        <v>5234.0909351299997</v>
      </c>
      <c r="C18" s="309">
        <v>4.8921802491027788E-2</v>
      </c>
      <c r="D18" s="289">
        <v>694.39892686185294</v>
      </c>
      <c r="E18" s="309">
        <v>4.0689720445099345E-2</v>
      </c>
      <c r="F18" s="433">
        <v>0.28409673931984064</v>
      </c>
      <c r="G18" s="1338"/>
    </row>
    <row r="19" spans="1:7" ht="20" customHeight="1" thickBot="1">
      <c r="A19" s="280">
        <v>2008</v>
      </c>
      <c r="B19" s="289">
        <v>5191.0501722600002</v>
      </c>
      <c r="C19" s="309">
        <v>-8.2231591700327455E-3</v>
      </c>
      <c r="D19" s="289">
        <v>681.6372651023346</v>
      </c>
      <c r="E19" s="309">
        <v>-1.8377997525415551E-2</v>
      </c>
      <c r="F19" s="433">
        <v>0.2671467252402307</v>
      </c>
      <c r="G19" s="1338"/>
    </row>
    <row r="20" spans="1:7" ht="20" customHeight="1" thickBot="1">
      <c r="A20" s="280">
        <v>2009</v>
      </c>
      <c r="B20" s="289">
        <v>5095.2223594300003</v>
      </c>
      <c r="C20" s="309">
        <v>-1.8460197773099121E-2</v>
      </c>
      <c r="D20" s="289">
        <v>660.95763076127741</v>
      </c>
      <c r="E20" s="309">
        <v>-3.0338180436705636E-2</v>
      </c>
      <c r="F20" s="433">
        <v>0.25131991260496045</v>
      </c>
      <c r="G20" s="1338"/>
    </row>
    <row r="21" spans="1:7" ht="20" customHeight="1" thickBot="1">
      <c r="A21" s="280">
        <v>2010</v>
      </c>
      <c r="B21" s="289">
        <v>5227.2935513399998</v>
      </c>
      <c r="C21" s="309">
        <v>2.5920594351602391E-2</v>
      </c>
      <c r="D21" s="289">
        <v>671.91787438718086</v>
      </c>
      <c r="E21" s="309">
        <v>1.6582369452758511E-2</v>
      </c>
      <c r="F21" s="433">
        <v>0.25030439071727145</v>
      </c>
      <c r="G21" s="1338"/>
    </row>
    <row r="22" spans="1:7" ht="20" customHeight="1" thickBot="1">
      <c r="A22" s="280">
        <v>2011</v>
      </c>
      <c r="B22" s="289">
        <v>5648.6367269299999</v>
      </c>
      <c r="C22" s="309">
        <v>8.060446031043926E-2</v>
      </c>
      <c r="D22" s="289">
        <v>718.40285248896862</v>
      </c>
      <c r="E22" s="309">
        <v>6.9182529403886056E-2</v>
      </c>
      <c r="F22" s="433">
        <v>0.26449379028433989</v>
      </c>
      <c r="G22" s="1338"/>
    </row>
    <row r="23" spans="1:7" ht="20" customHeight="1" thickBot="1">
      <c r="A23" s="280">
        <v>2012</v>
      </c>
      <c r="B23" s="1339" vm="550">
        <v>5476.6391031200001</v>
      </c>
      <c r="C23" s="1346" t="s">
        <v>153</v>
      </c>
      <c r="D23" s="1339" vm="550">
        <v>688.59461917377769</v>
      </c>
      <c r="E23" s="1346" t="s">
        <v>153</v>
      </c>
      <c r="F23" s="1341" vm="550">
        <v>0.24674001180472338</v>
      </c>
      <c r="G23" s="1338"/>
    </row>
    <row r="24" spans="1:7" ht="30" customHeight="1" thickBot="1">
      <c r="A24" s="283">
        <v>2013</v>
      </c>
      <c r="B24" s="1233">
        <v>5541.3081462</v>
      </c>
      <c r="C24" s="1342">
        <v>1.1808162243730491E-2</v>
      </c>
      <c r="D24" s="1233">
        <v>688.70961143005661</v>
      </c>
      <c r="E24" s="1342">
        <v>1.6699557777100082E-4</v>
      </c>
      <c r="F24" s="1343">
        <v>0.23058594250494893</v>
      </c>
      <c r="G24" s="1344"/>
    </row>
    <row r="25" spans="1:7" ht="20" customHeight="1">
      <c r="A25" s="189" t="s">
        <v>346</v>
      </c>
      <c r="B25" s="189"/>
      <c r="C25" s="189"/>
      <c r="D25" s="189"/>
      <c r="E25" s="189"/>
      <c r="F25" s="686"/>
      <c r="G25" s="219"/>
    </row>
    <row r="26" spans="1:7" ht="12.75" customHeight="1">
      <c r="A26" s="219"/>
      <c r="B26" s="219"/>
      <c r="C26" s="219"/>
      <c r="D26" s="219"/>
      <c r="E26" s="219"/>
      <c r="F26" s="687"/>
      <c r="G26" s="219"/>
    </row>
    <row r="27" spans="1:7" ht="12.75" customHeight="1">
      <c r="A27" s="219" t="s">
        <v>2011</v>
      </c>
      <c r="B27" s="219"/>
      <c r="C27" s="219"/>
      <c r="D27" s="219"/>
      <c r="E27" s="219"/>
      <c r="F27" s="687"/>
      <c r="G27" s="219"/>
    </row>
    <row r="28" spans="1:7" ht="12.75" customHeight="1">
      <c r="A28" s="1345" t="s">
        <v>2012</v>
      </c>
      <c r="B28" s="219"/>
      <c r="C28" s="219"/>
      <c r="D28" s="219"/>
      <c r="E28" s="219"/>
      <c r="F28" s="687"/>
      <c r="G28" s="219"/>
    </row>
    <row r="29" spans="1:7" ht="12.75" customHeight="1">
      <c r="A29" s="3" t="s">
        <v>2013</v>
      </c>
    </row>
    <row r="31" spans="1:7">
      <c r="A31" s="3" t="s">
        <v>2014</v>
      </c>
    </row>
    <row r="34" spans="1:1">
      <c r="A34" s="3" t="s">
        <v>302</v>
      </c>
    </row>
  </sheetData>
  <mergeCells count="1">
    <mergeCell ref="A2:F2"/>
  </mergeCells>
  <pageMargins left="0.62" right="0.78740157480314965" top="0.99" bottom="0.49" header="0.6" footer="0.4921259845"/>
  <pageSetup paperSize="9" scale="74" orientation="portrait" horizontalDpi="2400" verticalDpi="2400"/>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47838-5976-D14A-9692-BB80837660D1}">
  <sheetPr>
    <pageSetUpPr fitToPage="1"/>
  </sheetPr>
  <dimension ref="A1:B31"/>
  <sheetViews>
    <sheetView zoomScale="115" zoomScaleNormal="115" workbookViewId="0">
      <selection activeCell="B3" sqref="B3:B28"/>
    </sheetView>
  </sheetViews>
  <sheetFormatPr baseColWidth="10" defaultColWidth="11.59765625" defaultRowHeight="13"/>
  <cols>
    <col min="1" max="1" width="5.59765625" style="378" customWidth="1"/>
    <col min="2" max="7" width="11.59765625" style="378"/>
    <col min="8" max="8" width="12" style="378" customWidth="1"/>
    <col min="9" max="16384" width="11.59765625" style="378"/>
  </cols>
  <sheetData>
    <row r="1" spans="1:2" ht="16">
      <c r="A1" s="377" t="s">
        <v>545</v>
      </c>
    </row>
    <row r="2" spans="1:2" ht="16">
      <c r="A2" s="377"/>
    </row>
    <row r="3" spans="1:2" s="381" customFormat="1">
      <c r="A3" s="379">
        <v>2.0099999999999998</v>
      </c>
      <c r="B3" s="380" t="s">
        <v>546</v>
      </c>
    </row>
    <row r="4" spans="1:2" s="381" customFormat="1">
      <c r="A4" s="379">
        <v>2.02</v>
      </c>
      <c r="B4" s="380" t="s">
        <v>547</v>
      </c>
    </row>
    <row r="5" spans="1:2" s="381" customFormat="1">
      <c r="A5" s="379">
        <v>2.0299999999999998</v>
      </c>
      <c r="B5" s="382" t="s">
        <v>548</v>
      </c>
    </row>
    <row r="6" spans="1:2" s="381" customFormat="1">
      <c r="A6" s="379">
        <v>2.04</v>
      </c>
      <c r="B6" s="382" t="s">
        <v>549</v>
      </c>
    </row>
    <row r="7" spans="1:2" s="381" customFormat="1">
      <c r="A7" s="379">
        <v>2.0499999999999998</v>
      </c>
      <c r="B7" s="382" t="s">
        <v>550</v>
      </c>
    </row>
    <row r="8" spans="1:2" s="381" customFormat="1">
      <c r="A8" s="379">
        <v>2.06</v>
      </c>
      <c r="B8" s="382" t="s">
        <v>551</v>
      </c>
    </row>
    <row r="9" spans="1:2" s="381" customFormat="1">
      <c r="A9" s="379">
        <v>2.0699999999999998</v>
      </c>
      <c r="B9" s="382" t="s">
        <v>552</v>
      </c>
    </row>
    <row r="10" spans="1:2" s="381" customFormat="1">
      <c r="A10" s="379">
        <v>2.08</v>
      </c>
      <c r="B10" s="382" t="s">
        <v>553</v>
      </c>
    </row>
    <row r="11" spans="1:2" s="381" customFormat="1">
      <c r="A11" s="379">
        <v>2.09</v>
      </c>
      <c r="B11" s="382" t="s">
        <v>554</v>
      </c>
    </row>
    <row r="12" spans="1:2">
      <c r="A12" s="383">
        <v>2.1</v>
      </c>
      <c r="B12" s="380" t="s">
        <v>555</v>
      </c>
    </row>
    <row r="13" spans="1:2">
      <c r="A13" s="383">
        <v>2.11</v>
      </c>
      <c r="B13" s="380" t="s">
        <v>556</v>
      </c>
    </row>
    <row r="14" spans="1:2">
      <c r="A14" s="379">
        <v>2.12</v>
      </c>
      <c r="B14" s="382" t="s">
        <v>557</v>
      </c>
    </row>
    <row r="15" spans="1:2">
      <c r="A15" s="379">
        <v>2.13</v>
      </c>
      <c r="B15" s="380" t="s">
        <v>558</v>
      </c>
    </row>
    <row r="16" spans="1:2">
      <c r="A16" s="379">
        <v>2.14</v>
      </c>
      <c r="B16" s="380" t="s">
        <v>559</v>
      </c>
    </row>
    <row r="17" spans="1:2">
      <c r="A17" s="379">
        <v>2.15</v>
      </c>
      <c r="B17" s="380" t="s">
        <v>560</v>
      </c>
    </row>
    <row r="18" spans="1:2">
      <c r="A18" s="379">
        <v>2.16</v>
      </c>
      <c r="B18" s="380" t="s">
        <v>561</v>
      </c>
    </row>
    <row r="19" spans="1:2">
      <c r="A19" s="379">
        <v>2.17</v>
      </c>
      <c r="B19" s="380" t="s">
        <v>562</v>
      </c>
    </row>
    <row r="20" spans="1:2">
      <c r="A20" s="379">
        <v>2.1800000000000002</v>
      </c>
      <c r="B20" s="380" t="s">
        <v>563</v>
      </c>
    </row>
    <row r="21" spans="1:2">
      <c r="A21" s="379">
        <v>2.19</v>
      </c>
      <c r="B21" s="380" t="s">
        <v>564</v>
      </c>
    </row>
    <row r="22" spans="1:2">
      <c r="A22" s="384" t="s">
        <v>87</v>
      </c>
      <c r="B22" s="380" t="s">
        <v>565</v>
      </c>
    </row>
    <row r="23" spans="1:2">
      <c r="A23" s="379">
        <v>2.21</v>
      </c>
      <c r="B23" s="380" t="s">
        <v>566</v>
      </c>
    </row>
    <row r="24" spans="1:2">
      <c r="A24" s="379">
        <v>2.2200000000000002</v>
      </c>
      <c r="B24" s="380" t="s">
        <v>567</v>
      </c>
    </row>
    <row r="25" spans="1:2">
      <c r="A25" s="379">
        <v>2.23</v>
      </c>
      <c r="B25" s="380" t="s">
        <v>568</v>
      </c>
    </row>
    <row r="26" spans="1:2">
      <c r="A26" s="379">
        <v>2.2400000000000002</v>
      </c>
      <c r="B26" s="380" t="s">
        <v>569</v>
      </c>
    </row>
    <row r="27" spans="1:2">
      <c r="A27" s="379">
        <v>2.25</v>
      </c>
      <c r="B27" s="382" t="s">
        <v>570</v>
      </c>
    </row>
    <row r="28" spans="1:2">
      <c r="A28" s="379">
        <v>2.2599999999999998</v>
      </c>
      <c r="B28" s="382" t="s">
        <v>571</v>
      </c>
    </row>
    <row r="29" spans="1:2">
      <c r="A29" s="379"/>
    </row>
    <row r="31" spans="1:2">
      <c r="A31" s="385" t="s">
        <v>302</v>
      </c>
    </row>
  </sheetData>
  <pageMargins left="0.46" right="0.35" top="0.88" bottom="0.984251969" header="0.4921259845" footer="0.4921259845"/>
  <pageSetup paperSize="9" orientation="portrait"/>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D9FA-1553-994E-B2C2-8EB6BBC16938}">
  <sheetPr>
    <pageSetUpPr fitToPage="1"/>
  </sheetPr>
  <dimension ref="A1:J34"/>
  <sheetViews>
    <sheetView topLeftCell="A4" zoomScaleNormal="100" workbookViewId="0">
      <selection activeCell="J29" sqref="J29"/>
    </sheetView>
  </sheetViews>
  <sheetFormatPr baseColWidth="10" defaultColWidth="11.3984375" defaultRowHeight="13"/>
  <cols>
    <col min="1" max="1" width="20.796875" style="3" customWidth="1"/>
    <col min="2" max="7" width="16" style="3" customWidth="1"/>
    <col min="8" max="16384" width="11.3984375" style="3"/>
  </cols>
  <sheetData>
    <row r="1" spans="1:10" s="1" customFormat="1" ht="14" customHeight="1">
      <c r="A1" s="191"/>
      <c r="B1" s="191"/>
      <c r="C1" s="191"/>
      <c r="D1" s="191"/>
      <c r="E1" s="191"/>
      <c r="F1" s="191"/>
      <c r="G1" s="191"/>
    </row>
    <row r="2" spans="1:10" s="1" customFormat="1" ht="23.5" customHeight="1">
      <c r="A2" s="2012" t="s">
        <v>543</v>
      </c>
      <c r="B2" s="2011"/>
      <c r="C2" s="2011"/>
      <c r="D2" s="2011"/>
      <c r="E2" s="2011"/>
      <c r="F2" s="2011"/>
      <c r="G2" s="2011"/>
    </row>
    <row r="3" spans="1:10" ht="24" customHeight="1">
      <c r="A3" s="224" t="s">
        <v>460</v>
      </c>
      <c r="B3" s="267" t="s">
        <v>446</v>
      </c>
      <c r="C3" s="268" t="s">
        <v>447</v>
      </c>
      <c r="D3" s="267" t="s">
        <v>448</v>
      </c>
      <c r="E3" s="268" t="s">
        <v>449</v>
      </c>
      <c r="F3" s="267" t="s">
        <v>381</v>
      </c>
      <c r="G3" s="305" t="s">
        <v>475</v>
      </c>
    </row>
    <row r="4" spans="1:10" ht="15" customHeight="1">
      <c r="A4" s="269"/>
      <c r="B4" s="270" t="s">
        <v>450</v>
      </c>
      <c r="C4" s="271" t="s">
        <v>451</v>
      </c>
      <c r="D4" s="270" t="s">
        <v>452</v>
      </c>
      <c r="E4" s="272" t="s">
        <v>453</v>
      </c>
      <c r="F4" s="270"/>
      <c r="G4" s="306" t="s">
        <v>476</v>
      </c>
    </row>
    <row r="5" spans="1:10" ht="15" customHeight="1">
      <c r="A5" s="269"/>
      <c r="B5" s="270" t="s">
        <v>454</v>
      </c>
      <c r="C5" s="271" t="s">
        <v>455</v>
      </c>
      <c r="D5" s="270"/>
      <c r="E5" s="272" t="s">
        <v>463</v>
      </c>
      <c r="F5" s="270"/>
      <c r="G5" s="306" t="s">
        <v>477</v>
      </c>
    </row>
    <row r="6" spans="1:10" ht="24" customHeight="1">
      <c r="A6" s="273"/>
      <c r="B6" s="274"/>
      <c r="C6" s="275"/>
      <c r="D6" s="274"/>
      <c r="E6" s="276" t="s">
        <v>2218</v>
      </c>
      <c r="F6" s="274"/>
      <c r="G6" s="307"/>
    </row>
    <row r="7" spans="1:10" ht="1.5" customHeight="1" thickBot="1">
      <c r="A7" s="277">
        <v>1996</v>
      </c>
      <c r="B7" s="278">
        <v>1089.2648005000001</v>
      </c>
      <c r="C7" s="279">
        <v>580.10166180000022</v>
      </c>
      <c r="D7" s="278">
        <v>4.3753463500000001</v>
      </c>
      <c r="E7" s="279">
        <v>4.7899289500000002</v>
      </c>
      <c r="F7" s="278">
        <v>1678.5317376000003</v>
      </c>
      <c r="G7" s="308" t="s">
        <v>153</v>
      </c>
    </row>
    <row r="8" spans="1:10" ht="0.75" hidden="1" customHeight="1" thickBot="1">
      <c r="A8" s="280">
        <v>1997</v>
      </c>
      <c r="B8" s="281">
        <v>879.95045900000002</v>
      </c>
      <c r="C8" s="282">
        <v>850.70337900000004</v>
      </c>
      <c r="D8" s="281">
        <v>1.7040200000000001</v>
      </c>
      <c r="E8" s="282">
        <v>45.624484000000002</v>
      </c>
      <c r="F8" s="281">
        <v>1777.9823429999999</v>
      </c>
      <c r="G8" s="309">
        <v>5.9248570147500512E-2</v>
      </c>
      <c r="H8" s="8"/>
      <c r="I8" s="8"/>
      <c r="J8" s="8"/>
    </row>
    <row r="9" spans="1:10" ht="19.5" hidden="1" customHeight="1" thickBot="1">
      <c r="A9" s="280">
        <v>1998</v>
      </c>
      <c r="B9" s="281">
        <v>1013.8999679999999</v>
      </c>
      <c r="C9" s="282">
        <v>981.74108000000001</v>
      </c>
      <c r="D9" s="281">
        <v>1.2942830000000001</v>
      </c>
      <c r="E9" s="282">
        <v>100.29746900000001</v>
      </c>
      <c r="F9" s="281">
        <v>2097.2328000000002</v>
      </c>
      <c r="G9" s="309">
        <v>0.17955772072591403</v>
      </c>
    </row>
    <row r="10" spans="1:10" ht="19.75" hidden="1" customHeight="1" thickBot="1">
      <c r="A10" s="280">
        <v>1999</v>
      </c>
      <c r="B10" s="281">
        <v>1011.36115</v>
      </c>
      <c r="C10" s="282">
        <v>1055.56864</v>
      </c>
      <c r="D10" s="281">
        <v>0.79245500000000002</v>
      </c>
      <c r="E10" s="282">
        <v>122.17894</v>
      </c>
      <c r="F10" s="281">
        <v>2189.9011839999998</v>
      </c>
      <c r="G10" s="309">
        <v>4.4186026463061134E-2</v>
      </c>
    </row>
    <row r="11" spans="1:10" ht="19.75" hidden="1" customHeight="1" thickBot="1">
      <c r="A11" s="280">
        <v>2000</v>
      </c>
      <c r="B11" s="281">
        <v>1054.450601</v>
      </c>
      <c r="C11" s="282">
        <v>1090.7209829999999</v>
      </c>
      <c r="D11" s="281">
        <v>1.2512209999999999</v>
      </c>
      <c r="E11" s="282">
        <v>141.59474</v>
      </c>
      <c r="F11" s="281">
        <v>2288.0175450000002</v>
      </c>
      <c r="G11" s="309">
        <v>4.4804012946732197E-2</v>
      </c>
    </row>
    <row r="12" spans="1:10" ht="20" hidden="1" customHeight="1" thickBot="1">
      <c r="A12" s="280">
        <v>2001</v>
      </c>
      <c r="B12" s="281">
        <v>1083.514122</v>
      </c>
      <c r="C12" s="282">
        <v>1158.4133609999999</v>
      </c>
      <c r="D12" s="281">
        <v>1.2681009299999999</v>
      </c>
      <c r="E12" s="282">
        <v>156.9939449</v>
      </c>
      <c r="F12" s="281">
        <v>2400.1895288299997</v>
      </c>
      <c r="G12" s="309">
        <v>4.9025840765569706E-2</v>
      </c>
    </row>
    <row r="13" spans="1:10" ht="20" hidden="1" customHeight="1" thickBot="1">
      <c r="A13" s="280">
        <v>2002</v>
      </c>
      <c r="B13" s="281">
        <v>1089.8289460000001</v>
      </c>
      <c r="C13" s="282">
        <v>1244.155033</v>
      </c>
      <c r="D13" s="281">
        <v>1.2603006499999998</v>
      </c>
      <c r="E13" s="282">
        <v>167.5860868</v>
      </c>
      <c r="F13" s="281">
        <v>2502.8303664500004</v>
      </c>
      <c r="G13" s="309">
        <v>4.2763638615669786E-2</v>
      </c>
    </row>
    <row r="14" spans="1:10" ht="20" customHeight="1" thickBot="1">
      <c r="A14" s="280">
        <v>2003</v>
      </c>
      <c r="B14" s="281">
        <v>1079.925866</v>
      </c>
      <c r="C14" s="282">
        <v>1341.49136</v>
      </c>
      <c r="D14" s="281">
        <v>1.2206523200000001</v>
      </c>
      <c r="E14" s="282">
        <v>165.86177330000001</v>
      </c>
      <c r="F14" s="281">
        <v>2588.4996516200003</v>
      </c>
      <c r="G14" s="309">
        <v>3.4228961865886642E-2</v>
      </c>
    </row>
    <row r="15" spans="1:10" ht="20" customHeight="1" thickBot="1">
      <c r="A15" s="280">
        <v>2004</v>
      </c>
      <c r="B15" s="281">
        <v>1255.4702629999999</v>
      </c>
      <c r="C15" s="282">
        <v>1341.301393</v>
      </c>
      <c r="D15" s="281">
        <v>1.3776067599999999</v>
      </c>
      <c r="E15" s="282">
        <v>234.16313299999999</v>
      </c>
      <c r="F15" s="281">
        <v>2832.3123957600001</v>
      </c>
      <c r="G15" s="309">
        <v>9.4190757950232129E-2</v>
      </c>
    </row>
    <row r="16" spans="1:10" ht="20" customHeight="1" thickBot="1">
      <c r="A16" s="280">
        <v>2005</v>
      </c>
      <c r="B16" s="281">
        <v>1328.0246323900001</v>
      </c>
      <c r="C16" s="282">
        <v>1371.8229592</v>
      </c>
      <c r="D16" s="281">
        <v>1.4003180399999999</v>
      </c>
      <c r="E16" s="282">
        <v>293.73870004000003</v>
      </c>
      <c r="F16" s="281">
        <v>2994.9866096700002</v>
      </c>
      <c r="G16" s="309">
        <v>5.7435124089251222E-2</v>
      </c>
    </row>
    <row r="17" spans="1:7" ht="20" customHeight="1" thickBot="1">
      <c r="A17" s="280">
        <v>2006</v>
      </c>
      <c r="B17" s="281">
        <v>1275.3436029700001</v>
      </c>
      <c r="C17" s="282">
        <v>1332.0194115899999</v>
      </c>
      <c r="D17" s="281">
        <v>1.24792378</v>
      </c>
      <c r="E17" s="282">
        <v>430.10038037999999</v>
      </c>
      <c r="F17" s="281">
        <v>3038.7113187199998</v>
      </c>
      <c r="G17" s="309">
        <v>1.4599300347061472E-2</v>
      </c>
    </row>
    <row r="18" spans="1:7" ht="20" customHeight="1" thickBot="1">
      <c r="A18" s="280">
        <v>2007</v>
      </c>
      <c r="B18" s="281">
        <v>1254.93473436</v>
      </c>
      <c r="C18" s="282">
        <v>1283.5501741300002</v>
      </c>
      <c r="D18" s="281">
        <v>1.3477021599999999</v>
      </c>
      <c r="E18" s="282">
        <v>615.23426004999999</v>
      </c>
      <c r="F18" s="281">
        <v>3155.0668707000004</v>
      </c>
      <c r="G18" s="309">
        <v>3.8291084534154862E-2</v>
      </c>
    </row>
    <row r="19" spans="1:7" ht="20" customHeight="1" thickBot="1">
      <c r="A19" s="280">
        <v>2008</v>
      </c>
      <c r="B19" s="281">
        <v>1219.7052699400001</v>
      </c>
      <c r="C19" s="282">
        <v>1260.4115306800002</v>
      </c>
      <c r="D19" s="281">
        <v>1.4081255100000001</v>
      </c>
      <c r="E19" s="282">
        <v>808.9293028300001</v>
      </c>
      <c r="F19" s="281">
        <v>3290.4542289600004</v>
      </c>
      <c r="G19" s="309">
        <v>4.2911089941482627E-2</v>
      </c>
    </row>
    <row r="20" spans="1:7" ht="20" customHeight="1" thickBot="1">
      <c r="A20" s="280">
        <v>2009</v>
      </c>
      <c r="B20" s="281">
        <v>1153.6249357700001</v>
      </c>
      <c r="C20" s="282">
        <v>1187.9370805399999</v>
      </c>
      <c r="D20" s="281">
        <v>1.3760763200000001</v>
      </c>
      <c r="E20" s="282">
        <v>1039.5337555199999</v>
      </c>
      <c r="F20" s="281">
        <v>3382.4718481499999</v>
      </c>
      <c r="G20" s="309">
        <v>2.7965020263808205E-2</v>
      </c>
    </row>
    <row r="21" spans="1:7" ht="20" customHeight="1" thickBot="1">
      <c r="A21" s="280">
        <v>2010</v>
      </c>
      <c r="B21" s="281">
        <v>1051.15195066</v>
      </c>
      <c r="C21" s="282">
        <v>1011.90131852</v>
      </c>
      <c r="D21" s="281">
        <v>1.2471693700000002</v>
      </c>
      <c r="E21" s="282">
        <v>1344.41420606</v>
      </c>
      <c r="F21" s="281">
        <v>3408.7146446099996</v>
      </c>
      <c r="G21" s="309">
        <v>7.7584670732302463E-3</v>
      </c>
    </row>
    <row r="22" spans="1:7" ht="20" customHeight="1" thickBot="1">
      <c r="A22" s="280">
        <v>2011</v>
      </c>
      <c r="B22" s="281">
        <v>1006.5158743300001</v>
      </c>
      <c r="C22" s="282">
        <v>916.41476747000002</v>
      </c>
      <c r="D22" s="281">
        <v>1.21822674</v>
      </c>
      <c r="E22" s="282">
        <v>1650.95538848</v>
      </c>
      <c r="F22" s="281">
        <v>3575.1042570200002</v>
      </c>
      <c r="G22" s="309">
        <v>4.8813007176503609E-2</v>
      </c>
    </row>
    <row r="23" spans="1:7" ht="20" customHeight="1" thickBot="1">
      <c r="A23" s="280">
        <v>2012</v>
      </c>
      <c r="B23" s="281" vm="137">
        <v>961.44815567106002</v>
      </c>
      <c r="C23" s="282" vm="137">
        <v>862.99103208311021</v>
      </c>
      <c r="D23" s="281" vm="136">
        <v>1.20313202</v>
      </c>
      <c r="E23" s="282" vm="136">
        <v>1879.5948841358395</v>
      </c>
      <c r="F23" s="281">
        <v>3705.2372039100101</v>
      </c>
      <c r="G23" s="309">
        <v>3.6399762785793932E-2</v>
      </c>
    </row>
    <row r="24" spans="1:7" ht="26.5" customHeight="1" thickBot="1">
      <c r="A24" s="283">
        <v>2013</v>
      </c>
      <c r="B24" s="284" vm="31">
        <v>948.17184287999999</v>
      </c>
      <c r="C24" s="285" vm="31">
        <v>838.74970516999986</v>
      </c>
      <c r="D24" s="284" vm="79">
        <v>1.2342728200000002</v>
      </c>
      <c r="E24" s="285" vm="79">
        <v>2106.9118511699999</v>
      </c>
      <c r="F24" s="284">
        <v>3895.0676720399997</v>
      </c>
      <c r="G24" s="310">
        <v>5.1233013619119472E-2</v>
      </c>
    </row>
    <row r="25" spans="1:7" ht="20" customHeight="1">
      <c r="A25" s="374" t="s">
        <v>346</v>
      </c>
      <c r="B25" s="374"/>
      <c r="C25" s="374"/>
      <c r="D25" s="374"/>
      <c r="E25" s="374"/>
      <c r="F25" s="374"/>
      <c r="G25" s="374"/>
    </row>
    <row r="27" spans="1:7">
      <c r="A27" s="375" t="s">
        <v>544</v>
      </c>
    </row>
    <row r="28" spans="1:7">
      <c r="A28" s="376" t="s">
        <v>493</v>
      </c>
    </row>
    <row r="29" spans="1:7">
      <c r="A29" s="376"/>
    </row>
    <row r="30" spans="1:7">
      <c r="A30" s="1519" t="s">
        <v>1030</v>
      </c>
    </row>
    <row r="31" spans="1:7">
      <c r="A31" s="501" t="s">
        <v>1031</v>
      </c>
    </row>
    <row r="32" spans="1:7">
      <c r="A32" s="68"/>
    </row>
    <row r="34" spans="1:1">
      <c r="A34" s="3" t="s">
        <v>302</v>
      </c>
    </row>
  </sheetData>
  <mergeCells count="1">
    <mergeCell ref="A2:G2"/>
  </mergeCells>
  <pageMargins left="0.53" right="0.6" top="0.97" bottom="0.49" header="0.63" footer="0.4921259845"/>
  <pageSetup paperSize="9" scale="72" orientation="portrait" horizontalDpi="4294967292" verticalDpi="4294967292"/>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87C8B-587C-5E42-BBDA-1B77A8446D77}">
  <sheetPr>
    <pageSetUpPr fitToPage="1"/>
  </sheetPr>
  <dimension ref="A1:J65"/>
  <sheetViews>
    <sheetView topLeftCell="A36" zoomScaleNormal="100" workbookViewId="0"/>
  </sheetViews>
  <sheetFormatPr baseColWidth="10" defaultColWidth="11.3984375" defaultRowHeight="13"/>
  <cols>
    <col min="1" max="1" width="24.796875" style="3" customWidth="1"/>
    <col min="2" max="5" width="17.59765625" style="3" customWidth="1"/>
    <col min="6" max="6" width="18.59765625" style="3" customWidth="1"/>
    <col min="7" max="7" width="17.59765625" style="3" customWidth="1"/>
    <col min="8" max="8" width="13" style="3" customWidth="1"/>
    <col min="9" max="10" width="13.3984375" style="3" customWidth="1"/>
    <col min="11" max="16384" width="11.3984375" style="3"/>
  </cols>
  <sheetData>
    <row r="1" spans="1:10" s="1" customFormat="1" ht="14" customHeight="1"/>
    <row r="2" spans="1:10" s="1" customFormat="1" ht="23.5" customHeight="1">
      <c r="A2" s="2010" t="s">
        <v>2220</v>
      </c>
      <c r="B2" s="2011"/>
      <c r="C2" s="2011"/>
      <c r="D2" s="2011"/>
      <c r="E2" s="2011"/>
      <c r="F2" s="2011"/>
      <c r="G2" s="2011"/>
    </row>
    <row r="3" spans="1:10" ht="24" customHeight="1">
      <c r="A3" s="224" t="s">
        <v>1872</v>
      </c>
      <c r="B3" s="267" t="s">
        <v>446</v>
      </c>
      <c r="C3" s="268" t="s">
        <v>447</v>
      </c>
      <c r="D3" s="267" t="s">
        <v>448</v>
      </c>
      <c r="E3" s="268" t="s">
        <v>449</v>
      </c>
      <c r="F3" s="267" t="s">
        <v>498</v>
      </c>
      <c r="G3" s="305" t="s">
        <v>475</v>
      </c>
    </row>
    <row r="4" spans="1:10" ht="15" customHeight="1">
      <c r="A4" s="269"/>
      <c r="B4" s="270" t="s">
        <v>450</v>
      </c>
      <c r="C4" s="271" t="s">
        <v>451</v>
      </c>
      <c r="D4" s="270" t="s">
        <v>452</v>
      </c>
      <c r="E4" s="272" t="s">
        <v>453</v>
      </c>
      <c r="F4" s="270"/>
      <c r="G4" s="306" t="s">
        <v>476</v>
      </c>
    </row>
    <row r="5" spans="1:10" ht="15" customHeight="1">
      <c r="A5" s="269"/>
      <c r="B5" s="270" t="s">
        <v>454</v>
      </c>
      <c r="C5" s="271" t="s">
        <v>455</v>
      </c>
      <c r="D5" s="270"/>
      <c r="E5" s="272" t="s">
        <v>463</v>
      </c>
      <c r="F5" s="270"/>
      <c r="G5" s="306" t="s">
        <v>477</v>
      </c>
    </row>
    <row r="6" spans="1:10" ht="24" customHeight="1">
      <c r="A6" s="227" t="s">
        <v>537</v>
      </c>
      <c r="B6" s="274"/>
      <c r="C6" s="275"/>
      <c r="D6" s="274"/>
      <c r="E6" s="276" t="s">
        <v>2219</v>
      </c>
      <c r="F6" s="274"/>
      <c r="G6" s="405"/>
    </row>
    <row r="7" spans="1:10" ht="1.5" customHeight="1" thickBot="1">
      <c r="A7" s="277">
        <v>1996</v>
      </c>
      <c r="B7" s="287">
        <v>228.61851592074831</v>
      </c>
      <c r="C7" s="288">
        <v>250.28080917066114</v>
      </c>
      <c r="D7" s="287">
        <v>156.40767594799246</v>
      </c>
      <c r="E7" s="288">
        <v>39.181749983856008</v>
      </c>
      <c r="F7" s="287">
        <v>232.07567799264095</v>
      </c>
      <c r="G7" s="308" t="s">
        <v>153</v>
      </c>
    </row>
    <row r="8" spans="1:10" ht="0.75" hidden="1" customHeight="1" thickBot="1">
      <c r="A8" s="280">
        <v>1997</v>
      </c>
      <c r="B8" s="289">
        <v>214.82091350284739</v>
      </c>
      <c r="C8" s="159">
        <v>309.95377266694288</v>
      </c>
      <c r="D8" s="289">
        <v>147.80819168288531</v>
      </c>
      <c r="E8" s="159">
        <v>118.73527169724866</v>
      </c>
      <c r="F8" s="289">
        <v>245.69341951346181</v>
      </c>
      <c r="G8" s="309">
        <v>5.8678021060236452E-2</v>
      </c>
      <c r="H8" s="8"/>
      <c r="I8" s="8"/>
      <c r="J8" s="8"/>
    </row>
    <row r="9" spans="1:10" ht="19.5" hidden="1" customHeight="1" thickBot="1">
      <c r="A9" s="280">
        <v>1998</v>
      </c>
      <c r="B9" s="289">
        <v>252.5128510168046</v>
      </c>
      <c r="C9" s="159">
        <v>360.17625657491357</v>
      </c>
      <c r="D9" s="289">
        <v>109.45734992662796</v>
      </c>
      <c r="E9" s="159">
        <v>203.07165413877752</v>
      </c>
      <c r="F9" s="289">
        <v>289.40816378154983</v>
      </c>
      <c r="G9" s="309">
        <v>0.17792395235759595</v>
      </c>
    </row>
    <row r="10" spans="1:10" ht="19.75" hidden="1" customHeight="1" thickBot="1">
      <c r="A10" s="280">
        <v>1999</v>
      </c>
      <c r="B10" s="289">
        <v>252.78194503280005</v>
      </c>
      <c r="C10" s="159">
        <v>388.48632413108436</v>
      </c>
      <c r="D10" s="289">
        <v>77.211639339766236</v>
      </c>
      <c r="E10" s="159">
        <v>225.34003908380205</v>
      </c>
      <c r="F10" s="289">
        <v>301.19915324099151</v>
      </c>
      <c r="G10" s="309">
        <v>4.0741730659476838E-2</v>
      </c>
    </row>
    <row r="11" spans="1:10" ht="19.75" hidden="1" customHeight="1" thickBot="1">
      <c r="A11" s="280">
        <v>2000</v>
      </c>
      <c r="B11" s="289">
        <v>268.97415894253976</v>
      </c>
      <c r="C11" s="159">
        <v>395.55641048968283</v>
      </c>
      <c r="D11" s="289">
        <v>127.58078154223918</v>
      </c>
      <c r="E11" s="159">
        <v>245.13884972744927</v>
      </c>
      <c r="F11" s="289">
        <v>314.93035979343995</v>
      </c>
      <c r="G11" s="309">
        <v>4.5588463329649498E-2</v>
      </c>
    </row>
    <row r="12" spans="1:10" ht="22.75" hidden="1" customHeight="1" thickBot="1">
      <c r="A12" s="280">
        <v>2001</v>
      </c>
      <c r="B12" s="289">
        <v>279.87221622151498</v>
      </c>
      <c r="C12" s="159">
        <v>409.91519673787701</v>
      </c>
      <c r="D12" s="289">
        <v>136.13273133558098</v>
      </c>
      <c r="E12" s="159">
        <v>264.16982213438177</v>
      </c>
      <c r="F12" s="289">
        <v>328.74580078618828</v>
      </c>
      <c r="G12" s="309">
        <v>4.3868241225805571E-2</v>
      </c>
    </row>
    <row r="13" spans="1:10" ht="22.75" hidden="1" customHeight="1" thickBot="1">
      <c r="A13" s="280">
        <v>2002</v>
      </c>
      <c r="B13" s="289">
        <v>286.4170414821387</v>
      </c>
      <c r="C13" s="159">
        <v>418.22409665521263</v>
      </c>
      <c r="D13" s="289">
        <v>142.93477715564441</v>
      </c>
      <c r="E13" s="159">
        <v>301.45728171382285</v>
      </c>
      <c r="F13" s="289">
        <v>340.77001631259407</v>
      </c>
      <c r="G13" s="309">
        <v>3.6576027732217797E-2</v>
      </c>
    </row>
    <row r="14" spans="1:10" ht="22.75" customHeight="1" thickBot="1">
      <c r="A14" s="280">
        <v>2003</v>
      </c>
      <c r="B14" s="289">
        <v>294.74032000405879</v>
      </c>
      <c r="C14" s="159">
        <v>432.96196147343414</v>
      </c>
      <c r="D14" s="289">
        <v>147.17768028203764</v>
      </c>
      <c r="E14" s="159">
        <v>275.60229235265177</v>
      </c>
      <c r="F14" s="289">
        <v>351.10178312798706</v>
      </c>
      <c r="G14" s="309">
        <v>3.0318884645988087E-2</v>
      </c>
    </row>
    <row r="15" spans="1:10" ht="22.75" customHeight="1" thickBot="1">
      <c r="A15" s="280">
        <v>2004</v>
      </c>
      <c r="B15" s="289">
        <v>346.67767559714537</v>
      </c>
      <c r="C15" s="159">
        <v>445.61742079017637</v>
      </c>
      <c r="D15" s="289">
        <v>170.9555657016069</v>
      </c>
      <c r="E15" s="159">
        <v>314.69406860308436</v>
      </c>
      <c r="F15" s="289">
        <v>383.59639867630506</v>
      </c>
      <c r="G15" s="309">
        <v>9.2550414466202602E-2</v>
      </c>
    </row>
    <row r="16" spans="1:10" ht="22.75" customHeight="1" thickBot="1">
      <c r="A16" s="280">
        <v>2005</v>
      </c>
      <c r="B16" s="289">
        <v>369.44498634392721</v>
      </c>
      <c r="C16" s="159">
        <v>468.17286197785694</v>
      </c>
      <c r="D16" s="289">
        <v>182.15224262282666</v>
      </c>
      <c r="E16" s="159">
        <v>325.16017542364909</v>
      </c>
      <c r="F16" s="289">
        <v>402.77581823634506</v>
      </c>
      <c r="G16" s="309">
        <v>4.9998956262945482E-2</v>
      </c>
    </row>
    <row r="17" spans="1:7" ht="22.75" customHeight="1" thickBot="1">
      <c r="A17" s="280">
        <v>2006</v>
      </c>
      <c r="B17" s="289">
        <v>381.48826099648591</v>
      </c>
      <c r="C17" s="159">
        <v>479.72716225398437</v>
      </c>
      <c r="D17" s="289">
        <v>173.51556238627722</v>
      </c>
      <c r="E17" s="159">
        <v>318.22891670236891</v>
      </c>
      <c r="F17" s="289">
        <v>406.33016890579557</v>
      </c>
      <c r="G17" s="309">
        <v>8.8246376979981278E-3</v>
      </c>
    </row>
    <row r="18" spans="1:7" ht="22.75" customHeight="1" thickBot="1">
      <c r="A18" s="280">
        <v>2007</v>
      </c>
      <c r="B18" s="289">
        <v>400.55455286147281</v>
      </c>
      <c r="C18" s="159">
        <v>500.15854269388518</v>
      </c>
      <c r="D18" s="289">
        <v>196.2585932147031</v>
      </c>
      <c r="E18" s="159">
        <v>335.92959502889681</v>
      </c>
      <c r="F18" s="289">
        <v>418.57794913092192</v>
      </c>
      <c r="G18" s="309">
        <v>3.014243381954218E-2</v>
      </c>
    </row>
    <row r="19" spans="1:7" ht="22.75" customHeight="1" thickBot="1">
      <c r="A19" s="280">
        <v>2008</v>
      </c>
      <c r="B19" s="289">
        <v>413.84569612436934</v>
      </c>
      <c r="C19" s="159">
        <v>530.13155278898682</v>
      </c>
      <c r="D19" s="289">
        <v>216.27564645013524</v>
      </c>
      <c r="E19" s="159">
        <v>354.13205606736216</v>
      </c>
      <c r="F19" s="289">
        <v>432.06984081146493</v>
      </c>
      <c r="G19" s="309">
        <v>3.223268619036368E-2</v>
      </c>
    </row>
    <row r="20" spans="1:7" ht="22.75" customHeight="1" thickBot="1">
      <c r="A20" s="280">
        <v>2009</v>
      </c>
      <c r="B20" s="289">
        <v>419.73019788908238</v>
      </c>
      <c r="C20" s="159">
        <v>544.40918884592361</v>
      </c>
      <c r="D20" s="289">
        <v>223.50620861263292</v>
      </c>
      <c r="E20" s="159">
        <v>374.97265629912067</v>
      </c>
      <c r="F20" s="289">
        <v>438.77782718478119</v>
      </c>
      <c r="G20" s="309">
        <v>1.5525236292165401E-2</v>
      </c>
    </row>
    <row r="21" spans="1:7" ht="22.75" customHeight="1" thickBot="1">
      <c r="A21" s="280">
        <v>2010</v>
      </c>
      <c r="B21" s="289">
        <v>435.70361068231057</v>
      </c>
      <c r="C21" s="159">
        <v>572.69650597987197</v>
      </c>
      <c r="D21" s="289">
        <v>219.33149556032734</v>
      </c>
      <c r="E21" s="159">
        <v>374.02084561196324</v>
      </c>
      <c r="F21" s="289">
        <v>438.15718058625299</v>
      </c>
      <c r="G21" s="309">
        <v>-1.4144894296740373E-3</v>
      </c>
    </row>
    <row r="22" spans="1:7" ht="22.75" customHeight="1" thickBot="1">
      <c r="A22" s="280">
        <v>2011</v>
      </c>
      <c r="B22" s="289">
        <v>461.61305816298312</v>
      </c>
      <c r="C22" s="159">
        <v>594.28475480059626</v>
      </c>
      <c r="D22" s="289">
        <v>231.45610961860717</v>
      </c>
      <c r="E22" s="159">
        <v>399.26485796677258</v>
      </c>
      <c r="F22" s="289">
        <v>454.68758890719317</v>
      </c>
      <c r="G22" s="309">
        <v>3.7727119520950314E-2</v>
      </c>
    </row>
    <row r="23" spans="1:7" ht="22.75" customHeight="1" thickBot="1">
      <c r="A23" s="280">
        <v>2012</v>
      </c>
      <c r="B23" s="289">
        <v>476.13093952499298</v>
      </c>
      <c r="C23" s="159">
        <v>620.94082593533938</v>
      </c>
      <c r="D23" s="289">
        <v>240.56320702034301</v>
      </c>
      <c r="E23" s="159">
        <v>414.05131832536978</v>
      </c>
      <c r="F23" s="289">
        <v>465.87080943736197</v>
      </c>
      <c r="G23" s="309">
        <v>2.4595394294897766E-2</v>
      </c>
    </row>
    <row r="24" spans="1:7" ht="26.5" customHeight="1" thickBot="1">
      <c r="A24" s="283">
        <v>2013</v>
      </c>
      <c r="B24" s="290">
        <v>491.76886053952586</v>
      </c>
      <c r="C24" s="291">
        <v>653.82336372798909</v>
      </c>
      <c r="D24" s="290">
        <v>255.48070621404605</v>
      </c>
      <c r="E24" s="291">
        <v>436.03486312035335</v>
      </c>
      <c r="F24" s="290">
        <v>484.10419859321894</v>
      </c>
      <c r="G24" s="648">
        <v>3.9138294966103659E-2</v>
      </c>
    </row>
    <row r="25" spans="1:7" ht="17.25" customHeight="1">
      <c r="A25" s="189" t="s">
        <v>346</v>
      </c>
      <c r="B25" s="189"/>
      <c r="C25" s="189"/>
      <c r="D25" s="189"/>
      <c r="E25" s="189"/>
      <c r="F25" s="189"/>
      <c r="G25" s="529"/>
    </row>
    <row r="26" spans="1:7">
      <c r="G26" s="530"/>
    </row>
    <row r="27" spans="1:7">
      <c r="A27" s="3" t="s">
        <v>1873</v>
      </c>
      <c r="G27" s="530"/>
    </row>
    <row r="28" spans="1:7">
      <c r="G28" s="530"/>
    </row>
    <row r="29" spans="1:7">
      <c r="G29" s="530"/>
    </row>
    <row r="30" spans="1:7" ht="21" customHeight="1">
      <c r="A30" s="649" t="s">
        <v>1874</v>
      </c>
      <c r="G30" s="530"/>
    </row>
    <row r="31" spans="1:7" ht="8.5" customHeight="1">
      <c r="G31" s="530"/>
    </row>
    <row r="32" spans="1:7" ht="18" customHeight="1">
      <c r="A32" s="224" t="s">
        <v>460</v>
      </c>
      <c r="B32" s="267" t="s">
        <v>495</v>
      </c>
      <c r="C32" s="305" t="s">
        <v>475</v>
      </c>
      <c r="D32" s="267" t="s">
        <v>496</v>
      </c>
      <c r="E32" s="305" t="s">
        <v>475</v>
      </c>
      <c r="F32" s="267" t="s">
        <v>1082</v>
      </c>
      <c r="G32" s="305" t="s">
        <v>475</v>
      </c>
    </row>
    <row r="33" spans="1:7" ht="18" customHeight="1">
      <c r="A33" s="650"/>
      <c r="B33" s="270" t="s">
        <v>499</v>
      </c>
      <c r="C33" s="306" t="s">
        <v>476</v>
      </c>
      <c r="D33" s="270" t="s">
        <v>500</v>
      </c>
      <c r="E33" s="306" t="s">
        <v>476</v>
      </c>
      <c r="F33" s="270" t="s">
        <v>1083</v>
      </c>
      <c r="G33" s="306" t="s">
        <v>476</v>
      </c>
    </row>
    <row r="34" spans="1:7" ht="18" customHeight="1">
      <c r="A34" s="269"/>
      <c r="B34" s="270"/>
      <c r="C34" s="521" t="s">
        <v>477</v>
      </c>
      <c r="D34" s="270"/>
      <c r="E34" s="521" t="s">
        <v>477</v>
      </c>
      <c r="F34" s="270"/>
      <c r="G34" s="521" t="s">
        <v>477</v>
      </c>
    </row>
    <row r="35" spans="1:7" ht="18" customHeight="1">
      <c r="A35" s="273"/>
      <c r="B35" s="274"/>
      <c r="C35" s="275"/>
      <c r="D35" s="274"/>
      <c r="E35" s="276"/>
      <c r="F35" s="274"/>
      <c r="G35" s="471"/>
    </row>
    <row r="36" spans="1:7" ht="1.25" customHeight="1" thickBot="1">
      <c r="A36" s="277">
        <v>1996</v>
      </c>
      <c r="B36" s="287" t="s">
        <v>153</v>
      </c>
      <c r="C36" s="651" t="s">
        <v>153</v>
      </c>
      <c r="D36" s="287" t="s">
        <v>153</v>
      </c>
      <c r="E36" s="651" t="s">
        <v>153</v>
      </c>
      <c r="F36" s="287" t="s">
        <v>153</v>
      </c>
      <c r="G36" s="308" t="s">
        <v>153</v>
      </c>
    </row>
    <row r="37" spans="1:7" ht="0.75" customHeight="1" thickBot="1">
      <c r="A37" s="277">
        <v>1997</v>
      </c>
      <c r="B37" s="287">
        <v>63.770000000000095</v>
      </c>
      <c r="C37" s="309" t="s">
        <v>153</v>
      </c>
      <c r="D37" s="287">
        <v>180.87</v>
      </c>
      <c r="E37" s="309" t="s">
        <v>153</v>
      </c>
      <c r="F37" s="287">
        <v>315.02000000000021</v>
      </c>
      <c r="G37" s="309" t="s">
        <v>153</v>
      </c>
    </row>
    <row r="38" spans="1:7" ht="18" hidden="1" customHeight="1" thickBot="1">
      <c r="A38" s="277">
        <v>1998</v>
      </c>
      <c r="B38" s="289">
        <v>67.759999999999991</v>
      </c>
      <c r="C38" s="309">
        <v>6.2568605927550314E-2</v>
      </c>
      <c r="D38" s="289">
        <v>220.31000000000006</v>
      </c>
      <c r="E38" s="309">
        <v>0.21805716813180775</v>
      </c>
      <c r="F38" s="289">
        <v>369.30999999999995</v>
      </c>
      <c r="G38" s="309">
        <v>0.17233826423719023</v>
      </c>
    </row>
    <row r="39" spans="1:7" ht="18" hidden="1" customHeight="1" thickBot="1">
      <c r="A39" s="277">
        <v>1999</v>
      </c>
      <c r="B39" s="289">
        <v>68.569999999999936</v>
      </c>
      <c r="C39" s="309">
        <v>1.1953955135772576E-2</v>
      </c>
      <c r="D39" s="289">
        <v>233.62</v>
      </c>
      <c r="E39" s="309">
        <v>6.0414869955970785E-2</v>
      </c>
      <c r="F39" s="289">
        <v>384.64000000000033</v>
      </c>
      <c r="G39" s="309">
        <v>4.150984267959279E-2</v>
      </c>
    </row>
    <row r="40" spans="1:7" ht="22.75" hidden="1" customHeight="1" thickBot="1">
      <c r="A40" s="277">
        <v>2000</v>
      </c>
      <c r="B40" s="289">
        <v>71.980000000000018</v>
      </c>
      <c r="C40" s="309">
        <v>4.9730202712557681E-2</v>
      </c>
      <c r="D40" s="289">
        <v>241.04000000000008</v>
      </c>
      <c r="E40" s="309">
        <v>3.1760979368204989E-2</v>
      </c>
      <c r="F40" s="289">
        <v>405.15000000000009</v>
      </c>
      <c r="G40" s="309">
        <v>5.3322587354408757E-2</v>
      </c>
    </row>
    <row r="41" spans="1:7" ht="22.75" hidden="1" customHeight="1" thickBot="1">
      <c r="A41" s="277">
        <v>2001</v>
      </c>
      <c r="B41" s="289">
        <v>75.100000000000023</v>
      </c>
      <c r="C41" s="309">
        <v>4.3345373714920754E-2</v>
      </c>
      <c r="D41" s="289">
        <v>251.89</v>
      </c>
      <c r="E41" s="309">
        <v>4.5013275804845376E-2</v>
      </c>
      <c r="F41" s="289">
        <v>422.20000000000027</v>
      </c>
      <c r="G41" s="309">
        <v>4.2083179069480892E-2</v>
      </c>
    </row>
    <row r="42" spans="1:7" ht="22.75" hidden="1" customHeight="1" thickBot="1">
      <c r="A42" s="277">
        <v>2002</v>
      </c>
      <c r="B42" s="289">
        <v>75.169999999999959</v>
      </c>
      <c r="C42" s="309">
        <v>9.320905459377915E-4</v>
      </c>
      <c r="D42" s="289">
        <v>258.49</v>
      </c>
      <c r="E42" s="309">
        <v>2.6201913533685506E-2</v>
      </c>
      <c r="F42" s="289">
        <v>434.13000000000011</v>
      </c>
      <c r="G42" s="309">
        <v>2.8256750355281524E-2</v>
      </c>
    </row>
    <row r="43" spans="1:7" ht="22.75" customHeight="1" thickBot="1">
      <c r="A43" s="277">
        <v>2003</v>
      </c>
      <c r="B43" s="289">
        <v>77.519999999999982</v>
      </c>
      <c r="C43" s="309">
        <v>3.1262471730743924E-2</v>
      </c>
      <c r="D43" s="289">
        <v>267.20999999999992</v>
      </c>
      <c r="E43" s="309">
        <v>3.373438044024879E-2</v>
      </c>
      <c r="F43" s="289">
        <v>444.80999999999995</v>
      </c>
      <c r="G43" s="309">
        <v>2.4600925989910483E-2</v>
      </c>
    </row>
    <row r="44" spans="1:7" ht="22.75" customHeight="1" thickBot="1">
      <c r="A44" s="277">
        <v>2004</v>
      </c>
      <c r="B44" s="289">
        <v>80.840000000000032</v>
      </c>
      <c r="C44" s="309">
        <v>4.2827657378741613E-2</v>
      </c>
      <c r="D44" s="289">
        <v>289.2399999999999</v>
      </c>
      <c r="E44" s="309">
        <v>8.244451929194252E-2</v>
      </c>
      <c r="F44" s="289">
        <v>485.31999999999971</v>
      </c>
      <c r="G44" s="309">
        <v>9.1072592792427631E-2</v>
      </c>
    </row>
    <row r="45" spans="1:7" ht="22.75" customHeight="1" thickBot="1">
      <c r="A45" s="277">
        <v>2005</v>
      </c>
      <c r="B45" s="289">
        <v>88.199999999999932</v>
      </c>
      <c r="C45" s="309">
        <v>9.1044037605144679E-2</v>
      </c>
      <c r="D45" s="289">
        <v>304.45000000000016</v>
      </c>
      <c r="E45" s="309">
        <v>5.2586087678053728E-2</v>
      </c>
      <c r="F45" s="289">
        <v>506.7800000000002</v>
      </c>
      <c r="G45" s="309">
        <v>4.4218247754060247E-2</v>
      </c>
    </row>
    <row r="46" spans="1:7" ht="22.75" customHeight="1" thickBot="1">
      <c r="A46" s="277">
        <v>2006</v>
      </c>
      <c r="B46" s="289">
        <v>89.889999999999986</v>
      </c>
      <c r="C46" s="309">
        <v>1.9160997732426965E-2</v>
      </c>
      <c r="D46" s="289">
        <v>303.98</v>
      </c>
      <c r="E46" s="309">
        <v>-1.5437674494995779E-3</v>
      </c>
      <c r="F46" s="289">
        <v>509.94000000000005</v>
      </c>
      <c r="G46" s="309">
        <v>6.2354473341486027E-3</v>
      </c>
    </row>
    <row r="47" spans="1:7" ht="22.75" customHeight="1" thickBot="1">
      <c r="A47" s="277">
        <v>2007</v>
      </c>
      <c r="B47" s="289">
        <v>93.17999999999995</v>
      </c>
      <c r="C47" s="309">
        <v>3.660028924240688E-2</v>
      </c>
      <c r="D47" s="289">
        <v>309.60000000000002</v>
      </c>
      <c r="E47" s="309">
        <v>1.8488058424896314E-2</v>
      </c>
      <c r="F47" s="289">
        <v>522.09000000000015</v>
      </c>
      <c r="G47" s="309">
        <v>2.3826332509707226E-2</v>
      </c>
    </row>
    <row r="48" spans="1:7" ht="22.75" customHeight="1" thickBot="1">
      <c r="A48" s="277">
        <v>2008</v>
      </c>
      <c r="B48" s="289">
        <v>95.289999999999964</v>
      </c>
      <c r="C48" s="309">
        <v>2.2644344279888484E-2</v>
      </c>
      <c r="D48" s="289">
        <v>321.29999999999995</v>
      </c>
      <c r="E48" s="309">
        <v>3.779069767441845E-2</v>
      </c>
      <c r="F48" s="289">
        <v>537.44000000000005</v>
      </c>
      <c r="G48" s="309">
        <v>2.9401061119730176E-2</v>
      </c>
    </row>
    <row r="49" spans="1:7" ht="22.75" customHeight="1" thickBot="1">
      <c r="A49" s="277">
        <v>2009</v>
      </c>
      <c r="B49" s="289">
        <v>95.725122980230481</v>
      </c>
      <c r="C49" s="309">
        <v>4.5663026574720433E-3</v>
      </c>
      <c r="D49" s="289">
        <v>334.16938022804311</v>
      </c>
      <c r="E49" s="309">
        <v>4.0054093457961848E-2</v>
      </c>
      <c r="F49" s="289">
        <v>544.22522061426776</v>
      </c>
      <c r="G49" s="309">
        <v>1.262507556986403E-2</v>
      </c>
    </row>
    <row r="50" spans="1:7" ht="22.75" customHeight="1" thickBot="1">
      <c r="A50" s="277">
        <v>2010</v>
      </c>
      <c r="B50" s="289">
        <v>93.937047957694219</v>
      </c>
      <c r="C50" s="309">
        <v>-1.8679265869478656E-2</v>
      </c>
      <c r="D50" s="289">
        <v>331.62812709047785</v>
      </c>
      <c r="E50" s="309">
        <v>-7.6046857908736998E-3</v>
      </c>
      <c r="F50" s="289">
        <v>542.78191935372695</v>
      </c>
      <c r="G50" s="309">
        <v>-2.6520293545230222E-3</v>
      </c>
    </row>
    <row r="51" spans="1:7" ht="22.75" customHeight="1" thickBot="1">
      <c r="A51" s="277">
        <v>2011</v>
      </c>
      <c r="B51" s="289">
        <v>94.253152352868312</v>
      </c>
      <c r="C51" s="309">
        <v>3.3650663081987719E-3</v>
      </c>
      <c r="D51" s="289">
        <v>340.38460160443998</v>
      </c>
      <c r="E51" s="309">
        <v>2.6404498890931327E-2</v>
      </c>
      <c r="F51" s="289">
        <v>563.24138007099987</v>
      </c>
      <c r="G51" s="309">
        <v>3.769370347050871E-2</v>
      </c>
    </row>
    <row r="52" spans="1:7" ht="22.75" customHeight="1" thickBot="1">
      <c r="A52" s="277">
        <v>2012</v>
      </c>
      <c r="B52" s="289">
        <v>95.293888279279315</v>
      </c>
      <c r="C52" s="309">
        <v>1.1041921680398081E-2</v>
      </c>
      <c r="D52" s="289">
        <v>353.60651268115112</v>
      </c>
      <c r="E52" s="309">
        <v>3.884403411431725E-2</v>
      </c>
      <c r="F52" s="289">
        <v>575.68115065131337</v>
      </c>
      <c r="G52" s="309">
        <v>2.2086038101009953E-2</v>
      </c>
    </row>
    <row r="53" spans="1:7" ht="22.75" customHeight="1" thickBot="1">
      <c r="A53" s="652">
        <v>2013</v>
      </c>
      <c r="B53" s="1280">
        <v>100.58162100051146</v>
      </c>
      <c r="C53" s="648">
        <v>5.5488686805761356E-2</v>
      </c>
      <c r="D53" s="619">
        <v>372.41584724661629</v>
      </c>
      <c r="E53" s="648">
        <v>5.3192839755261012E-2</v>
      </c>
      <c r="F53" s="619">
        <v>596.1054579606382</v>
      </c>
      <c r="G53" s="648">
        <v>3.5478506263783682E-2</v>
      </c>
    </row>
    <row r="54" spans="1:7" ht="15" customHeight="1">
      <c r="A54" s="461" t="s">
        <v>346</v>
      </c>
    </row>
    <row r="56" spans="1:7">
      <c r="A56" s="219" t="s">
        <v>1875</v>
      </c>
    </row>
    <row r="58" spans="1:7">
      <c r="G58" s="530"/>
    </row>
    <row r="59" spans="1:7">
      <c r="A59" s="367" t="s">
        <v>1876</v>
      </c>
    </row>
    <row r="60" spans="1:7">
      <c r="A60" s="3" t="s">
        <v>1877</v>
      </c>
    </row>
    <row r="61" spans="1:7">
      <c r="A61" s="3" t="s">
        <v>1878</v>
      </c>
    </row>
    <row r="62" spans="1:7">
      <c r="A62" s="247" t="s">
        <v>2221</v>
      </c>
    </row>
    <row r="65" spans="1:1">
      <c r="A65" s="3" t="s">
        <v>302</v>
      </c>
    </row>
  </sheetData>
  <mergeCells count="1">
    <mergeCell ref="A2:G2"/>
  </mergeCells>
  <pageMargins left="0.32" right="0.23" top="0.39370078740157483" bottom="0.31496062992125984" header="0.23622047244094491" footer="0.19685039370078741"/>
  <pageSetup paperSize="9" scale="69" orientation="portrait" horizontalDpi="1200" verticalDpi="120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5F0F5-ECD6-BE47-9AF7-5AB81B9440E6}">
  <sheetPr>
    <pageSetUpPr fitToPage="1"/>
  </sheetPr>
  <dimension ref="A1:S43"/>
  <sheetViews>
    <sheetView zoomScaleNormal="100" workbookViewId="0"/>
  </sheetViews>
  <sheetFormatPr baseColWidth="10" defaultColWidth="11.3984375" defaultRowHeight="13"/>
  <cols>
    <col min="1" max="1" width="13.3984375" style="3" customWidth="1"/>
    <col min="2" max="7" width="10.796875" style="3" customWidth="1"/>
    <col min="8" max="11" width="10.3984375" style="3" customWidth="1"/>
    <col min="12" max="13" width="11.3984375" style="3"/>
    <col min="14" max="14" width="11.59765625" style="3" customWidth="1"/>
    <col min="15" max="16384" width="11.3984375" style="3"/>
  </cols>
  <sheetData>
    <row r="1" spans="1:19" s="1" customFormat="1" ht="14" customHeight="1"/>
    <row r="2" spans="1:19" s="1" customFormat="1" ht="27.5" customHeight="1">
      <c r="A2" s="125" t="s">
        <v>1603</v>
      </c>
      <c r="B2" s="360"/>
      <c r="C2" s="360"/>
      <c r="D2" s="360"/>
      <c r="E2" s="360"/>
      <c r="F2" s="360"/>
      <c r="G2" s="360"/>
      <c r="H2" s="360"/>
      <c r="I2" s="125"/>
      <c r="J2" s="125"/>
      <c r="K2" s="125"/>
      <c r="L2" s="125"/>
      <c r="M2" s="125"/>
      <c r="N2" s="125"/>
      <c r="O2" s="125"/>
      <c r="P2" s="125"/>
      <c r="Q2" s="125"/>
      <c r="R2" s="844"/>
      <c r="S2" s="125"/>
    </row>
    <row r="3" spans="1:19" ht="24" customHeight="1">
      <c r="A3" s="612" t="s">
        <v>67</v>
      </c>
      <c r="B3" s="271">
        <v>1996</v>
      </c>
      <c r="C3" s="270">
        <v>1997</v>
      </c>
      <c r="D3" s="271">
        <v>1998</v>
      </c>
      <c r="E3" s="743">
        <v>1999</v>
      </c>
      <c r="F3" s="744">
        <v>2000</v>
      </c>
      <c r="G3" s="270">
        <v>2001</v>
      </c>
      <c r="H3" s="271">
        <v>2002</v>
      </c>
      <c r="I3" s="270">
        <v>2003</v>
      </c>
      <c r="J3" s="271">
        <v>2004</v>
      </c>
      <c r="K3" s="270">
        <v>2005</v>
      </c>
      <c r="L3" s="271">
        <v>2006</v>
      </c>
      <c r="M3" s="270">
        <v>2007</v>
      </c>
      <c r="N3" s="271">
        <v>2008</v>
      </c>
      <c r="O3" s="270">
        <v>2009</v>
      </c>
      <c r="P3" s="271">
        <v>2010</v>
      </c>
      <c r="Q3" s="270">
        <v>2011</v>
      </c>
      <c r="R3" s="271">
        <v>2012</v>
      </c>
      <c r="S3" s="270">
        <v>2013</v>
      </c>
    </row>
    <row r="4" spans="1:19" ht="15" customHeight="1">
      <c r="A4" s="613"/>
      <c r="B4" s="271"/>
      <c r="C4" s="270"/>
      <c r="D4" s="271"/>
      <c r="E4" s="614"/>
      <c r="F4" s="272"/>
      <c r="G4" s="270"/>
      <c r="H4" s="271"/>
      <c r="I4" s="270"/>
      <c r="J4" s="271"/>
      <c r="K4" s="270"/>
      <c r="L4" s="271"/>
      <c r="M4" s="270"/>
      <c r="N4" s="271"/>
      <c r="O4" s="270"/>
      <c r="P4" s="271"/>
      <c r="Q4" s="270"/>
      <c r="R4" s="271"/>
      <c r="S4" s="270"/>
    </row>
    <row r="5" spans="1:19" ht="16" customHeight="1">
      <c r="A5" s="615"/>
      <c r="B5" s="275"/>
      <c r="C5" s="274"/>
      <c r="D5" s="275"/>
      <c r="E5" s="362"/>
      <c r="F5" s="276"/>
      <c r="G5" s="274"/>
      <c r="H5" s="275"/>
      <c r="I5" s="274"/>
      <c r="J5" s="275"/>
      <c r="K5" s="274"/>
      <c r="L5" s="275"/>
      <c r="M5" s="274"/>
      <c r="N5" s="275"/>
      <c r="O5" s="274"/>
      <c r="P5" s="275"/>
      <c r="Q5" s="274"/>
      <c r="R5" s="275"/>
      <c r="S5" s="274"/>
    </row>
    <row r="6" spans="1:19" ht="30" customHeight="1" thickBot="1">
      <c r="A6" s="616" t="s">
        <v>502</v>
      </c>
      <c r="B6" s="353">
        <v>1531.4368043385546</v>
      </c>
      <c r="C6" s="352">
        <v>1592.1404612983295</v>
      </c>
      <c r="D6" s="353">
        <v>1716.0245551444925</v>
      </c>
      <c r="E6" s="352">
        <v>1773.1739518220609</v>
      </c>
      <c r="F6" s="353">
        <v>1834.7116093744457</v>
      </c>
      <c r="G6" s="352">
        <v>1932.4611205334261</v>
      </c>
      <c r="H6" s="288">
        <v>2000.5046781814647</v>
      </c>
      <c r="I6" s="287">
        <v>2034.9237040545336</v>
      </c>
      <c r="J6" s="288">
        <v>2196.6080176712967</v>
      </c>
      <c r="K6" s="287">
        <v>2276.3332940228111</v>
      </c>
      <c r="L6" s="288">
        <v>2275.0555158102898</v>
      </c>
      <c r="M6" s="287">
        <v>2377.7251299329969</v>
      </c>
      <c r="N6" s="288">
        <v>2490.7057595098518</v>
      </c>
      <c r="O6" s="287">
        <v>2595.1602371058643</v>
      </c>
      <c r="P6" s="288">
        <v>2658.1695727129568</v>
      </c>
      <c r="Q6" s="287">
        <v>2660.7115895562274</v>
      </c>
      <c r="R6" s="288">
        <v>2754.8719287245185</v>
      </c>
      <c r="S6" s="287">
        <v>3014.9596824979967</v>
      </c>
    </row>
    <row r="7" spans="1:19" ht="20" customHeight="1" thickBot="1">
      <c r="A7" s="617" t="s">
        <v>503</v>
      </c>
      <c r="B7" s="159">
        <v>1429.5179276925787</v>
      </c>
      <c r="C7" s="289">
        <v>1560.9828221225171</v>
      </c>
      <c r="D7" s="159">
        <v>1549.4957062423252</v>
      </c>
      <c r="E7" s="289">
        <v>1630.1556937084752</v>
      </c>
      <c r="F7" s="159">
        <v>1781.6542916392134</v>
      </c>
      <c r="G7" s="289">
        <v>1847.9692160332511</v>
      </c>
      <c r="H7" s="288">
        <v>1922.939690101945</v>
      </c>
      <c r="I7" s="287">
        <v>2056.6964015673011</v>
      </c>
      <c r="J7" s="288">
        <v>2341.8816259440355</v>
      </c>
      <c r="K7" s="287">
        <v>2485.1444407832573</v>
      </c>
      <c r="L7" s="288">
        <v>2547.105985823775</v>
      </c>
      <c r="M7" s="287">
        <v>2678.4157621860086</v>
      </c>
      <c r="N7" s="288">
        <v>2798.8865785595031</v>
      </c>
      <c r="O7" s="287">
        <v>2847.3804001022049</v>
      </c>
      <c r="P7" s="288">
        <v>2892.7488001419242</v>
      </c>
      <c r="Q7" s="287">
        <v>2988.005313494667</v>
      </c>
      <c r="R7" s="288">
        <v>2949.2440552222347</v>
      </c>
      <c r="S7" s="287">
        <v>3044.688293028421</v>
      </c>
    </row>
    <row r="8" spans="1:19" ht="20" customHeight="1" thickBot="1">
      <c r="A8" s="617" t="s">
        <v>504</v>
      </c>
      <c r="B8" s="159">
        <v>1133.4959137144647</v>
      </c>
      <c r="C8" s="289">
        <v>1164.2366846696132</v>
      </c>
      <c r="D8" s="159">
        <v>1255.3914661537981</v>
      </c>
      <c r="E8" s="289">
        <v>1318.1977597711782</v>
      </c>
      <c r="F8" s="159">
        <v>1420.093796759051</v>
      </c>
      <c r="G8" s="289">
        <v>1529.4853321539028</v>
      </c>
      <c r="H8" s="288">
        <v>1576.1526530652723</v>
      </c>
      <c r="I8" s="287">
        <v>1674.3818428454581</v>
      </c>
      <c r="J8" s="288">
        <v>1805.4006977487363</v>
      </c>
      <c r="K8" s="287">
        <v>1947.7473971890336</v>
      </c>
      <c r="L8" s="288">
        <v>1934.0866644296423</v>
      </c>
      <c r="M8" s="287">
        <v>2024.2185351854032</v>
      </c>
      <c r="N8" s="288">
        <v>2117.1685537566664</v>
      </c>
      <c r="O8" s="287">
        <v>2239.5335043069604</v>
      </c>
      <c r="P8" s="288">
        <v>2291.8030558776159</v>
      </c>
      <c r="Q8" s="287">
        <v>2306.388892515361</v>
      </c>
      <c r="R8" s="288">
        <v>2436.4494032087719</v>
      </c>
      <c r="S8" s="287">
        <v>2605.8268392974546</v>
      </c>
    </row>
    <row r="9" spans="1:19" ht="20" customHeight="1" thickBot="1">
      <c r="A9" s="617" t="s">
        <v>505</v>
      </c>
      <c r="B9" s="159">
        <v>1170.5713898768597</v>
      </c>
      <c r="C9" s="289">
        <v>1188.7947173285502</v>
      </c>
      <c r="D9" s="159">
        <v>1184.7634491989279</v>
      </c>
      <c r="E9" s="289">
        <v>1276.0434772253018</v>
      </c>
      <c r="F9" s="159">
        <v>1372.3320896788282</v>
      </c>
      <c r="G9" s="289">
        <v>1524.2356863549176</v>
      </c>
      <c r="H9" s="288">
        <v>1447.1828874585042</v>
      </c>
      <c r="I9" s="287">
        <v>1570.7474754638181</v>
      </c>
      <c r="J9" s="288">
        <v>1666.6492681434515</v>
      </c>
      <c r="K9" s="287">
        <v>1860.0091614818257</v>
      </c>
      <c r="L9" s="288">
        <v>1869.5080282563245</v>
      </c>
      <c r="M9" s="287">
        <v>2009.4927026379683</v>
      </c>
      <c r="N9" s="288">
        <v>2068.8412540501618</v>
      </c>
      <c r="O9" s="287">
        <v>2163.02623550206</v>
      </c>
      <c r="P9" s="288">
        <v>2174.6586066543464</v>
      </c>
      <c r="Q9" s="287">
        <v>2159.5054345717153</v>
      </c>
      <c r="R9" s="288">
        <v>2260.5216634437506</v>
      </c>
      <c r="S9" s="287">
        <v>2378.2070043834838</v>
      </c>
    </row>
    <row r="10" spans="1:19" ht="20" customHeight="1" thickBot="1">
      <c r="A10" s="617" t="s">
        <v>506</v>
      </c>
      <c r="B10" s="159">
        <v>1183.904502547374</v>
      </c>
      <c r="C10" s="289">
        <v>1177.3390952712084</v>
      </c>
      <c r="D10" s="159">
        <v>1210.2794637805375</v>
      </c>
      <c r="E10" s="289">
        <v>1328.6042502309097</v>
      </c>
      <c r="F10" s="159">
        <v>1401.49371094512</v>
      </c>
      <c r="G10" s="289">
        <v>1562.5834963549732</v>
      </c>
      <c r="H10" s="288">
        <v>1546.5923642876348</v>
      </c>
      <c r="I10" s="287">
        <v>1661.3339067844468</v>
      </c>
      <c r="J10" s="288">
        <v>1779.1950576893307</v>
      </c>
      <c r="K10" s="287">
        <v>1883.5767671342526</v>
      </c>
      <c r="L10" s="288">
        <v>1924.2853426193594</v>
      </c>
      <c r="M10" s="287">
        <v>2012.3715910012818</v>
      </c>
      <c r="N10" s="288">
        <v>2081.1379398518775</v>
      </c>
      <c r="O10" s="287">
        <v>2224.6461416556958</v>
      </c>
      <c r="P10" s="288">
        <v>2225.2091375768055</v>
      </c>
      <c r="Q10" s="287">
        <v>2268.4311930371427</v>
      </c>
      <c r="R10" s="288">
        <v>2416.2630099855819</v>
      </c>
      <c r="S10" s="287">
        <v>2561.1874918662857</v>
      </c>
    </row>
    <row r="11" spans="1:19" ht="20" customHeight="1" thickBot="1">
      <c r="A11" s="617" t="s">
        <v>507</v>
      </c>
      <c r="B11" s="159">
        <v>1133.7894159595787</v>
      </c>
      <c r="C11" s="289">
        <v>1137.0381481642287</v>
      </c>
      <c r="D11" s="159">
        <v>1204.9714456028103</v>
      </c>
      <c r="E11" s="289">
        <v>1277.9778714096794</v>
      </c>
      <c r="F11" s="159">
        <v>1369.3814863200012</v>
      </c>
      <c r="G11" s="289">
        <v>1410.6232418448128</v>
      </c>
      <c r="H11" s="288">
        <v>1421.5873003326212</v>
      </c>
      <c r="I11" s="287">
        <v>1531.0057506857099</v>
      </c>
      <c r="J11" s="288">
        <v>1618.0639843081201</v>
      </c>
      <c r="K11" s="287">
        <v>1769.3426699028305</v>
      </c>
      <c r="L11" s="288">
        <v>1824.6505680668256</v>
      </c>
      <c r="M11" s="287">
        <v>1975.9418241624771</v>
      </c>
      <c r="N11" s="288">
        <v>2028.3068967183267</v>
      </c>
      <c r="O11" s="287">
        <v>2058.8767642458251</v>
      </c>
      <c r="P11" s="288">
        <v>2033.766976369847</v>
      </c>
      <c r="Q11" s="287">
        <v>2101.0595424357598</v>
      </c>
      <c r="R11" s="288">
        <v>2280.1500491427919</v>
      </c>
      <c r="S11" s="287">
        <v>2535.1749151024528</v>
      </c>
    </row>
    <row r="12" spans="1:19" ht="20" customHeight="1" thickBot="1">
      <c r="A12" s="617" t="s">
        <v>508</v>
      </c>
      <c r="B12" s="159">
        <v>1084.0519649237353</v>
      </c>
      <c r="C12" s="289">
        <v>1048.6278972234743</v>
      </c>
      <c r="D12" s="159">
        <v>1090.0190923265952</v>
      </c>
      <c r="E12" s="289">
        <v>1162.2748100441377</v>
      </c>
      <c r="F12" s="159">
        <v>1285.619302307706</v>
      </c>
      <c r="G12" s="289">
        <v>1333.9556699963334</v>
      </c>
      <c r="H12" s="288">
        <v>1388.3951215522666</v>
      </c>
      <c r="I12" s="287">
        <v>1470.2141545515597</v>
      </c>
      <c r="J12" s="288">
        <v>1489.3604369062462</v>
      </c>
      <c r="K12" s="287">
        <v>1586.5911426422597</v>
      </c>
      <c r="L12" s="288">
        <v>1696.2506591330434</v>
      </c>
      <c r="M12" s="287">
        <v>1847.7498182499899</v>
      </c>
      <c r="N12" s="288">
        <v>1912.6361784172177</v>
      </c>
      <c r="O12" s="287">
        <v>1987.0067973913037</v>
      </c>
      <c r="P12" s="288">
        <v>2022.6549757315913</v>
      </c>
      <c r="Q12" s="287">
        <v>2027.1509724747493</v>
      </c>
      <c r="R12" s="288">
        <v>2287.2711565217187</v>
      </c>
      <c r="S12" s="287">
        <v>2504.6193053306724</v>
      </c>
    </row>
    <row r="13" spans="1:19" ht="20" customHeight="1" thickBot="1">
      <c r="A13" s="617" t="s">
        <v>509</v>
      </c>
      <c r="B13" s="159">
        <v>1203.4670187360268</v>
      </c>
      <c r="C13" s="289">
        <v>1262.1814850826552</v>
      </c>
      <c r="D13" s="159">
        <v>1295.9536270179703</v>
      </c>
      <c r="E13" s="289">
        <v>1417.7423234774992</v>
      </c>
      <c r="F13" s="159">
        <v>1519.2532199850962</v>
      </c>
      <c r="G13" s="289">
        <v>1646.5068743383752</v>
      </c>
      <c r="H13" s="288">
        <v>1683.4135242730229</v>
      </c>
      <c r="I13" s="287">
        <v>1718.6463437398302</v>
      </c>
      <c r="J13" s="288">
        <v>1844.6230302894276</v>
      </c>
      <c r="K13" s="287">
        <v>1974.6194053054242</v>
      </c>
      <c r="L13" s="288">
        <v>1962.9238127623209</v>
      </c>
      <c r="M13" s="287">
        <v>2030.5993941412801</v>
      </c>
      <c r="N13" s="288">
        <v>2180.6976400750987</v>
      </c>
      <c r="O13" s="287">
        <v>2247.2239645196319</v>
      </c>
      <c r="P13" s="288">
        <v>2348.5362628836929</v>
      </c>
      <c r="Q13" s="287">
        <v>2320.9659389464027</v>
      </c>
      <c r="R13" s="288">
        <v>2499.6467524433988</v>
      </c>
      <c r="S13" s="287">
        <v>2611.1281182786765</v>
      </c>
    </row>
    <row r="14" spans="1:19" ht="20" customHeight="1" thickBot="1">
      <c r="A14" s="617" t="s">
        <v>510</v>
      </c>
      <c r="B14" s="159">
        <v>1094.0639115654201</v>
      </c>
      <c r="C14" s="289">
        <v>1161.1799024238769</v>
      </c>
      <c r="D14" s="159">
        <v>1242.798626689103</v>
      </c>
      <c r="E14" s="289">
        <v>1321.3699370390195</v>
      </c>
      <c r="F14" s="159">
        <v>1410.2859117015253</v>
      </c>
      <c r="G14" s="289">
        <v>1564.7256669968224</v>
      </c>
      <c r="H14" s="288">
        <v>1656.1215954686197</v>
      </c>
      <c r="I14" s="287">
        <v>1696.8018273040691</v>
      </c>
      <c r="J14" s="288">
        <v>1771.3567195235237</v>
      </c>
      <c r="K14" s="287">
        <v>1868.8308402935636</v>
      </c>
      <c r="L14" s="288">
        <v>1882.3434464219522</v>
      </c>
      <c r="M14" s="287">
        <v>1989.6316671374429</v>
      </c>
      <c r="N14" s="288">
        <v>2067.1180660524301</v>
      </c>
      <c r="O14" s="287">
        <v>2181.154562467118</v>
      </c>
      <c r="P14" s="288">
        <v>2224.593910365787</v>
      </c>
      <c r="Q14" s="287">
        <v>2199.877229776308</v>
      </c>
      <c r="R14" s="288">
        <v>2307.9196894147185</v>
      </c>
      <c r="S14" s="287">
        <v>2458.2066009972814</v>
      </c>
    </row>
    <row r="15" spans="1:19" ht="20" customHeight="1" thickBot="1">
      <c r="A15" s="617" t="s">
        <v>511</v>
      </c>
      <c r="B15" s="159">
        <v>1427.9019124955446</v>
      </c>
      <c r="C15" s="289">
        <v>1443.573073884357</v>
      </c>
      <c r="D15" s="159">
        <v>1581.4626164183628</v>
      </c>
      <c r="E15" s="289">
        <v>1644.3563810475111</v>
      </c>
      <c r="F15" s="159">
        <v>1680.4040099177951</v>
      </c>
      <c r="G15" s="289">
        <v>1802.6509633245694</v>
      </c>
      <c r="H15" s="288">
        <v>1872.05548578351</v>
      </c>
      <c r="I15" s="287">
        <v>1920.7924785796415</v>
      </c>
      <c r="J15" s="288">
        <v>2003.6490356385605</v>
      </c>
      <c r="K15" s="287">
        <v>2136.675674591248</v>
      </c>
      <c r="L15" s="288">
        <v>2199.1855706445126</v>
      </c>
      <c r="M15" s="287">
        <v>2287.1500697004531</v>
      </c>
      <c r="N15" s="288">
        <v>2361.1948283509614</v>
      </c>
      <c r="O15" s="287">
        <v>2443.415487617106</v>
      </c>
      <c r="P15" s="288">
        <v>2480.6567752780611</v>
      </c>
      <c r="Q15" s="287">
        <v>2526.5040794693264</v>
      </c>
      <c r="R15" s="288">
        <v>2506.9049862271036</v>
      </c>
      <c r="S15" s="287">
        <v>2836.5384981855614</v>
      </c>
    </row>
    <row r="16" spans="1:19" ht="20" customHeight="1" thickBot="1">
      <c r="A16" s="617" t="s">
        <v>512</v>
      </c>
      <c r="B16" s="159">
        <v>1431.8919903527553</v>
      </c>
      <c r="C16" s="289">
        <v>1457.8482686616719</v>
      </c>
      <c r="D16" s="159">
        <v>1515.3951924182315</v>
      </c>
      <c r="E16" s="289">
        <v>1590.0159505008266</v>
      </c>
      <c r="F16" s="159">
        <v>1677.7139003459774</v>
      </c>
      <c r="G16" s="289">
        <v>1720.8346090900102</v>
      </c>
      <c r="H16" s="288">
        <v>1808.6814390145466</v>
      </c>
      <c r="I16" s="287">
        <v>1956.7024643352372</v>
      </c>
      <c r="J16" s="288">
        <v>2064.430553915814</v>
      </c>
      <c r="K16" s="287">
        <v>2177.3620068910054</v>
      </c>
      <c r="L16" s="288">
        <v>2247.2996222450583</v>
      </c>
      <c r="M16" s="287">
        <v>2362.7306711772153</v>
      </c>
      <c r="N16" s="288">
        <v>2479.7218561845107</v>
      </c>
      <c r="O16" s="287">
        <v>2523.1512987399551</v>
      </c>
      <c r="P16" s="288">
        <v>2535.0844626187836</v>
      </c>
      <c r="Q16" s="287">
        <v>2557.8603879584407</v>
      </c>
      <c r="R16" s="288">
        <v>2714.7234684026585</v>
      </c>
      <c r="S16" s="287">
        <v>2932.1867802500878</v>
      </c>
    </row>
    <row r="17" spans="1:19" ht="20" customHeight="1" thickBot="1">
      <c r="A17" s="617" t="s">
        <v>513</v>
      </c>
      <c r="B17" s="159">
        <v>2180.6017798482239</v>
      </c>
      <c r="C17" s="289">
        <v>2280.4789547108621</v>
      </c>
      <c r="D17" s="159">
        <v>2427.4331336155037</v>
      </c>
      <c r="E17" s="289">
        <v>2536.1203989117002</v>
      </c>
      <c r="F17" s="159">
        <v>2665.407573760051</v>
      </c>
      <c r="G17" s="289">
        <v>2813.4091035230354</v>
      </c>
      <c r="H17" s="288">
        <v>2896.8369473907801</v>
      </c>
      <c r="I17" s="287">
        <v>3004.8119413329973</v>
      </c>
      <c r="J17" s="288">
        <v>3087.9425345584004</v>
      </c>
      <c r="K17" s="287">
        <v>3367.6417484198873</v>
      </c>
      <c r="L17" s="288">
        <v>3420.2923870264158</v>
      </c>
      <c r="M17" s="287">
        <v>3563.1516131085218</v>
      </c>
      <c r="N17" s="288">
        <v>3736.2508968110014</v>
      </c>
      <c r="O17" s="287">
        <v>3773.6015111169786</v>
      </c>
      <c r="P17" s="288">
        <v>3765.5756161655959</v>
      </c>
      <c r="Q17" s="287">
        <v>3794.5561698916395</v>
      </c>
      <c r="R17" s="288">
        <v>3822.2664700377072</v>
      </c>
      <c r="S17" s="287">
        <v>4007.8084585957063</v>
      </c>
    </row>
    <row r="18" spans="1:19" ht="20" customHeight="1" thickBot="1">
      <c r="A18" s="617" t="s">
        <v>514</v>
      </c>
      <c r="B18" s="159">
        <v>1576.5959329930722</v>
      </c>
      <c r="C18" s="289">
        <v>1631.3844050196694</v>
      </c>
      <c r="D18" s="159">
        <v>1672.2843199240745</v>
      </c>
      <c r="E18" s="289">
        <v>1798.9493024475437</v>
      </c>
      <c r="F18" s="159">
        <v>1916.5475181932675</v>
      </c>
      <c r="G18" s="289">
        <v>2022.2270471181564</v>
      </c>
      <c r="H18" s="288">
        <v>2085.5586454253635</v>
      </c>
      <c r="I18" s="287">
        <v>2153.1393034951911</v>
      </c>
      <c r="J18" s="288">
        <v>2231.2058003509765</v>
      </c>
      <c r="K18" s="287">
        <v>2409.918131194413</v>
      </c>
      <c r="L18" s="288">
        <v>2414.7492919502483</v>
      </c>
      <c r="M18" s="287">
        <v>2553.1528418238199</v>
      </c>
      <c r="N18" s="288">
        <v>2741.6151255799837</v>
      </c>
      <c r="O18" s="287">
        <v>2841.1033072223063</v>
      </c>
      <c r="P18" s="288">
        <v>2900.7793797217996</v>
      </c>
      <c r="Q18" s="287">
        <v>2914.9276757131242</v>
      </c>
      <c r="R18" s="288">
        <v>3039.4996901615032</v>
      </c>
      <c r="S18" s="287">
        <v>3298.1230405657584</v>
      </c>
    </row>
    <row r="19" spans="1:19" ht="20" customHeight="1" thickBot="1">
      <c r="A19" s="617" t="s">
        <v>515</v>
      </c>
      <c r="B19" s="159">
        <v>1380.5502099272192</v>
      </c>
      <c r="C19" s="289">
        <v>1468.4771008262453</v>
      </c>
      <c r="D19" s="159">
        <v>1477.0084639083805</v>
      </c>
      <c r="E19" s="289">
        <v>1693.5570065888753</v>
      </c>
      <c r="F19" s="159">
        <v>1790.1012541841883</v>
      </c>
      <c r="G19" s="289">
        <v>1892.2705076175041</v>
      </c>
      <c r="H19" s="288">
        <v>1900.4769588270376</v>
      </c>
      <c r="I19" s="287">
        <v>1937.2498637296981</v>
      </c>
      <c r="J19" s="288">
        <v>2128.7910176856135</v>
      </c>
      <c r="K19" s="287">
        <v>2201.8604898626745</v>
      </c>
      <c r="L19" s="288">
        <v>2223.1704350966802</v>
      </c>
      <c r="M19" s="287">
        <v>2318.9744060617741</v>
      </c>
      <c r="N19" s="288">
        <v>2414.8750908522229</v>
      </c>
      <c r="O19" s="287">
        <v>2489.3090827995265</v>
      </c>
      <c r="P19" s="288">
        <v>2594.3235905194601</v>
      </c>
      <c r="Q19" s="287">
        <v>2592.3361211672668</v>
      </c>
      <c r="R19" s="288">
        <v>2684.1632575747785</v>
      </c>
      <c r="S19" s="287">
        <v>2862.0648451336015</v>
      </c>
    </row>
    <row r="20" spans="1:19" ht="20" customHeight="1" thickBot="1">
      <c r="A20" s="617" t="s">
        <v>516</v>
      </c>
      <c r="B20" s="159">
        <v>1084.0818240518406</v>
      </c>
      <c r="C20" s="289">
        <v>1180.45390669277</v>
      </c>
      <c r="D20" s="159">
        <v>1150.476854810451</v>
      </c>
      <c r="E20" s="289">
        <v>1273.353236043673</v>
      </c>
      <c r="F20" s="159">
        <v>1341.6471591825518</v>
      </c>
      <c r="G20" s="289">
        <v>1392.3756242443965</v>
      </c>
      <c r="H20" s="288">
        <v>1434.6176045226941</v>
      </c>
      <c r="I20" s="287">
        <v>1579.3450512080924</v>
      </c>
      <c r="J20" s="288">
        <v>1671.1285070870231</v>
      </c>
      <c r="K20" s="287">
        <v>1764.1241839787133</v>
      </c>
      <c r="L20" s="288">
        <v>1752.9128718806344</v>
      </c>
      <c r="M20" s="287">
        <v>1850.9489980496937</v>
      </c>
      <c r="N20" s="288">
        <v>1948.0697136338156</v>
      </c>
      <c r="O20" s="287">
        <v>2059.6722283954427</v>
      </c>
      <c r="P20" s="288">
        <v>2127.1393635695599</v>
      </c>
      <c r="Q20" s="287">
        <v>2155.6545024088141</v>
      </c>
      <c r="R20" s="288">
        <v>2352.5594322869501</v>
      </c>
      <c r="S20" s="287">
        <v>2510.5355856946485</v>
      </c>
    </row>
    <row r="21" spans="1:19" ht="20" customHeight="1" thickBot="1">
      <c r="A21" s="617" t="s">
        <v>517</v>
      </c>
      <c r="B21" s="159">
        <v>954.5730845024259</v>
      </c>
      <c r="C21" s="289">
        <v>975.48326612041524</v>
      </c>
      <c r="D21" s="159">
        <v>986.54224550184404</v>
      </c>
      <c r="E21" s="289">
        <v>1121.6595682884724</v>
      </c>
      <c r="F21" s="159">
        <v>1184.612154774358</v>
      </c>
      <c r="G21" s="289">
        <v>1231.7855632121377</v>
      </c>
      <c r="H21" s="288">
        <v>1356.8761363743531</v>
      </c>
      <c r="I21" s="287">
        <v>1409.1399647307283</v>
      </c>
      <c r="J21" s="288">
        <v>1461.518086780929</v>
      </c>
      <c r="K21" s="287">
        <v>1564.8157857562708</v>
      </c>
      <c r="L21" s="288">
        <v>1540.8129025893111</v>
      </c>
      <c r="M21" s="287">
        <v>1560.342952187144</v>
      </c>
      <c r="N21" s="288">
        <v>1781.6266974463535</v>
      </c>
      <c r="O21" s="287">
        <v>1740.1560081825285</v>
      </c>
      <c r="P21" s="288">
        <v>1777.8068734259887</v>
      </c>
      <c r="Q21" s="287">
        <v>1894.5928128026669</v>
      </c>
      <c r="R21" s="288">
        <v>1986.1866108182728</v>
      </c>
      <c r="S21" s="287">
        <v>2081.9374619715222</v>
      </c>
    </row>
    <row r="22" spans="1:19" ht="20" customHeight="1" thickBot="1">
      <c r="A22" s="617" t="s">
        <v>518</v>
      </c>
      <c r="B22" s="159">
        <v>1138.5080596692771</v>
      </c>
      <c r="C22" s="289">
        <v>1224.9103826817075</v>
      </c>
      <c r="D22" s="159">
        <v>1256.3508095278153</v>
      </c>
      <c r="E22" s="289">
        <v>1352.2406840417314</v>
      </c>
      <c r="F22" s="159">
        <v>1406.9954574849744</v>
      </c>
      <c r="G22" s="289">
        <v>1473.1303047318702</v>
      </c>
      <c r="H22" s="288">
        <v>1564.7730716018234</v>
      </c>
      <c r="I22" s="287">
        <v>1712.4385679183324</v>
      </c>
      <c r="J22" s="288">
        <v>1813.0412462234362</v>
      </c>
      <c r="K22" s="287">
        <v>1888.2455140450277</v>
      </c>
      <c r="L22" s="288">
        <v>1888.2284705256739</v>
      </c>
      <c r="M22" s="287">
        <v>1976.1784544310754</v>
      </c>
      <c r="N22" s="288">
        <v>2073.0018942345587</v>
      </c>
      <c r="O22" s="287">
        <v>2188.1389100107331</v>
      </c>
      <c r="P22" s="288">
        <v>2238.4001883806627</v>
      </c>
      <c r="Q22" s="287">
        <v>2254.3801142763896</v>
      </c>
      <c r="R22" s="288">
        <v>2431.0490453454699</v>
      </c>
      <c r="S22" s="287">
        <v>2609.3171991167683</v>
      </c>
    </row>
    <row r="23" spans="1:19" ht="20" customHeight="1" thickBot="1">
      <c r="A23" s="617" t="s">
        <v>519</v>
      </c>
      <c r="B23" s="159">
        <v>1104.4916088981208</v>
      </c>
      <c r="C23" s="289">
        <v>1061.5019562532173</v>
      </c>
      <c r="D23" s="159">
        <v>1158.6719421376101</v>
      </c>
      <c r="E23" s="289">
        <v>1353.8739751619062</v>
      </c>
      <c r="F23" s="159">
        <v>1489.2693401125439</v>
      </c>
      <c r="G23" s="289">
        <v>1551.2354164333785</v>
      </c>
      <c r="H23" s="288">
        <v>1608.7833104527003</v>
      </c>
      <c r="I23" s="287">
        <v>1718.3818274144037</v>
      </c>
      <c r="J23" s="288">
        <v>1843.7705637644858</v>
      </c>
      <c r="K23" s="287">
        <v>1921.1971300570419</v>
      </c>
      <c r="L23" s="288">
        <v>1957.5211782069607</v>
      </c>
      <c r="M23" s="287">
        <v>2126.0191035073431</v>
      </c>
      <c r="N23" s="288">
        <v>2198.8899922488613</v>
      </c>
      <c r="O23" s="287">
        <v>2293.471184708183</v>
      </c>
      <c r="P23" s="288">
        <v>2324.1735380507153</v>
      </c>
      <c r="Q23" s="287">
        <v>2332.1200997547285</v>
      </c>
      <c r="R23" s="288">
        <v>2381.0435840283717</v>
      </c>
      <c r="S23" s="287">
        <v>2547.7632728973726</v>
      </c>
    </row>
    <row r="24" spans="1:19" ht="20" customHeight="1" thickBot="1">
      <c r="A24" s="617" t="s">
        <v>520</v>
      </c>
      <c r="B24" s="159">
        <v>1228.596407039445</v>
      </c>
      <c r="C24" s="289">
        <v>1278.9323442787233</v>
      </c>
      <c r="D24" s="159">
        <v>1393.7234109066944</v>
      </c>
      <c r="E24" s="289">
        <v>1477.742640114355</v>
      </c>
      <c r="F24" s="159">
        <v>1577.6759415994654</v>
      </c>
      <c r="G24" s="289">
        <v>1636.1657378612056</v>
      </c>
      <c r="H24" s="288">
        <v>1712.7233845247633</v>
      </c>
      <c r="I24" s="287">
        <v>1804.5198720520671</v>
      </c>
      <c r="J24" s="288">
        <v>1892.7897057709893</v>
      </c>
      <c r="K24" s="287">
        <v>2025.9039271516788</v>
      </c>
      <c r="L24" s="288">
        <v>2085.8067572550881</v>
      </c>
      <c r="M24" s="287">
        <v>2159.1798098364375</v>
      </c>
      <c r="N24" s="288">
        <v>2283.5779240587103</v>
      </c>
      <c r="O24" s="287">
        <v>2360.210714916836</v>
      </c>
      <c r="P24" s="288">
        <v>2427.3223725664839</v>
      </c>
      <c r="Q24" s="287">
        <v>2453.7381351624349</v>
      </c>
      <c r="R24" s="288">
        <v>2607.448572935828</v>
      </c>
      <c r="S24" s="287">
        <v>2789.6160952359169</v>
      </c>
    </row>
    <row r="25" spans="1:19" ht="20" customHeight="1" thickBot="1">
      <c r="A25" s="617" t="s">
        <v>521</v>
      </c>
      <c r="B25" s="159">
        <v>1164.7847345516263</v>
      </c>
      <c r="C25" s="289">
        <v>1368.261088527636</v>
      </c>
      <c r="D25" s="159">
        <v>1418.0873330003469</v>
      </c>
      <c r="E25" s="289">
        <v>1501.7362997740595</v>
      </c>
      <c r="F25" s="159">
        <v>1593.8394113823024</v>
      </c>
      <c r="G25" s="289">
        <v>1664.6342055410319</v>
      </c>
      <c r="H25" s="288">
        <v>1769.1114412104155</v>
      </c>
      <c r="I25" s="287">
        <v>1872.8260455234893</v>
      </c>
      <c r="J25" s="288">
        <v>1887.2865497552884</v>
      </c>
      <c r="K25" s="287">
        <v>1959.3771181296381</v>
      </c>
      <c r="L25" s="288">
        <v>1949.5365546751752</v>
      </c>
      <c r="M25" s="287">
        <v>2050.2224657798888</v>
      </c>
      <c r="N25" s="288">
        <v>2170.2155949635535</v>
      </c>
      <c r="O25" s="287">
        <v>2232.1540949027544</v>
      </c>
      <c r="P25" s="288">
        <v>2264.2043659244682</v>
      </c>
      <c r="Q25" s="287">
        <v>2303.3959576575207</v>
      </c>
      <c r="R25" s="288">
        <v>2335.0036395432153</v>
      </c>
      <c r="S25" s="287">
        <v>2566.104334051794</v>
      </c>
    </row>
    <row r="26" spans="1:19" ht="20" customHeight="1" thickBot="1">
      <c r="A26" s="617" t="s">
        <v>522</v>
      </c>
      <c r="B26" s="159">
        <v>1896.8026629309772</v>
      </c>
      <c r="C26" s="289">
        <v>1910.5277918899142</v>
      </c>
      <c r="D26" s="159">
        <v>1976.5817892979815</v>
      </c>
      <c r="E26" s="289">
        <v>2018.8657382981467</v>
      </c>
      <c r="F26" s="159">
        <v>2166.1043519788736</v>
      </c>
      <c r="G26" s="289">
        <v>2308.4148834211696</v>
      </c>
      <c r="H26" s="288">
        <v>2463.4536075157698</v>
      </c>
      <c r="I26" s="287">
        <v>2597.5405820613723</v>
      </c>
      <c r="J26" s="288">
        <v>2604.5346697995269</v>
      </c>
      <c r="K26" s="287">
        <v>2798.603658570345</v>
      </c>
      <c r="L26" s="288">
        <v>2776.2294514760056</v>
      </c>
      <c r="M26" s="287">
        <v>2861.8480046404452</v>
      </c>
      <c r="N26" s="288">
        <v>2865.4649561210445</v>
      </c>
      <c r="O26" s="287">
        <v>2992.7155287390519</v>
      </c>
      <c r="P26" s="288">
        <v>3063.7613533942704</v>
      </c>
      <c r="Q26" s="287">
        <v>3108.3734318370643</v>
      </c>
      <c r="R26" s="288">
        <v>3054.2551930481563</v>
      </c>
      <c r="S26" s="287">
        <v>3184.9024335133963</v>
      </c>
    </row>
    <row r="27" spans="1:19" ht="20" customHeight="1" thickBot="1">
      <c r="A27" s="617" t="s">
        <v>523</v>
      </c>
      <c r="B27" s="159">
        <v>1898.0743294611764</v>
      </c>
      <c r="C27" s="289">
        <v>1997.7023437083599</v>
      </c>
      <c r="D27" s="159">
        <v>2019.0638919104133</v>
      </c>
      <c r="E27" s="289">
        <v>2066.9063099211612</v>
      </c>
      <c r="F27" s="159">
        <v>2201.824731855736</v>
      </c>
      <c r="G27" s="289">
        <v>2334.2006121970758</v>
      </c>
      <c r="H27" s="288">
        <v>2410.3960323458523</v>
      </c>
      <c r="I27" s="287">
        <v>2514.3354036211631</v>
      </c>
      <c r="J27" s="288">
        <v>2628.6473220914554</v>
      </c>
      <c r="K27" s="287">
        <v>2755.905041303417</v>
      </c>
      <c r="L27" s="288">
        <v>2732.9908696229272</v>
      </c>
      <c r="M27" s="287">
        <v>2780.9536745674886</v>
      </c>
      <c r="N27" s="288">
        <v>2870.6569703095656</v>
      </c>
      <c r="O27" s="287">
        <v>2928.8429319040929</v>
      </c>
      <c r="P27" s="288">
        <v>3000.5752805927932</v>
      </c>
      <c r="Q27" s="287">
        <v>3025.9720874333657</v>
      </c>
      <c r="R27" s="288">
        <v>3048.727807999795</v>
      </c>
      <c r="S27" s="287">
        <v>3321.957204341295</v>
      </c>
    </row>
    <row r="28" spans="1:19" ht="20" customHeight="1" thickBot="1">
      <c r="A28" s="617" t="s">
        <v>524</v>
      </c>
      <c r="B28" s="159">
        <v>1306.6403819606062</v>
      </c>
      <c r="C28" s="289">
        <v>1361.8453098306245</v>
      </c>
      <c r="D28" s="159">
        <v>1376.5124556178826</v>
      </c>
      <c r="E28" s="289">
        <v>1433.5893239917536</v>
      </c>
      <c r="F28" s="159">
        <v>1556.3534596161526</v>
      </c>
      <c r="G28" s="289">
        <v>1655.5190584508061</v>
      </c>
      <c r="H28" s="288">
        <v>1739.1566608782025</v>
      </c>
      <c r="I28" s="287">
        <v>1851.6117360307155</v>
      </c>
      <c r="J28" s="288">
        <v>1873.4360325028056</v>
      </c>
      <c r="K28" s="287">
        <v>2018.8565154122919</v>
      </c>
      <c r="L28" s="288">
        <v>2132.729717003032</v>
      </c>
      <c r="M28" s="287">
        <v>2217.8401524334809</v>
      </c>
      <c r="N28" s="288">
        <v>2292.7037323562349</v>
      </c>
      <c r="O28" s="287">
        <v>2375.5839560085515</v>
      </c>
      <c r="P28" s="288">
        <v>2458.3602175078854</v>
      </c>
      <c r="Q28" s="287">
        <v>2461.0699079555598</v>
      </c>
      <c r="R28" s="288">
        <v>2609.5897762630429</v>
      </c>
      <c r="S28" s="287">
        <v>2711.4473814612261</v>
      </c>
    </row>
    <row r="29" spans="1:19" ht="20" customHeight="1" thickBot="1">
      <c r="A29" s="617" t="s">
        <v>525</v>
      </c>
      <c r="B29" s="159">
        <v>1818.9238081131236</v>
      </c>
      <c r="C29" s="289">
        <v>1961.3289326189874</v>
      </c>
      <c r="D29" s="159">
        <v>2021.7607577514182</v>
      </c>
      <c r="E29" s="289">
        <v>1881.74532998874</v>
      </c>
      <c r="F29" s="159">
        <v>2227.1122818687704</v>
      </c>
      <c r="G29" s="289">
        <v>2315.8636954302247</v>
      </c>
      <c r="H29" s="288">
        <v>2387.3652927304915</v>
      </c>
      <c r="I29" s="287">
        <v>2560.0461906563714</v>
      </c>
      <c r="J29" s="288">
        <v>2680.8592129585641</v>
      </c>
      <c r="K29" s="287">
        <v>2675.4198363193022</v>
      </c>
      <c r="L29" s="288">
        <v>2564.8291244355028</v>
      </c>
      <c r="M29" s="287">
        <v>2599.2291895795956</v>
      </c>
      <c r="N29" s="288">
        <v>2706.8139221823776</v>
      </c>
      <c r="O29" s="287">
        <v>2706.1362717380475</v>
      </c>
      <c r="P29" s="288">
        <v>2762.9302320989705</v>
      </c>
      <c r="Q29" s="287">
        <v>2811.7523926176791</v>
      </c>
      <c r="R29" s="288">
        <v>2871.9943908875362</v>
      </c>
      <c r="S29" s="287">
        <v>3135.2472851898128</v>
      </c>
    </row>
    <row r="30" spans="1:19" ht="20" customHeight="1" thickBot="1">
      <c r="A30" s="617" t="s">
        <v>526</v>
      </c>
      <c r="B30" s="159">
        <v>2070.7055924720303</v>
      </c>
      <c r="C30" s="289">
        <v>2259.3214815363717</v>
      </c>
      <c r="D30" s="159">
        <v>2522.6730551616743</v>
      </c>
      <c r="E30" s="289">
        <v>2517.2153807728232</v>
      </c>
      <c r="F30" s="159">
        <v>2598.3424238217312</v>
      </c>
      <c r="G30" s="289">
        <v>2805.0849410640894</v>
      </c>
      <c r="H30" s="288">
        <v>2847.3501428386908</v>
      </c>
      <c r="I30" s="287">
        <v>2892.7584851537499</v>
      </c>
      <c r="J30" s="288">
        <v>3010.3792503012851</v>
      </c>
      <c r="K30" s="287">
        <v>3233.3383857545473</v>
      </c>
      <c r="L30" s="288">
        <v>3167.5185727633507</v>
      </c>
      <c r="M30" s="287">
        <v>3215.8719312559856</v>
      </c>
      <c r="N30" s="288">
        <v>3398.0746224899831</v>
      </c>
      <c r="O30" s="287">
        <v>3397.4995519788049</v>
      </c>
      <c r="P30" s="288">
        <v>3462.626766805437</v>
      </c>
      <c r="Q30" s="287">
        <v>3546.9238264659521</v>
      </c>
      <c r="R30" s="288">
        <v>3652.8675246070202</v>
      </c>
      <c r="S30" s="287">
        <v>3802.3666659834998</v>
      </c>
    </row>
    <row r="31" spans="1:19" ht="20" customHeight="1" thickBot="1">
      <c r="A31" s="617" t="s">
        <v>527</v>
      </c>
      <c r="B31" s="159">
        <v>1717.0496844759566</v>
      </c>
      <c r="C31" s="289">
        <v>1845.0558806075642</v>
      </c>
      <c r="D31" s="159">
        <v>1848.3342486228491</v>
      </c>
      <c r="E31" s="289">
        <v>2074.061466642424</v>
      </c>
      <c r="F31" s="159">
        <v>2087.6961782399458</v>
      </c>
      <c r="G31" s="289">
        <v>2167.5827623087298</v>
      </c>
      <c r="H31" s="288">
        <v>2229.0850697777792</v>
      </c>
      <c r="I31" s="287">
        <v>2132.4432120453034</v>
      </c>
      <c r="J31" s="288">
        <v>2309.4576105953747</v>
      </c>
      <c r="K31" s="287">
        <v>2497.2469193750835</v>
      </c>
      <c r="L31" s="288">
        <v>2409.1473481488047</v>
      </c>
      <c r="M31" s="287">
        <v>2547.3958354148162</v>
      </c>
      <c r="N31" s="288">
        <v>2662.5536009307011</v>
      </c>
      <c r="O31" s="287">
        <v>2721.44023616817</v>
      </c>
      <c r="P31" s="288">
        <v>2854.251260616285</v>
      </c>
      <c r="Q31" s="287">
        <v>2846.9898661415164</v>
      </c>
      <c r="R31" s="288">
        <v>2827.1977080906604</v>
      </c>
      <c r="S31" s="287">
        <v>3072.8468727723621</v>
      </c>
    </row>
    <row r="32" spans="1:19" ht="30" customHeight="1" thickBot="1">
      <c r="A32" s="618" t="s">
        <v>530</v>
      </c>
      <c r="B32" s="291">
        <v>1490.5270087783661</v>
      </c>
      <c r="C32" s="290">
        <v>1569.89438526044</v>
      </c>
      <c r="D32" s="291">
        <v>1645.8523332821831</v>
      </c>
      <c r="E32" s="290">
        <v>1709.7272154599079</v>
      </c>
      <c r="F32" s="291">
        <v>1815.5684429134135</v>
      </c>
      <c r="G32" s="290">
        <v>1915.651858294355</v>
      </c>
      <c r="H32" s="241">
        <v>1986.8602051130679</v>
      </c>
      <c r="I32" s="619">
        <v>2080.1097731368104</v>
      </c>
      <c r="J32" s="244">
        <v>2208.6199103577751</v>
      </c>
      <c r="K32" s="619">
        <v>2333.6518395021967</v>
      </c>
      <c r="L32" s="244">
        <v>2348.6110145248435</v>
      </c>
      <c r="M32" s="619">
        <v>2444.23328932606</v>
      </c>
      <c r="N32" s="244">
        <v>2551.5456227393033</v>
      </c>
      <c r="O32" s="619">
        <v>2629.9453998465406</v>
      </c>
      <c r="P32" s="244">
        <v>2684.4030022827769</v>
      </c>
      <c r="Q32" s="619">
        <v>2716.1426118234731</v>
      </c>
      <c r="R32" s="244">
        <v>2790.7698697073065</v>
      </c>
      <c r="S32" s="619">
        <v>2986.7805826714657</v>
      </c>
    </row>
    <row r="33" spans="1:8" ht="20" customHeight="1">
      <c r="A33" s="189" t="s">
        <v>346</v>
      </c>
      <c r="B33" s="457"/>
      <c r="C33" s="457"/>
      <c r="D33" s="457"/>
      <c r="E33" s="457"/>
      <c r="F33" s="620"/>
      <c r="G33" s="457"/>
      <c r="H33" s="610"/>
    </row>
    <row r="34" spans="1:8" ht="15.75" customHeight="1">
      <c r="A34" s="219"/>
      <c r="B34" s="459"/>
      <c r="C34" s="459"/>
      <c r="D34" s="459"/>
      <c r="E34" s="459"/>
      <c r="F34" s="459"/>
      <c r="G34" s="459"/>
      <c r="H34" s="611"/>
    </row>
    <row r="35" spans="1:8" ht="14.25" customHeight="1">
      <c r="A35" s="461" t="s">
        <v>1042</v>
      </c>
      <c r="B35" s="459"/>
      <c r="C35" s="459"/>
      <c r="D35" s="459"/>
      <c r="E35" s="459"/>
      <c r="F35" s="459"/>
      <c r="G35" s="459"/>
      <c r="H35" s="611"/>
    </row>
    <row r="36" spans="1:8" ht="14.25" customHeight="1">
      <c r="A36" s="461" t="s">
        <v>1604</v>
      </c>
      <c r="B36" s="459"/>
      <c r="C36" s="459"/>
      <c r="D36" s="459"/>
      <c r="E36" s="459"/>
      <c r="F36" s="459"/>
      <c r="G36" s="459"/>
      <c r="H36" s="611"/>
    </row>
    <row r="37" spans="1:8" ht="13.5" customHeight="1">
      <c r="A37" s="219"/>
      <c r="B37" s="459"/>
      <c r="C37" s="459"/>
      <c r="D37" s="459"/>
      <c r="E37" s="459"/>
      <c r="F37" s="459"/>
      <c r="G37" s="459"/>
      <c r="H37" s="611"/>
    </row>
    <row r="38" spans="1:8" ht="12.75" customHeight="1">
      <c r="A38" s="219" t="s">
        <v>1044</v>
      </c>
      <c r="B38" s="459"/>
      <c r="C38" s="459"/>
      <c r="D38" s="459"/>
      <c r="E38" s="459"/>
      <c r="F38" s="459"/>
      <c r="G38" s="459"/>
      <c r="H38" s="611"/>
    </row>
    <row r="39" spans="1:8" ht="12.75" customHeight="1">
      <c r="A39" s="219" t="s">
        <v>1605</v>
      </c>
      <c r="B39" s="459"/>
      <c r="C39" s="459"/>
      <c r="D39" s="459"/>
      <c r="E39" s="459"/>
      <c r="F39" s="459"/>
      <c r="G39" s="459"/>
      <c r="H39" s="611"/>
    </row>
    <row r="40" spans="1:8" ht="12.75" customHeight="1">
      <c r="A40" s="3" t="s">
        <v>1189</v>
      </c>
      <c r="B40" s="459"/>
      <c r="C40" s="459"/>
      <c r="D40" s="459"/>
      <c r="E40" s="459"/>
      <c r="F40" s="459"/>
      <c r="G40" s="459"/>
      <c r="H40" s="611"/>
    </row>
    <row r="42" spans="1:8">
      <c r="A42" s="219"/>
    </row>
    <row r="43" spans="1:8">
      <c r="A43" s="219" t="s">
        <v>302</v>
      </c>
    </row>
  </sheetData>
  <pageMargins left="0.43307086614173229" right="0.39" top="0.56000000000000005" bottom="0.47244094488188981" header="0.42" footer="0.51181102362204722"/>
  <pageSetup paperSize="9" scale="65" orientation="landscape"/>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951F-FCB7-BD43-B8A6-AED04EF3C4CA}">
  <sheetPr>
    <pageSetUpPr fitToPage="1"/>
  </sheetPr>
  <dimension ref="A1:G44"/>
  <sheetViews>
    <sheetView zoomScaleNormal="100" workbookViewId="0">
      <selection activeCell="C4" sqref="C4"/>
    </sheetView>
  </sheetViews>
  <sheetFormatPr baseColWidth="10" defaultColWidth="11.3984375" defaultRowHeight="13"/>
  <cols>
    <col min="1" max="1" width="21.3984375" style="3" customWidth="1"/>
    <col min="2" max="5" width="19.796875" style="3" customWidth="1"/>
    <col min="6" max="6" width="11.3984375" style="3"/>
    <col min="7" max="7" width="14.59765625" style="3" customWidth="1"/>
    <col min="8" max="16384" width="11.3984375" style="3"/>
  </cols>
  <sheetData>
    <row r="1" spans="1:7" s="1" customFormat="1" ht="14" customHeight="1"/>
    <row r="2" spans="1:7" s="1" customFormat="1" ht="28" customHeight="1">
      <c r="A2" s="311" t="s">
        <v>540</v>
      </c>
      <c r="E2" s="311">
        <v>2013</v>
      </c>
    </row>
    <row r="3" spans="1:7" ht="27" customHeight="1">
      <c r="A3" s="224" t="s">
        <v>67</v>
      </c>
      <c r="B3" s="267" t="s">
        <v>495</v>
      </c>
      <c r="C3" s="268" t="s">
        <v>496</v>
      </c>
      <c r="D3" s="267" t="s">
        <v>497</v>
      </c>
      <c r="E3" s="268" t="s">
        <v>381</v>
      </c>
    </row>
    <row r="4" spans="1:7" ht="21.75" customHeight="1">
      <c r="A4" s="306"/>
      <c r="B4" s="270"/>
      <c r="C4" s="271"/>
      <c r="D4" s="332"/>
      <c r="E4" s="271"/>
    </row>
    <row r="5" spans="1:7" ht="21.75" customHeight="1">
      <c r="A5" s="306"/>
      <c r="B5" s="270" t="s">
        <v>499</v>
      </c>
      <c r="C5" s="271" t="s">
        <v>500</v>
      </c>
      <c r="D5" s="270" t="s">
        <v>501</v>
      </c>
      <c r="E5" s="271"/>
    </row>
    <row r="6" spans="1:7" ht="24" customHeight="1">
      <c r="A6" s="307"/>
      <c r="B6" s="229"/>
      <c r="C6" s="307"/>
      <c r="D6" s="229"/>
      <c r="E6" s="275"/>
    </row>
    <row r="7" spans="1:7" ht="30" customHeight="1" thickBot="1">
      <c r="A7" s="334" t="s">
        <v>502</v>
      </c>
      <c r="B7" s="335">
        <v>307549995.45999998</v>
      </c>
      <c r="C7" s="336">
        <v>174032360.90000001</v>
      </c>
      <c r="D7" s="335">
        <v>4470637350.9099998</v>
      </c>
      <c r="E7" s="336">
        <v>4952219707.3000002</v>
      </c>
      <c r="G7" s="338"/>
    </row>
    <row r="8" spans="1:7" ht="20" customHeight="1" thickBot="1">
      <c r="A8" s="339" t="s">
        <v>503</v>
      </c>
      <c r="B8" s="335">
        <v>169765484.83000001</v>
      </c>
      <c r="C8" s="336">
        <v>116560205.41</v>
      </c>
      <c r="D8" s="335">
        <v>3224925700.8699999</v>
      </c>
      <c r="E8" s="336">
        <v>3511251391.0700002</v>
      </c>
      <c r="G8" s="338"/>
    </row>
    <row r="9" spans="1:7" ht="20" customHeight="1" thickBot="1">
      <c r="A9" s="339" t="s">
        <v>504</v>
      </c>
      <c r="B9" s="335">
        <v>70756016.730000004</v>
      </c>
      <c r="C9" s="336">
        <v>45273816.68</v>
      </c>
      <c r="D9" s="335">
        <v>1066166831.9</v>
      </c>
      <c r="E9" s="336">
        <v>1182196665.3099999</v>
      </c>
      <c r="G9" s="338"/>
    </row>
    <row r="10" spans="1:7" ht="20" customHeight="1" thickBot="1">
      <c r="A10" s="339" t="s">
        <v>505</v>
      </c>
      <c r="B10" s="335">
        <v>5351853.3899999997</v>
      </c>
      <c r="C10" s="336">
        <v>3717553.51</v>
      </c>
      <c r="D10" s="335">
        <v>91473654.400000006</v>
      </c>
      <c r="E10" s="336">
        <v>100543061.36</v>
      </c>
      <c r="G10" s="338"/>
    </row>
    <row r="11" spans="1:7" ht="20" customHeight="1" thickBot="1">
      <c r="A11" s="339" t="s">
        <v>506</v>
      </c>
      <c r="B11" s="335">
        <v>30599041.98</v>
      </c>
      <c r="C11" s="336">
        <v>16873345.059999999</v>
      </c>
      <c r="D11" s="335">
        <v>411095021.02999997</v>
      </c>
      <c r="E11" s="336">
        <v>458567408.06999999</v>
      </c>
      <c r="G11" s="338"/>
    </row>
    <row r="12" spans="1:7" ht="20" customHeight="1" thickBot="1">
      <c r="A12" s="339" t="s">
        <v>507</v>
      </c>
      <c r="B12" s="335">
        <v>7216609.0599999996</v>
      </c>
      <c r="C12" s="336">
        <v>3767035.17</v>
      </c>
      <c r="D12" s="335">
        <v>98396415.459999993</v>
      </c>
      <c r="E12" s="336">
        <v>109380059.72</v>
      </c>
      <c r="G12" s="338"/>
    </row>
    <row r="13" spans="1:7" ht="20" customHeight="1" thickBot="1">
      <c r="A13" s="339" t="s">
        <v>508</v>
      </c>
      <c r="B13" s="335">
        <v>6229817.5899999999</v>
      </c>
      <c r="C13" s="336">
        <v>3804934.54</v>
      </c>
      <c r="D13" s="335">
        <v>111655143.8</v>
      </c>
      <c r="E13" s="336">
        <v>121689895.95</v>
      </c>
      <c r="G13" s="338"/>
    </row>
    <row r="14" spans="1:7" ht="20" customHeight="1" thickBot="1">
      <c r="A14" s="339" t="s">
        <v>509</v>
      </c>
      <c r="B14" s="335">
        <v>6922970.3200000003</v>
      </c>
      <c r="C14" s="336">
        <v>5138273.5599999996</v>
      </c>
      <c r="D14" s="335">
        <v>109790386.54000001</v>
      </c>
      <c r="E14" s="336">
        <v>121851630.40000001</v>
      </c>
      <c r="G14" s="338"/>
    </row>
    <row r="15" spans="1:7" ht="20" customHeight="1" thickBot="1">
      <c r="A15" s="339" t="s">
        <v>510</v>
      </c>
      <c r="B15" s="335">
        <v>20566250.48</v>
      </c>
      <c r="C15" s="336">
        <v>12463164.960000001</v>
      </c>
      <c r="D15" s="335">
        <v>308353555.56999999</v>
      </c>
      <c r="E15" s="336">
        <v>341382971.04000002</v>
      </c>
      <c r="G15" s="338"/>
    </row>
    <row r="16" spans="1:7" ht="20" customHeight="1" thickBot="1">
      <c r="A16" s="339" t="s">
        <v>511</v>
      </c>
      <c r="B16" s="335">
        <v>67498107.819999993</v>
      </c>
      <c r="C16" s="336">
        <v>38357555.399999999</v>
      </c>
      <c r="D16" s="335">
        <v>867071352.71000004</v>
      </c>
      <c r="E16" s="336">
        <v>972927015.90999997</v>
      </c>
      <c r="G16" s="338"/>
    </row>
    <row r="17" spans="1:7" ht="20" customHeight="1" thickBot="1">
      <c r="A17" s="339" t="s">
        <v>512</v>
      </c>
      <c r="B17" s="335">
        <v>49715810.149999999</v>
      </c>
      <c r="C17" s="336">
        <v>33096644.670000002</v>
      </c>
      <c r="D17" s="335">
        <v>812191866.01999998</v>
      </c>
      <c r="E17" s="336">
        <v>895004320.86000001</v>
      </c>
      <c r="G17" s="338"/>
    </row>
    <row r="18" spans="1:7" ht="20" customHeight="1" thickBot="1">
      <c r="A18" s="339" t="s">
        <v>513</v>
      </c>
      <c r="B18" s="335">
        <v>41812563.859999999</v>
      </c>
      <c r="C18" s="336">
        <v>24954930</v>
      </c>
      <c r="D18" s="335">
        <v>765402507.89999998</v>
      </c>
      <c r="E18" s="336">
        <v>832170001.75</v>
      </c>
      <c r="G18" s="338"/>
    </row>
    <row r="19" spans="1:7" ht="20" customHeight="1" thickBot="1">
      <c r="A19" s="339" t="s">
        <v>514</v>
      </c>
      <c r="B19" s="335">
        <v>60769322.32</v>
      </c>
      <c r="C19" s="336">
        <v>36556381.460000001</v>
      </c>
      <c r="D19" s="335">
        <v>966915818.38999999</v>
      </c>
      <c r="E19" s="336">
        <v>1064241522.17</v>
      </c>
      <c r="G19" s="338"/>
    </row>
    <row r="20" spans="1:7" ht="20" customHeight="1" thickBot="1">
      <c r="A20" s="339" t="s">
        <v>515</v>
      </c>
      <c r="B20" s="335">
        <v>12025429.060000001</v>
      </c>
      <c r="C20" s="336">
        <v>9036513.2100000009</v>
      </c>
      <c r="D20" s="335">
        <v>239715549.59999999</v>
      </c>
      <c r="E20" s="336">
        <v>260777491.88999999</v>
      </c>
      <c r="G20" s="338"/>
    </row>
    <row r="21" spans="1:7" ht="20" customHeight="1" thickBot="1">
      <c r="A21" s="339" t="s">
        <v>516</v>
      </c>
      <c r="B21" s="335">
        <v>8891704.7699999996</v>
      </c>
      <c r="C21" s="336">
        <v>6637504.9400000004</v>
      </c>
      <c r="D21" s="335">
        <v>144222893.38</v>
      </c>
      <c r="E21" s="336">
        <v>159752103.09999999</v>
      </c>
      <c r="G21" s="338"/>
    </row>
    <row r="22" spans="1:7" ht="20" customHeight="1" thickBot="1">
      <c r="A22" s="339" t="s">
        <v>517</v>
      </c>
      <c r="B22" s="335">
        <v>2214639.73</v>
      </c>
      <c r="C22" s="342">
        <v>1533739.69</v>
      </c>
      <c r="D22" s="341">
        <v>35512975.359999999</v>
      </c>
      <c r="E22" s="342">
        <v>39261354.759999998</v>
      </c>
      <c r="G22" s="338"/>
    </row>
    <row r="23" spans="1:7" ht="20" customHeight="1" thickBot="1">
      <c r="A23" s="339" t="s">
        <v>518</v>
      </c>
      <c r="B23" s="335">
        <v>92911083.060000002</v>
      </c>
      <c r="C23" s="350">
        <v>60223055.909999996</v>
      </c>
      <c r="D23" s="349">
        <v>1349754339.6400001</v>
      </c>
      <c r="E23" s="350">
        <v>1502888478.6099999</v>
      </c>
      <c r="G23" s="338"/>
    </row>
    <row r="24" spans="1:7" ht="20" customHeight="1" thickBot="1">
      <c r="A24" s="339" t="s">
        <v>519</v>
      </c>
      <c r="B24" s="335">
        <v>34799116.469999999</v>
      </c>
      <c r="C24" s="336">
        <v>21085364.219999999</v>
      </c>
      <c r="D24" s="335">
        <v>537847697.85000002</v>
      </c>
      <c r="E24" s="336">
        <v>593732178.59000003</v>
      </c>
      <c r="G24" s="338"/>
    </row>
    <row r="25" spans="1:7" ht="20" customHeight="1" thickBot="1">
      <c r="A25" s="339" t="s">
        <v>520</v>
      </c>
      <c r="B25" s="335">
        <v>134389272.91</v>
      </c>
      <c r="C25" s="336">
        <v>81581777.069999993</v>
      </c>
      <c r="D25" s="335">
        <v>1850494048.3</v>
      </c>
      <c r="E25" s="336">
        <v>2066465098.24</v>
      </c>
      <c r="G25" s="338"/>
    </row>
    <row r="26" spans="1:7" ht="20" customHeight="1" thickBot="1">
      <c r="A26" s="339" t="s">
        <v>521</v>
      </c>
      <c r="B26" s="335">
        <v>51632321.670000002</v>
      </c>
      <c r="C26" s="336">
        <v>33470016.27</v>
      </c>
      <c r="D26" s="335">
        <v>694792753.09000003</v>
      </c>
      <c r="E26" s="336">
        <v>779895091.01999998</v>
      </c>
      <c r="G26" s="338"/>
    </row>
    <row r="27" spans="1:7" ht="20" customHeight="1" thickBot="1">
      <c r="A27" s="339" t="s">
        <v>522</v>
      </c>
      <c r="B27" s="335">
        <v>66663222.5</v>
      </c>
      <c r="C27" s="336">
        <v>31610476.289999999</v>
      </c>
      <c r="D27" s="335">
        <v>1171317526.9200001</v>
      </c>
      <c r="E27" s="336">
        <v>1269591225.71</v>
      </c>
      <c r="G27" s="338"/>
    </row>
    <row r="28" spans="1:7" ht="20" customHeight="1" thickBot="1">
      <c r="A28" s="339" t="s">
        <v>523</v>
      </c>
      <c r="B28" s="335">
        <v>193415949.91</v>
      </c>
      <c r="C28" s="336">
        <v>97958827.040000007</v>
      </c>
      <c r="D28" s="335">
        <v>2496595769.9699998</v>
      </c>
      <c r="E28" s="336">
        <v>2787970546.8699999</v>
      </c>
      <c r="G28" s="338"/>
    </row>
    <row r="29" spans="1:7" ht="20" customHeight="1" thickBot="1">
      <c r="A29" s="339" t="s">
        <v>524</v>
      </c>
      <c r="B29" s="335">
        <v>62445142.850000001</v>
      </c>
      <c r="C29" s="336">
        <v>36239237.82</v>
      </c>
      <c r="D29" s="335">
        <v>936465669.65999997</v>
      </c>
      <c r="E29" s="336">
        <v>1035150050.37</v>
      </c>
      <c r="G29" s="338"/>
    </row>
    <row r="30" spans="1:7" ht="20" customHeight="1" thickBot="1">
      <c r="A30" s="339" t="s">
        <v>525</v>
      </c>
      <c r="B30" s="335">
        <v>38305306.159999996</v>
      </c>
      <c r="C30" s="336">
        <v>19779116.120000001</v>
      </c>
      <c r="D30" s="335">
        <v>573625907.25</v>
      </c>
      <c r="E30" s="336">
        <v>631710329.51999998</v>
      </c>
      <c r="G30" s="338"/>
    </row>
    <row r="31" spans="1:7" ht="20" customHeight="1" thickBot="1">
      <c r="A31" s="339" t="s">
        <v>526</v>
      </c>
      <c r="B31" s="335">
        <v>133619052.73</v>
      </c>
      <c r="C31" s="336">
        <v>70044822.420000002</v>
      </c>
      <c r="D31" s="335">
        <v>1673390881.5699999</v>
      </c>
      <c r="E31" s="336">
        <v>1877054756.6900001</v>
      </c>
      <c r="G31" s="338"/>
    </row>
    <row r="32" spans="1:7" ht="20" customHeight="1" thickBot="1">
      <c r="A32" s="234" t="s">
        <v>527</v>
      </c>
      <c r="B32" s="335">
        <v>14790101.75</v>
      </c>
      <c r="C32" s="336">
        <v>7749757.2000000002</v>
      </c>
      <c r="D32" s="335">
        <v>230888138.43000001</v>
      </c>
      <c r="E32" s="336">
        <v>253427997.37</v>
      </c>
      <c r="G32" s="338"/>
    </row>
    <row r="33" spans="1:7" ht="20" customHeight="1" thickBot="1">
      <c r="A33" s="297" t="s">
        <v>528</v>
      </c>
      <c r="B33" s="335">
        <v>587010.89</v>
      </c>
      <c r="C33" s="336">
        <v>356208.39</v>
      </c>
      <c r="D33" s="335">
        <v>4444335.99</v>
      </c>
      <c r="E33" s="336">
        <v>5387555.2699999996</v>
      </c>
      <c r="G33" s="338"/>
    </row>
    <row r="34" spans="1:7" ht="0.5" customHeight="1" thickBot="1">
      <c r="A34" s="234" t="s">
        <v>529</v>
      </c>
      <c r="B34" s="335">
        <v>0</v>
      </c>
      <c r="C34" s="336">
        <v>0</v>
      </c>
      <c r="D34" s="335">
        <v>0</v>
      </c>
      <c r="E34" s="336" t="s">
        <v>537</v>
      </c>
      <c r="G34" s="338"/>
    </row>
    <row r="35" spans="1:7" ht="30" customHeight="1" thickBot="1">
      <c r="A35" s="354" t="s">
        <v>530</v>
      </c>
      <c r="B35" s="355">
        <v>1691443198.3599999</v>
      </c>
      <c r="C35" s="356">
        <v>991902617.91999996</v>
      </c>
      <c r="D35" s="355">
        <v>25243144092.619999</v>
      </c>
      <c r="E35" s="356">
        <v>27926489908.900002</v>
      </c>
      <c r="G35" s="338"/>
    </row>
    <row r="36" spans="1:7" ht="20" customHeight="1">
      <c r="A36" s="189" t="s">
        <v>346</v>
      </c>
      <c r="B36" s="189"/>
      <c r="C36" s="189"/>
      <c r="D36" s="189"/>
      <c r="E36" s="189"/>
    </row>
    <row r="37" spans="1:7" ht="13.5" customHeight="1">
      <c r="A37" s="219"/>
      <c r="B37" s="219"/>
      <c r="C37" s="219"/>
      <c r="D37" s="219"/>
      <c r="E37" s="219"/>
    </row>
    <row r="38" spans="1:7" ht="13.5" customHeight="1">
      <c r="A38" s="219" t="s">
        <v>541</v>
      </c>
      <c r="B38" s="219"/>
      <c r="C38" s="219"/>
      <c r="D38" s="219"/>
      <c r="E38" s="219"/>
    </row>
    <row r="39" spans="1:7" ht="12.75" customHeight="1">
      <c r="A39" s="219"/>
      <c r="B39" s="219"/>
      <c r="C39" s="219"/>
      <c r="D39" s="219"/>
      <c r="E39" s="219"/>
    </row>
    <row r="40" spans="1:7" ht="12" customHeight="1">
      <c r="A40" s="219" t="s">
        <v>542</v>
      </c>
    </row>
    <row r="41" spans="1:7" ht="14.25" customHeight="1">
      <c r="A41" s="219" t="s">
        <v>533</v>
      </c>
    </row>
    <row r="42" spans="1:7" ht="14.25" customHeight="1">
      <c r="A42" s="219"/>
    </row>
    <row r="43" spans="1:7" ht="12" customHeight="1"/>
    <row r="44" spans="1:7">
      <c r="A44" s="219" t="s">
        <v>302</v>
      </c>
    </row>
  </sheetData>
  <pageMargins left="0.56000000000000005" right="1.03" top="0.81" bottom="0.49" header="0.44" footer="0.4921259845"/>
  <pageSetup paperSize="9" scale="85" orientation="portrait" horizontalDpi="1200" verticalDpi="12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CAF54-D2A3-9F4B-8EE7-786801AF1600}">
  <sheetPr>
    <pageSetUpPr fitToPage="1"/>
  </sheetPr>
  <dimension ref="A1:H44"/>
  <sheetViews>
    <sheetView zoomScaleNormal="100" workbookViewId="0">
      <selection activeCell="A3" sqref="A3"/>
    </sheetView>
  </sheetViews>
  <sheetFormatPr baseColWidth="10" defaultColWidth="11.3984375" defaultRowHeight="13"/>
  <cols>
    <col min="1" max="1" width="20.59765625" style="3" customWidth="1"/>
    <col min="2" max="5" width="18.59765625" style="6" customWidth="1"/>
    <col min="6" max="6" width="18.19921875" style="201" customWidth="1"/>
    <col min="7" max="7" width="11.3984375" style="3"/>
    <col min="8" max="8" width="0" style="3" hidden="1" customWidth="1"/>
    <col min="9" max="16384" width="11.3984375" style="3"/>
  </cols>
  <sheetData>
    <row r="1" spans="1:8" s="1" customFormat="1" ht="14" customHeight="1">
      <c r="B1" s="403"/>
      <c r="C1" s="403"/>
      <c r="D1" s="403"/>
      <c r="E1" s="403"/>
      <c r="F1" s="359"/>
    </row>
    <row r="2" spans="1:8" s="1" customFormat="1" ht="24.5" customHeight="1">
      <c r="A2" s="2010" t="s">
        <v>1601</v>
      </c>
      <c r="B2" s="2011"/>
      <c r="C2" s="2011"/>
      <c r="D2" s="2011"/>
      <c r="E2" s="2011"/>
      <c r="F2" s="361">
        <v>2013</v>
      </c>
      <c r="G2" s="361"/>
    </row>
    <row r="3" spans="1:8" ht="27" customHeight="1">
      <c r="A3" s="224" t="s">
        <v>67</v>
      </c>
      <c r="B3" s="267" t="s">
        <v>495</v>
      </c>
      <c r="C3" s="268" t="s">
        <v>496</v>
      </c>
      <c r="D3" s="267" t="s">
        <v>497</v>
      </c>
      <c r="E3" s="268" t="s">
        <v>498</v>
      </c>
      <c r="F3" s="225" t="s">
        <v>475</v>
      </c>
    </row>
    <row r="4" spans="1:8" ht="20.25" customHeight="1">
      <c r="A4" s="306"/>
      <c r="B4" s="270"/>
      <c r="C4" s="271"/>
      <c r="D4" s="332"/>
      <c r="E4" s="271"/>
      <c r="F4" s="332" t="s">
        <v>476</v>
      </c>
    </row>
    <row r="5" spans="1:8" ht="20.25" customHeight="1">
      <c r="A5" s="306"/>
      <c r="B5" s="270" t="s">
        <v>499</v>
      </c>
      <c r="C5" s="271" t="s">
        <v>500</v>
      </c>
      <c r="D5" s="270" t="s">
        <v>501</v>
      </c>
      <c r="E5" s="271"/>
      <c r="F5" s="332" t="s">
        <v>477</v>
      </c>
    </row>
    <row r="6" spans="1:8" ht="24" customHeight="1">
      <c r="A6" s="307"/>
      <c r="B6" s="404"/>
      <c r="C6" s="405"/>
      <c r="D6" s="404"/>
      <c r="E6" s="276"/>
      <c r="F6" s="229"/>
    </row>
    <row r="7" spans="1:8" ht="30" customHeight="1" thickBot="1">
      <c r="A7" s="334" t="s">
        <v>502</v>
      </c>
      <c r="B7" s="370">
        <v>1189.941960623541</v>
      </c>
      <c r="C7" s="371">
        <v>1663.6579262478892</v>
      </c>
      <c r="D7" s="370">
        <v>4271.3844017789625</v>
      </c>
      <c r="E7" s="371">
        <v>3512.9236887294142</v>
      </c>
      <c r="F7" s="406">
        <v>8.7984728896074157E-2</v>
      </c>
      <c r="H7" s="338">
        <v>172.8785586534616</v>
      </c>
    </row>
    <row r="8" spans="1:8" ht="20" customHeight="1" thickBot="1">
      <c r="A8" s="339" t="s">
        <v>503</v>
      </c>
      <c r="B8" s="370">
        <v>960.36786076880924</v>
      </c>
      <c r="C8" s="371">
        <v>1428.4473690499285</v>
      </c>
      <c r="D8" s="370">
        <v>4384.9400053914924</v>
      </c>
      <c r="E8" s="371">
        <v>3533.0662734447219</v>
      </c>
      <c r="F8" s="351">
        <v>3.2871085964745757E-2</v>
      </c>
      <c r="H8" s="338">
        <v>161.49387493756916</v>
      </c>
    </row>
    <row r="9" spans="1:8" ht="20" customHeight="1" thickBot="1">
      <c r="A9" s="339" t="s">
        <v>504</v>
      </c>
      <c r="B9" s="370">
        <v>940.19458087364364</v>
      </c>
      <c r="C9" s="371">
        <v>1273.7131835221799</v>
      </c>
      <c r="D9" s="370">
        <v>3832.3990784558405</v>
      </c>
      <c r="E9" s="371">
        <v>3039.0679307891583</v>
      </c>
      <c r="F9" s="351">
        <v>6.6395413516291787E-2</v>
      </c>
      <c r="H9" s="338">
        <v>129.41591119853354</v>
      </c>
    </row>
    <row r="10" spans="1:8" ht="20" customHeight="1" thickBot="1">
      <c r="A10" s="339" t="s">
        <v>505</v>
      </c>
      <c r="B10" s="370">
        <v>773.40039451437156</v>
      </c>
      <c r="C10" s="371">
        <v>1175.0391178878363</v>
      </c>
      <c r="D10" s="370">
        <v>3542.526017956292</v>
      </c>
      <c r="E10" s="371">
        <v>2800.2344326996372</v>
      </c>
      <c r="F10" s="351">
        <v>4.9917919758092323E-2</v>
      </c>
      <c r="H10" s="338">
        <v>126.90557061409594</v>
      </c>
    </row>
    <row r="11" spans="1:8" ht="20" customHeight="1" thickBot="1">
      <c r="A11" s="339" t="s">
        <v>506</v>
      </c>
      <c r="B11" s="370">
        <v>1064.1768084268749</v>
      </c>
      <c r="C11" s="371">
        <v>1316.9059750079412</v>
      </c>
      <c r="D11" s="370">
        <v>3754.2197450606436</v>
      </c>
      <c r="E11" s="371">
        <v>3035.4884013065844</v>
      </c>
      <c r="F11" s="351">
        <v>5.6756877862778811E-2</v>
      </c>
      <c r="H11" s="338">
        <v>131.64111605385247</v>
      </c>
    </row>
    <row r="12" spans="1:8" ht="20" customHeight="1" thickBot="1">
      <c r="A12" s="339" t="s">
        <v>507</v>
      </c>
      <c r="B12" s="370">
        <v>1006.1890265496596</v>
      </c>
      <c r="C12" s="371">
        <v>1117.3040124097593</v>
      </c>
      <c r="D12" s="370">
        <v>3734.1086999173835</v>
      </c>
      <c r="E12" s="371">
        <v>2964.6735600213256</v>
      </c>
      <c r="F12" s="351">
        <v>0.10333056045164267</v>
      </c>
      <c r="H12" s="338">
        <v>125.19129183854066</v>
      </c>
    </row>
    <row r="13" spans="1:8" ht="20" customHeight="1" thickBot="1">
      <c r="A13" s="339" t="s">
        <v>508</v>
      </c>
      <c r="B13" s="370">
        <v>857.9609664531572</v>
      </c>
      <c r="C13" s="371">
        <v>1055.7971447202299</v>
      </c>
      <c r="D13" s="370">
        <v>3657.6188736887311</v>
      </c>
      <c r="E13" s="371">
        <v>2939.9531972290151</v>
      </c>
      <c r="F13" s="351">
        <v>8.9356504041818316E-2</v>
      </c>
      <c r="H13" s="338">
        <v>117.8833340734285</v>
      </c>
    </row>
    <row r="14" spans="1:8" ht="20" customHeight="1" thickBot="1">
      <c r="A14" s="339" t="s">
        <v>509</v>
      </c>
      <c r="B14" s="370">
        <v>972.66745252201963</v>
      </c>
      <c r="C14" s="371">
        <v>1396.406594123338</v>
      </c>
      <c r="D14" s="370">
        <v>3796.6277094405641</v>
      </c>
      <c r="E14" s="371">
        <v>3068.1497932016655</v>
      </c>
      <c r="F14" s="351">
        <v>4.3725735828094234E-2</v>
      </c>
      <c r="H14" s="338">
        <v>140.25371771237261</v>
      </c>
    </row>
    <row r="15" spans="1:8" ht="20" customHeight="1" thickBot="1">
      <c r="A15" s="339" t="s">
        <v>510</v>
      </c>
      <c r="B15" s="370">
        <v>928.98750268199763</v>
      </c>
      <c r="C15" s="371">
        <v>1387.7072080096914</v>
      </c>
      <c r="D15" s="370">
        <v>3567.1666608246096</v>
      </c>
      <c r="E15" s="371">
        <v>2903.8638800771987</v>
      </c>
      <c r="F15" s="351">
        <v>6.1478439486377608E-2</v>
      </c>
      <c r="H15" s="338">
        <v>131.3336445580656</v>
      </c>
    </row>
    <row r="16" spans="1:8" ht="20" customHeight="1" thickBot="1">
      <c r="A16" s="339" t="s">
        <v>511</v>
      </c>
      <c r="B16" s="370">
        <v>1056.4552291460845</v>
      </c>
      <c r="C16" s="371">
        <v>1438.1239384911635</v>
      </c>
      <c r="D16" s="370">
        <v>4241.7718243215413</v>
      </c>
      <c r="E16" s="371">
        <v>3298.3306039323452</v>
      </c>
      <c r="F16" s="351">
        <v>0.11984004720356607</v>
      </c>
      <c r="H16" s="338">
        <v>163.19734143075968</v>
      </c>
    </row>
    <row r="17" spans="1:8" ht="20" customHeight="1" thickBot="1">
      <c r="A17" s="339" t="s">
        <v>512</v>
      </c>
      <c r="B17" s="370">
        <v>1055.4020280626432</v>
      </c>
      <c r="C17" s="371">
        <v>1452.101446369466</v>
      </c>
      <c r="D17" s="370">
        <v>4226.4381183575842</v>
      </c>
      <c r="E17" s="371">
        <v>3415.1659915672899</v>
      </c>
      <c r="F17" s="351">
        <v>7.4447296771321378E-2</v>
      </c>
      <c r="H17" s="338">
        <v>156.59253023292777</v>
      </c>
    </row>
    <row r="18" spans="1:8" ht="20" customHeight="1" thickBot="1">
      <c r="A18" s="339" t="s">
        <v>513</v>
      </c>
      <c r="B18" s="370">
        <v>1460.9106795770501</v>
      </c>
      <c r="C18" s="371">
        <v>1900.7183219706289</v>
      </c>
      <c r="D18" s="370">
        <v>5449.3546152692779</v>
      </c>
      <c r="E18" s="371">
        <v>4567.1543344389411</v>
      </c>
      <c r="F18" s="351">
        <v>4.5666290563060395E-2</v>
      </c>
      <c r="H18" s="338">
        <v>239.48436004651805</v>
      </c>
    </row>
    <row r="19" spans="1:8" ht="20" customHeight="1" thickBot="1">
      <c r="A19" s="339" t="s">
        <v>514</v>
      </c>
      <c r="B19" s="370">
        <v>1232.9783346835986</v>
      </c>
      <c r="C19" s="371">
        <v>1709.9928693349125</v>
      </c>
      <c r="D19" s="370">
        <v>4701.5995212508915</v>
      </c>
      <c r="E19" s="371">
        <v>3851.4615681872278</v>
      </c>
      <c r="F19" s="351">
        <v>7.8842671251579552E-2</v>
      </c>
      <c r="H19" s="338">
        <v>177.06647582891381</v>
      </c>
    </row>
    <row r="20" spans="1:8" ht="20" customHeight="1" thickBot="1">
      <c r="A20" s="339" t="s">
        <v>515</v>
      </c>
      <c r="B20" s="370">
        <v>879.53145940695731</v>
      </c>
      <c r="C20" s="371">
        <v>1335.2611280217507</v>
      </c>
      <c r="D20" s="370">
        <v>4154.392471210992</v>
      </c>
      <c r="E20" s="371">
        <v>3337.2312678209519</v>
      </c>
      <c r="F20" s="351">
        <v>6.2194298446226634E-2</v>
      </c>
      <c r="H20" s="338">
        <v>165.60622548393192</v>
      </c>
    </row>
    <row r="21" spans="1:8" ht="20" customHeight="1" thickBot="1">
      <c r="A21" s="339" t="s">
        <v>516</v>
      </c>
      <c r="B21" s="370">
        <v>864.2750346275534</v>
      </c>
      <c r="C21" s="371">
        <v>1347.1204502372555</v>
      </c>
      <c r="D21" s="370">
        <v>3681.0992891654519</v>
      </c>
      <c r="E21" s="371">
        <v>2936.9180929605527</v>
      </c>
      <c r="F21" s="351">
        <v>6.4077609812239894E-2</v>
      </c>
      <c r="H21" s="338">
        <v>125.02923450612184</v>
      </c>
    </row>
    <row r="22" spans="1:8" ht="20" customHeight="1" thickBot="1">
      <c r="A22" s="339" t="s">
        <v>517</v>
      </c>
      <c r="B22" s="370">
        <v>672.02137770103991</v>
      </c>
      <c r="C22" s="371">
        <v>921.50258653320429</v>
      </c>
      <c r="D22" s="370">
        <v>3253.1794265320314</v>
      </c>
      <c r="E22" s="371">
        <v>2472.9599263302566</v>
      </c>
      <c r="F22" s="351">
        <v>4.3863380002552223E-2</v>
      </c>
      <c r="H22" s="338">
        <v>109.87124540182084</v>
      </c>
    </row>
    <row r="23" spans="1:8" ht="20" customHeight="1" thickBot="1">
      <c r="A23" s="339" t="s">
        <v>518</v>
      </c>
      <c r="B23" s="370">
        <v>977.23722301679754</v>
      </c>
      <c r="C23" s="371">
        <v>1304.1577156006335</v>
      </c>
      <c r="D23" s="370">
        <v>3869.2349827941071</v>
      </c>
      <c r="E23" s="371">
        <v>3066.5204964565182</v>
      </c>
      <c r="F23" s="351">
        <v>6.9000158994759489E-2</v>
      </c>
      <c r="H23" s="338">
        <v>134.24530167185685</v>
      </c>
    </row>
    <row r="24" spans="1:8" ht="20" customHeight="1" thickBot="1">
      <c r="A24" s="339" t="s">
        <v>519</v>
      </c>
      <c r="B24" s="370">
        <v>1040.2710653513082</v>
      </c>
      <c r="C24" s="371">
        <v>1193.7988202063025</v>
      </c>
      <c r="D24" s="370">
        <v>3650.4722683392647</v>
      </c>
      <c r="E24" s="371">
        <v>2991.8351996310626</v>
      </c>
      <c r="F24" s="351">
        <v>6.7948264297745323E-2</v>
      </c>
      <c r="H24" s="338">
        <v>132.91701511018809</v>
      </c>
    </row>
    <row r="25" spans="1:8" ht="20" customHeight="1" thickBot="1">
      <c r="A25" s="339" t="s">
        <v>520</v>
      </c>
      <c r="B25" s="370">
        <v>1115.0674052309962</v>
      </c>
      <c r="C25" s="371">
        <v>1512.6297021122584</v>
      </c>
      <c r="D25" s="370">
        <v>4020.076699747337</v>
      </c>
      <c r="E25" s="371">
        <v>3255.4647332613199</v>
      </c>
      <c r="F25" s="351">
        <v>6.5742239824270812E-2</v>
      </c>
      <c r="H25" s="338">
        <v>145.05617363699608</v>
      </c>
    </row>
    <row r="26" spans="1:8" ht="20" customHeight="1" thickBot="1">
      <c r="A26" s="339" t="s">
        <v>521</v>
      </c>
      <c r="B26" s="370">
        <v>1038.3273298872793</v>
      </c>
      <c r="C26" s="371">
        <v>1382.2103490213651</v>
      </c>
      <c r="D26" s="370">
        <v>3764.2978473225398</v>
      </c>
      <c r="E26" s="371">
        <v>3016.8202267870874</v>
      </c>
      <c r="F26" s="351">
        <v>9.3192070997644025E-2</v>
      </c>
      <c r="H26" s="338">
        <v>145.7338374894791</v>
      </c>
    </row>
    <row r="27" spans="1:8" ht="20" customHeight="1" thickBot="1">
      <c r="A27" s="339" t="s">
        <v>522</v>
      </c>
      <c r="B27" s="370">
        <v>1121.2043450034309</v>
      </c>
      <c r="C27" s="371">
        <v>1283.7242097559945</v>
      </c>
      <c r="D27" s="370">
        <v>4549.6234485318973</v>
      </c>
      <c r="E27" s="371">
        <v>3717.3137447366603</v>
      </c>
      <c r="F27" s="351">
        <v>4.1663740319324474E-2</v>
      </c>
      <c r="H27" s="338">
        <v>199.67764846714121</v>
      </c>
    </row>
    <row r="28" spans="1:8" ht="20" customHeight="1" thickBot="1">
      <c r="A28" s="339" t="s">
        <v>523</v>
      </c>
      <c r="B28" s="370">
        <v>1278.6182932448378</v>
      </c>
      <c r="C28" s="371">
        <v>1590.5983251104349</v>
      </c>
      <c r="D28" s="370">
        <v>4838.0914244829537</v>
      </c>
      <c r="E28" s="371">
        <v>3824.9816786792662</v>
      </c>
      <c r="F28" s="351">
        <v>8.1226555153675689E-2</v>
      </c>
      <c r="H28" s="338">
        <v>203.24357993536964</v>
      </c>
    </row>
    <row r="29" spans="1:8" ht="20" customHeight="1" thickBot="1">
      <c r="A29" s="339" t="s">
        <v>524</v>
      </c>
      <c r="B29" s="370">
        <v>1015.1890739601225</v>
      </c>
      <c r="C29" s="371">
        <v>1240.8386184217736</v>
      </c>
      <c r="D29" s="370">
        <v>3941.669361158456</v>
      </c>
      <c r="E29" s="371">
        <v>3153.0880778399528</v>
      </c>
      <c r="F29" s="351">
        <v>3.5760113024090719E-2</v>
      </c>
      <c r="H29" s="338">
        <v>144.85185631308477</v>
      </c>
    </row>
    <row r="30" spans="1:8" ht="20" customHeight="1" thickBot="1">
      <c r="A30" s="339" t="s">
        <v>525</v>
      </c>
      <c r="B30" s="370">
        <v>1083.808869760913</v>
      </c>
      <c r="C30" s="371">
        <v>1264.9389131271737</v>
      </c>
      <c r="D30" s="370">
        <v>4575.3069588424423</v>
      </c>
      <c r="E30" s="371">
        <v>3582.0594294599014</v>
      </c>
      <c r="F30" s="351">
        <v>8.5022710060671941E-2</v>
      </c>
      <c r="H30" s="338">
        <v>184.5803903521614</v>
      </c>
    </row>
    <row r="31" spans="1:8" ht="20" customHeight="1" thickBot="1">
      <c r="A31" s="339" t="s">
        <v>526</v>
      </c>
      <c r="B31" s="370">
        <v>1514.4123244025216</v>
      </c>
      <c r="C31" s="371">
        <v>1973.4999635136135</v>
      </c>
      <c r="D31" s="370">
        <v>5422.9472468216982</v>
      </c>
      <c r="E31" s="371">
        <v>4342.0162566869612</v>
      </c>
      <c r="F31" s="351">
        <v>3.6542994474739951E-2</v>
      </c>
      <c r="H31" s="338">
        <v>244.01642882305748</v>
      </c>
    </row>
    <row r="32" spans="1:8" ht="20" customHeight="1" thickBot="1">
      <c r="A32" s="234" t="s">
        <v>527</v>
      </c>
      <c r="B32" s="370">
        <v>1008.7631346331442</v>
      </c>
      <c r="C32" s="371">
        <v>1203.9374181491096</v>
      </c>
      <c r="D32" s="370">
        <v>4561.7382366207657</v>
      </c>
      <c r="E32" s="371">
        <v>3533.9336922375837</v>
      </c>
      <c r="F32" s="351">
        <v>8.038775888434635E-2</v>
      </c>
      <c r="H32" s="338">
        <v>200.58331332206401</v>
      </c>
    </row>
    <row r="33" spans="1:8" ht="20" customHeight="1" thickBot="1">
      <c r="A33" s="297" t="s">
        <v>528</v>
      </c>
      <c r="B33" s="370">
        <v>727.69644340312652</v>
      </c>
      <c r="C33" s="371">
        <v>721.4347139240507</v>
      </c>
      <c r="D33" s="370">
        <v>955.24117586371437</v>
      </c>
      <c r="E33" s="371">
        <v>905.01516378296651</v>
      </c>
      <c r="F33" s="351">
        <v>-7.0913071238660294E-2</v>
      </c>
      <c r="H33" s="338">
        <v>244.01642882305748</v>
      </c>
    </row>
    <row r="34" spans="1:8" ht="0.5" customHeight="1" thickBot="1">
      <c r="A34" s="234" t="s">
        <v>529</v>
      </c>
      <c r="B34" s="287" t="s">
        <v>153</v>
      </c>
      <c r="C34" s="288" t="s">
        <v>153</v>
      </c>
      <c r="D34" s="287" t="s">
        <v>153</v>
      </c>
      <c r="E34" s="288" t="s">
        <v>153</v>
      </c>
      <c r="F34" s="351" t="s">
        <v>153</v>
      </c>
      <c r="H34" s="338">
        <v>200.58331332206401</v>
      </c>
    </row>
    <row r="35" spans="1:8" s="410" customFormat="1" ht="30" customHeight="1" thickBot="1">
      <c r="A35" s="354" t="s">
        <v>530</v>
      </c>
      <c r="B35" s="407">
        <v>1115.6800220655477</v>
      </c>
      <c r="C35" s="408">
        <v>1480.0983226765491</v>
      </c>
      <c r="D35" s="407">
        <v>4307.9217465012034</v>
      </c>
      <c r="E35" s="408">
        <v>3470.8847849356412</v>
      </c>
      <c r="F35" s="409">
        <v>6.5786841784458538E-2</v>
      </c>
      <c r="H35" s="411">
        <v>167.9825427102873</v>
      </c>
    </row>
    <row r="36" spans="1:8" ht="20" customHeight="1">
      <c r="A36" s="189" t="s">
        <v>346</v>
      </c>
      <c r="B36" s="302"/>
      <c r="C36" s="302"/>
      <c r="D36" s="302"/>
      <c r="E36" s="302"/>
      <c r="F36" s="412"/>
    </row>
    <row r="37" spans="1:8" ht="14.25" customHeight="1">
      <c r="A37" s="219"/>
      <c r="B37" s="413"/>
      <c r="C37" s="413"/>
      <c r="D37" s="413"/>
      <c r="E37" s="413"/>
      <c r="F37" s="220"/>
    </row>
    <row r="38" spans="1:8" ht="20" customHeight="1">
      <c r="A38" s="219" t="s">
        <v>1602</v>
      </c>
      <c r="B38" s="413"/>
      <c r="C38" s="413"/>
      <c r="D38" s="413"/>
      <c r="E38" s="413"/>
      <c r="F38" s="220"/>
    </row>
    <row r="39" spans="1:8" ht="9.75" customHeight="1">
      <c r="A39" s="219"/>
      <c r="B39" s="413"/>
      <c r="C39" s="413"/>
      <c r="D39" s="413"/>
      <c r="E39" s="413"/>
      <c r="F39" s="220"/>
    </row>
    <row r="40" spans="1:8" ht="15.75" customHeight="1">
      <c r="A40" s="219" t="s">
        <v>542</v>
      </c>
    </row>
    <row r="41" spans="1:8" ht="15.75" customHeight="1">
      <c r="A41" s="219" t="s">
        <v>533</v>
      </c>
    </row>
    <row r="42" spans="1:8" ht="12" customHeight="1">
      <c r="A42" s="219"/>
    </row>
    <row r="43" spans="1:8" ht="12" customHeight="1"/>
    <row r="44" spans="1:8">
      <c r="A44" s="219" t="s">
        <v>302</v>
      </c>
    </row>
  </sheetData>
  <mergeCells count="1">
    <mergeCell ref="A2:E2"/>
  </mergeCells>
  <pageMargins left="0.55000000000000004" right="0.78740157480314965" top="1.1000000000000001" bottom="0.49" header="0.92" footer="0.4921259845"/>
  <pageSetup paperSize="9" scale="78" orientation="portrait" horizontalDpi="4294967292" verticalDpi="429496729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D0D45-32D9-FF40-ABCA-0875F644E4E5}">
  <sheetPr>
    <pageSetUpPr fitToPage="1"/>
  </sheetPr>
  <dimension ref="A1:J50"/>
  <sheetViews>
    <sheetView zoomScaleNormal="100" workbookViewId="0"/>
  </sheetViews>
  <sheetFormatPr baseColWidth="10" defaultColWidth="11.3984375" defaultRowHeight="13"/>
  <cols>
    <col min="1" max="1" width="21.19921875" style="3" customWidth="1"/>
    <col min="2" max="2" width="14.796875" style="369" customWidth="1"/>
    <col min="3" max="3" width="15.59765625" style="245" customWidth="1"/>
    <col min="4" max="4" width="16" style="369" customWidth="1"/>
    <col min="5" max="5" width="15.796875" style="245" customWidth="1"/>
    <col min="6" max="6" width="16" style="369" customWidth="1"/>
    <col min="7" max="7" width="14" style="3" customWidth="1"/>
    <col min="8" max="8" width="15" style="3" customWidth="1"/>
    <col min="9" max="9" width="7.796875" style="3" customWidth="1"/>
    <col min="10" max="10" width="9" style="3" customWidth="1"/>
    <col min="11" max="16384" width="11.3984375" style="3"/>
  </cols>
  <sheetData>
    <row r="1" spans="1:10" s="1" customFormat="1" ht="15.5" customHeight="1">
      <c r="A1" s="631"/>
      <c r="B1" s="632"/>
      <c r="C1" s="221"/>
      <c r="D1" s="358"/>
      <c r="E1" s="221"/>
      <c r="F1" s="358"/>
    </row>
    <row r="2" spans="1:10" s="1" customFormat="1" ht="23.5" customHeight="1">
      <c r="A2" s="633" t="s">
        <v>1879</v>
      </c>
      <c r="B2" s="360"/>
      <c r="C2" s="360"/>
      <c r="D2" s="360"/>
      <c r="E2" s="360"/>
      <c r="F2" s="569"/>
      <c r="H2" s="569">
        <v>2013</v>
      </c>
    </row>
    <row r="3" spans="1:10" ht="27" customHeight="1">
      <c r="A3" s="224" t="s">
        <v>1049</v>
      </c>
      <c r="B3" s="2013" t="s">
        <v>1050</v>
      </c>
      <c r="C3" s="2014"/>
      <c r="D3" s="2015" t="s">
        <v>1051</v>
      </c>
      <c r="E3" s="2014"/>
      <c r="F3" s="2013" t="s">
        <v>498</v>
      </c>
      <c r="G3" s="2014"/>
      <c r="H3" s="2014"/>
    </row>
    <row r="4" spans="1:10" ht="15" customHeight="1">
      <c r="A4" s="306"/>
      <c r="B4" s="614" t="s">
        <v>843</v>
      </c>
      <c r="C4" s="634" t="s">
        <v>2213</v>
      </c>
      <c r="D4" s="614" t="s">
        <v>843</v>
      </c>
      <c r="E4" s="634" t="s">
        <v>2213</v>
      </c>
      <c r="F4" s="614" t="s">
        <v>843</v>
      </c>
      <c r="G4" s="634" t="s">
        <v>1004</v>
      </c>
      <c r="H4" s="614" t="s">
        <v>2213</v>
      </c>
    </row>
    <row r="5" spans="1:10" ht="15" customHeight="1">
      <c r="A5" s="306"/>
      <c r="B5" s="614"/>
      <c r="C5" s="634" t="s">
        <v>2214</v>
      </c>
      <c r="D5" s="614"/>
      <c r="E5" s="634" t="s">
        <v>2214</v>
      </c>
      <c r="F5" s="614"/>
      <c r="G5" s="634"/>
      <c r="H5" s="614" t="s">
        <v>2214</v>
      </c>
    </row>
    <row r="6" spans="1:10" ht="19.5" customHeight="1">
      <c r="A6" s="307"/>
      <c r="B6" s="362"/>
      <c r="C6" s="635"/>
      <c r="D6" s="362"/>
      <c r="E6" s="635"/>
      <c r="F6" s="362"/>
      <c r="G6" s="636"/>
      <c r="H6" s="362"/>
    </row>
    <row r="7" spans="1:10" ht="30" customHeight="1" thickBot="1">
      <c r="A7" s="334" t="s">
        <v>1052</v>
      </c>
      <c r="B7" s="278">
        <v>322.95927233999998</v>
      </c>
      <c r="C7" s="637">
        <v>1381.6988591332677</v>
      </c>
      <c r="D7" s="278">
        <v>263.01560952</v>
      </c>
      <c r="E7" s="637">
        <v>1189.3021499633667</v>
      </c>
      <c r="F7" s="278">
        <v>585.97488184000008</v>
      </c>
      <c r="G7" s="638">
        <v>2.0982761662440227E-2</v>
      </c>
      <c r="H7" s="287">
        <v>1288.1630412995301</v>
      </c>
      <c r="I7" s="639"/>
      <c r="J7" s="639"/>
    </row>
    <row r="8" spans="1:10" ht="20" customHeight="1" thickBot="1">
      <c r="A8" s="339" t="s">
        <v>1053</v>
      </c>
      <c r="B8" s="278">
        <v>196.56417637999999</v>
      </c>
      <c r="C8" s="637">
        <v>977.05532726656634</v>
      </c>
      <c r="D8" s="278">
        <v>148.13941004</v>
      </c>
      <c r="E8" s="637">
        <v>774.06954938616298</v>
      </c>
      <c r="F8" s="278">
        <v>344.70358636999998</v>
      </c>
      <c r="G8" s="638">
        <v>1.2343247844137126E-2</v>
      </c>
      <c r="H8" s="287">
        <v>878.09683564908698</v>
      </c>
      <c r="I8" s="639"/>
      <c r="J8" s="639"/>
    </row>
    <row r="9" spans="1:10" ht="20" customHeight="1" thickBot="1">
      <c r="A9" s="339" t="s">
        <v>1054</v>
      </c>
      <c r="B9" s="278">
        <v>216.13154306999999</v>
      </c>
      <c r="C9" s="637">
        <v>1032.9741809915754</v>
      </c>
      <c r="D9" s="278">
        <v>201.65184463</v>
      </c>
      <c r="E9" s="637">
        <v>1017.1458227744154</v>
      </c>
      <c r="F9" s="278">
        <v>417.78338768999998</v>
      </c>
      <c r="G9" s="638">
        <v>1.4960110957144661E-2</v>
      </c>
      <c r="H9" s="287">
        <v>1025.2733240979805</v>
      </c>
      <c r="I9" s="639"/>
      <c r="J9" s="639"/>
    </row>
    <row r="10" spans="1:10" ht="20" customHeight="1" thickBot="1">
      <c r="A10" s="339" t="s">
        <v>1055</v>
      </c>
      <c r="B10" s="278">
        <v>146.37539716999999</v>
      </c>
      <c r="C10" s="637">
        <v>1092.0306647347006</v>
      </c>
      <c r="D10" s="278">
        <v>196.60594531999999</v>
      </c>
      <c r="E10" s="637">
        <v>1546.9730156579462</v>
      </c>
      <c r="F10" s="278">
        <v>342.98134248000002</v>
      </c>
      <c r="G10" s="638">
        <v>1.2281577226183352E-2</v>
      </c>
      <c r="H10" s="287">
        <v>1313.4486400241904</v>
      </c>
      <c r="I10" s="639"/>
      <c r="J10" s="639"/>
    </row>
    <row r="11" spans="1:10" ht="20" customHeight="1" thickBot="1">
      <c r="A11" s="640" t="s">
        <v>1056</v>
      </c>
      <c r="B11" s="641">
        <v>882.03038892999996</v>
      </c>
      <c r="C11" s="642">
        <v>1133.4342855194018</v>
      </c>
      <c r="D11" s="641">
        <v>809.41280948999997</v>
      </c>
      <c r="E11" s="642">
        <v>1096.9556269904115</v>
      </c>
      <c r="F11" s="641">
        <v>1691.44319842</v>
      </c>
      <c r="G11" s="643">
        <v>6.0567697691337692E-2</v>
      </c>
      <c r="H11" s="644">
        <v>1115.6800294641764</v>
      </c>
      <c r="I11" s="639"/>
      <c r="J11" s="639"/>
    </row>
    <row r="12" spans="1:10" ht="20" customHeight="1" thickBot="1">
      <c r="A12" s="339" t="s">
        <v>1057</v>
      </c>
      <c r="B12" s="278">
        <v>93.501945800000001</v>
      </c>
      <c r="C12" s="637">
        <v>1033.0992110379989</v>
      </c>
      <c r="D12" s="278">
        <v>139.51388711999999</v>
      </c>
      <c r="E12" s="637">
        <v>1596.236039559373</v>
      </c>
      <c r="F12" s="278">
        <v>233.01583291</v>
      </c>
      <c r="G12" s="638">
        <v>8.3438997763398137E-3</v>
      </c>
      <c r="H12" s="287">
        <v>1309.7545175872342</v>
      </c>
      <c r="I12" s="639"/>
      <c r="J12" s="639"/>
    </row>
    <row r="13" spans="1:10" ht="20" customHeight="1" thickBot="1">
      <c r="A13" s="339" t="s">
        <v>1058</v>
      </c>
      <c r="B13" s="278">
        <v>283.10055429000005</v>
      </c>
      <c r="C13" s="637">
        <v>1135.9159687444367</v>
      </c>
      <c r="D13" s="278">
        <v>475.81592175999998</v>
      </c>
      <c r="E13" s="637">
        <v>1957.855028690175</v>
      </c>
      <c r="F13" s="278">
        <v>758.91647607000004</v>
      </c>
      <c r="G13" s="638">
        <v>2.7175505354551887E-2</v>
      </c>
      <c r="H13" s="287">
        <v>1541.7113788201248</v>
      </c>
      <c r="I13" s="639"/>
      <c r="J13" s="639"/>
    </row>
    <row r="14" spans="1:10" ht="20" customHeight="1" thickBot="1">
      <c r="A14" s="640" t="s">
        <v>1059</v>
      </c>
      <c r="B14" s="641">
        <v>376.60250008999998</v>
      </c>
      <c r="C14" s="642">
        <v>1108.5252238000728</v>
      </c>
      <c r="D14" s="641">
        <v>615.32980887999997</v>
      </c>
      <c r="E14" s="642">
        <v>1862.2038591056962</v>
      </c>
      <c r="F14" s="641">
        <v>991.93230897000001</v>
      </c>
      <c r="G14" s="643">
        <v>3.5519405130533616E-2</v>
      </c>
      <c r="H14" s="644">
        <v>1480.1339251059917</v>
      </c>
      <c r="I14" s="639"/>
      <c r="J14" s="639"/>
    </row>
    <row r="15" spans="1:10" ht="20" customHeight="1" thickBot="1">
      <c r="A15" s="339" t="s">
        <v>1060</v>
      </c>
      <c r="B15" s="278">
        <v>300.32093757999996</v>
      </c>
      <c r="C15" s="637">
        <v>1102.9083003946764</v>
      </c>
      <c r="D15" s="278">
        <v>682.70762558000001</v>
      </c>
      <c r="E15" s="637">
        <v>2575.0742520986505</v>
      </c>
      <c r="F15" s="278">
        <v>983.02856313999996</v>
      </c>
      <c r="G15" s="638">
        <v>3.5200577169739129E-2</v>
      </c>
      <c r="H15" s="287">
        <v>1829.1603511111759</v>
      </c>
      <c r="I15" s="639"/>
      <c r="J15" s="639"/>
    </row>
    <row r="16" spans="1:10" ht="20" customHeight="1" thickBot="1">
      <c r="A16" s="339" t="s">
        <v>1061</v>
      </c>
      <c r="B16" s="278">
        <v>387.21969856999999</v>
      </c>
      <c r="C16" s="637">
        <v>1356.1779028917447</v>
      </c>
      <c r="D16" s="278">
        <v>841.10792903999993</v>
      </c>
      <c r="E16" s="637">
        <v>3015.6545055536671</v>
      </c>
      <c r="F16" s="278">
        <v>1228.3276276199999</v>
      </c>
      <c r="G16" s="638">
        <v>4.398431853053144E-2</v>
      </c>
      <c r="H16" s="287">
        <v>2176.2010065398654</v>
      </c>
      <c r="I16" s="639"/>
      <c r="J16" s="639"/>
    </row>
    <row r="17" spans="1:10" ht="20" customHeight="1" thickBot="1">
      <c r="A17" s="339" t="s">
        <v>1062</v>
      </c>
      <c r="B17" s="278">
        <v>453.28109465</v>
      </c>
      <c r="C17" s="637">
        <v>1611.3791885519547</v>
      </c>
      <c r="D17" s="278">
        <v>811.21530892999999</v>
      </c>
      <c r="E17" s="637">
        <v>2931.1815460527373</v>
      </c>
      <c r="F17" s="278">
        <v>1264.49640355</v>
      </c>
      <c r="G17" s="638">
        <v>4.5279460743075317E-2</v>
      </c>
      <c r="H17" s="287">
        <v>2265.904199322868</v>
      </c>
      <c r="I17" s="639"/>
      <c r="J17" s="639"/>
    </row>
    <row r="18" spans="1:10" ht="20" customHeight="1" thickBot="1">
      <c r="A18" s="339" t="s">
        <v>1063</v>
      </c>
      <c r="B18" s="278">
        <v>596.10472572000003</v>
      </c>
      <c r="C18" s="637">
        <v>1918.0790946352322</v>
      </c>
      <c r="D18" s="278">
        <v>868.19519815000001</v>
      </c>
      <c r="E18" s="637">
        <v>2836.289423440458</v>
      </c>
      <c r="F18" s="278">
        <v>1464.2999238299999</v>
      </c>
      <c r="G18" s="638">
        <v>5.2434084218039426E-2</v>
      </c>
      <c r="H18" s="287">
        <v>2373.7013841518242</v>
      </c>
      <c r="I18" s="639"/>
      <c r="J18" s="639"/>
    </row>
    <row r="19" spans="1:10" ht="20" customHeight="1" thickBot="1">
      <c r="A19" s="339" t="s">
        <v>1064</v>
      </c>
      <c r="B19" s="278">
        <v>793.13779311999997</v>
      </c>
      <c r="C19" s="637">
        <v>2346.4091403531634</v>
      </c>
      <c r="D19" s="278">
        <v>1046.08374826</v>
      </c>
      <c r="E19" s="637">
        <v>3184.4955012556288</v>
      </c>
      <c r="F19" s="278">
        <v>1839.22154133</v>
      </c>
      <c r="G19" s="638">
        <v>6.5859388247107228E-2</v>
      </c>
      <c r="H19" s="287">
        <v>2759.4612898040914</v>
      </c>
      <c r="I19" s="639"/>
      <c r="J19" s="639"/>
    </row>
    <row r="20" spans="1:10" ht="20" customHeight="1" thickBot="1">
      <c r="A20" s="339" t="s">
        <v>1065</v>
      </c>
      <c r="B20" s="278">
        <v>897.65079542000001</v>
      </c>
      <c r="C20" s="637">
        <v>2972.7688304942722</v>
      </c>
      <c r="D20" s="278">
        <v>1085.1191979600001</v>
      </c>
      <c r="E20" s="637">
        <v>3676.9569646757459</v>
      </c>
      <c r="F20" s="278">
        <v>1982.7699933699998</v>
      </c>
      <c r="G20" s="638">
        <v>7.0999613621119048E-2</v>
      </c>
      <c r="H20" s="287">
        <v>3320.8266621497291</v>
      </c>
      <c r="I20" s="639"/>
      <c r="J20" s="639"/>
    </row>
    <row r="21" spans="1:10" ht="20" customHeight="1" thickBot="1">
      <c r="A21" s="339" t="s">
        <v>1066</v>
      </c>
      <c r="B21" s="278">
        <v>990.16187723999997</v>
      </c>
      <c r="C21" s="637">
        <v>3879.2168508510235</v>
      </c>
      <c r="D21" s="278">
        <v>1047.17460618</v>
      </c>
      <c r="E21" s="637">
        <v>4152.7059258115687</v>
      </c>
      <c r="F21" s="278">
        <v>2037.3364834000001</v>
      </c>
      <c r="G21" s="638">
        <v>7.2953546614731635E-2</v>
      </c>
      <c r="H21" s="287">
        <v>4015.1308251364885</v>
      </c>
      <c r="I21" s="639"/>
      <c r="J21" s="639"/>
    </row>
    <row r="22" spans="1:10" ht="20" customHeight="1" thickBot="1">
      <c r="A22" s="339" t="s">
        <v>1067</v>
      </c>
      <c r="B22" s="278">
        <v>1119.8941478499999</v>
      </c>
      <c r="C22" s="637">
        <v>5028.7083217632171</v>
      </c>
      <c r="D22" s="278">
        <v>1127.1871058199999</v>
      </c>
      <c r="E22" s="637">
        <v>4909.7342772803277</v>
      </c>
      <c r="F22" s="278">
        <v>2247.0812536599997</v>
      </c>
      <c r="G22" s="638">
        <v>8.0464149305566002E-2</v>
      </c>
      <c r="H22" s="287">
        <v>4968.3157038424897</v>
      </c>
      <c r="I22" s="639"/>
      <c r="J22" s="639"/>
    </row>
    <row r="23" spans="1:10" ht="20" customHeight="1" thickBot="1">
      <c r="A23" s="339" t="s">
        <v>1068</v>
      </c>
      <c r="B23" s="278">
        <v>1279.4460625199999</v>
      </c>
      <c r="C23" s="637">
        <v>6395.3519977182705</v>
      </c>
      <c r="D23" s="278">
        <v>1288.38294333</v>
      </c>
      <c r="E23" s="637">
        <v>6022.3887900283926</v>
      </c>
      <c r="F23" s="278">
        <v>2567.8290058600001</v>
      </c>
      <c r="G23" s="638">
        <v>9.1949579563332079E-2</v>
      </c>
      <c r="H23" s="287">
        <v>6202.6203609740314</v>
      </c>
      <c r="I23" s="639"/>
      <c r="J23" s="639"/>
    </row>
    <row r="24" spans="1:10" ht="20" customHeight="1" thickBot="1">
      <c r="A24" s="339" t="s">
        <v>1069</v>
      </c>
      <c r="B24" s="278">
        <v>1160.33209745</v>
      </c>
      <c r="C24" s="637">
        <v>7830.8598438366062</v>
      </c>
      <c r="D24" s="278">
        <v>1259.3945483</v>
      </c>
      <c r="E24" s="637">
        <v>7310.6995651119178</v>
      </c>
      <c r="F24" s="278">
        <v>2419.7266457600003</v>
      </c>
      <c r="G24" s="638">
        <v>8.6646286504310291E-2</v>
      </c>
      <c r="H24" s="287">
        <v>7551.2243704415068</v>
      </c>
      <c r="I24" s="639"/>
      <c r="J24" s="639"/>
    </row>
    <row r="25" spans="1:10" ht="20" customHeight="1" thickBot="1">
      <c r="A25" s="339" t="s">
        <v>1070</v>
      </c>
      <c r="B25" s="278">
        <v>1058.6057402899999</v>
      </c>
      <c r="C25" s="637">
        <v>9523.5852774590567</v>
      </c>
      <c r="D25" s="278">
        <v>1317.4074140499999</v>
      </c>
      <c r="E25" s="637">
        <v>9111.7240479342872</v>
      </c>
      <c r="F25" s="278">
        <v>2376.0131543100001</v>
      </c>
      <c r="G25" s="638">
        <v>8.5080980889761917E-2</v>
      </c>
      <c r="H25" s="287">
        <v>9290.73874223645</v>
      </c>
      <c r="I25" s="639"/>
      <c r="J25" s="639"/>
    </row>
    <row r="26" spans="1:10" ht="20" customHeight="1" thickBot="1">
      <c r="A26" s="339" t="s">
        <v>1071</v>
      </c>
      <c r="B26" s="278">
        <v>855.57374701000003</v>
      </c>
      <c r="C26" s="637">
        <v>11236.262499149638</v>
      </c>
      <c r="D26" s="278">
        <v>1323.19009701</v>
      </c>
      <c r="E26" s="637">
        <v>11149.562891310918</v>
      </c>
      <c r="F26" s="278">
        <v>2178.7638440100004</v>
      </c>
      <c r="G26" s="638">
        <v>7.8017819320260182E-2</v>
      </c>
      <c r="H26" s="287">
        <v>11183.446438394578</v>
      </c>
      <c r="I26" s="639"/>
      <c r="J26" s="639"/>
    </row>
    <row r="27" spans="1:10" ht="20" customHeight="1" thickBot="1">
      <c r="A27" s="339" t="s">
        <v>1072</v>
      </c>
      <c r="B27" s="278">
        <v>513.20812242</v>
      </c>
      <c r="C27" s="637">
        <v>13057.84371443467</v>
      </c>
      <c r="D27" s="278">
        <v>1112.63570695</v>
      </c>
      <c r="E27" s="637">
        <v>14201.764875156505</v>
      </c>
      <c r="F27" s="278">
        <v>1625.8438294100001</v>
      </c>
      <c r="G27" s="638">
        <v>5.8218696108162098E-2</v>
      </c>
      <c r="H27" s="287">
        <v>13819.61485309299</v>
      </c>
      <c r="I27" s="639"/>
      <c r="J27" s="639"/>
    </row>
    <row r="28" spans="1:10" ht="20" customHeight="1" thickBot="1">
      <c r="A28" s="339" t="s">
        <v>1073</v>
      </c>
      <c r="B28" s="278">
        <v>201.51306227000001</v>
      </c>
      <c r="C28" s="637">
        <v>15499.25218225324</v>
      </c>
      <c r="D28" s="278">
        <v>601.40868049000005</v>
      </c>
      <c r="E28" s="637">
        <v>17944.746865756792</v>
      </c>
      <c r="F28" s="278">
        <v>802.92174275000002</v>
      </c>
      <c r="G28" s="638">
        <v>2.8751258942724772E-2</v>
      </c>
      <c r="H28" s="287">
        <v>17261.20976004795</v>
      </c>
      <c r="I28" s="639"/>
      <c r="J28" s="639"/>
    </row>
    <row r="29" spans="1:10" ht="20" customHeight="1" thickBot="1">
      <c r="A29" s="339" t="s">
        <v>1074</v>
      </c>
      <c r="B29" s="278">
        <v>39.009247330000001</v>
      </c>
      <c r="C29" s="637">
        <v>19091.390517254036</v>
      </c>
      <c r="D29" s="278">
        <v>159.78548727</v>
      </c>
      <c r="E29" s="637">
        <v>21793.843603376034</v>
      </c>
      <c r="F29" s="278">
        <v>198.79473458999999</v>
      </c>
      <c r="G29" s="638">
        <v>7.118500578987259E-3</v>
      </c>
      <c r="H29" s="287">
        <v>21204.749071200989</v>
      </c>
      <c r="I29" s="639"/>
      <c r="J29" s="639"/>
    </row>
    <row r="30" spans="1:10" ht="20" customHeight="1" thickBot="1">
      <c r="A30" s="339" t="s">
        <v>1075</v>
      </c>
      <c r="B30" s="278">
        <v>3.5018414999999998</v>
      </c>
      <c r="C30" s="637">
        <v>19245.117058694217</v>
      </c>
      <c r="D30" s="278">
        <v>23.157814120000001</v>
      </c>
      <c r="E30" s="637">
        <v>25516.846586964908</v>
      </c>
      <c r="F30" s="278">
        <v>26.65965563</v>
      </c>
      <c r="G30" s="638">
        <v>9.5463682390359609E-4</v>
      </c>
      <c r="H30" s="287">
        <v>24469.399665904857</v>
      </c>
      <c r="I30" s="639"/>
      <c r="J30" s="639"/>
    </row>
    <row r="31" spans="1:10" ht="20" customHeight="1" thickBot="1">
      <c r="A31" s="640" t="s">
        <v>1076</v>
      </c>
      <c r="B31" s="641">
        <v>10648.96099089</v>
      </c>
      <c r="C31" s="642">
        <v>3726.1559057649511</v>
      </c>
      <c r="D31" s="641">
        <v>14594.15341123</v>
      </c>
      <c r="E31" s="642">
        <v>4861.7925927880551</v>
      </c>
      <c r="F31" s="641">
        <v>25243.11440214</v>
      </c>
      <c r="G31" s="643">
        <v>0.90391289717848666</v>
      </c>
      <c r="H31" s="644">
        <v>4307.9195173934195</v>
      </c>
      <c r="I31" s="639"/>
      <c r="J31" s="639"/>
    </row>
    <row r="32" spans="1:10" ht="0.5" customHeight="1" thickBot="1">
      <c r="A32" s="339" t="s">
        <v>529</v>
      </c>
      <c r="B32" s="278">
        <v>0</v>
      </c>
      <c r="C32" s="637" t="s">
        <v>153</v>
      </c>
      <c r="D32" s="278">
        <v>0</v>
      </c>
      <c r="E32" s="637" t="s">
        <v>153</v>
      </c>
      <c r="F32" s="278" t="s">
        <v>153</v>
      </c>
      <c r="G32" s="638" t="s">
        <v>153</v>
      </c>
      <c r="H32" s="287" t="s">
        <v>153</v>
      </c>
      <c r="I32" s="639"/>
      <c r="J32" s="639"/>
    </row>
    <row r="33" spans="1:10" s="200" customFormat="1" ht="24.75" customHeight="1" thickBot="1">
      <c r="A33" s="354" t="s">
        <v>381</v>
      </c>
      <c r="B33" s="524">
        <v>11907.593879919999</v>
      </c>
      <c r="C33" s="249">
        <v>2995.003016124725</v>
      </c>
      <c r="D33" s="524">
        <v>16018.89602959</v>
      </c>
      <c r="E33" s="249">
        <v>3935.7423302893649</v>
      </c>
      <c r="F33" s="524">
        <v>27926.489909520002</v>
      </c>
      <c r="G33" s="645">
        <v>1</v>
      </c>
      <c r="H33" s="619">
        <v>3470.8847634434983</v>
      </c>
      <c r="I33" s="646"/>
      <c r="J33" s="646"/>
    </row>
    <row r="34" spans="1:10" ht="20" customHeight="1">
      <c r="A34" s="189" t="s">
        <v>346</v>
      </c>
      <c r="B34" s="365"/>
      <c r="C34" s="301"/>
      <c r="D34" s="365"/>
      <c r="E34" s="301"/>
      <c r="F34" s="365"/>
    </row>
    <row r="35" spans="1:10" ht="12.75" customHeight="1">
      <c r="A35" s="219"/>
      <c r="B35" s="366"/>
      <c r="C35" s="218"/>
      <c r="D35" s="366"/>
      <c r="E35" s="218"/>
      <c r="F35" s="366"/>
    </row>
    <row r="36" spans="1:10" ht="16.5" customHeight="1">
      <c r="A36" s="219" t="s">
        <v>1880</v>
      </c>
      <c r="B36" s="366"/>
      <c r="C36" s="218"/>
      <c r="D36" s="366"/>
      <c r="E36" s="218"/>
      <c r="F36" s="366"/>
    </row>
    <row r="37" spans="1:10" ht="14.25" customHeight="1">
      <c r="A37" s="219"/>
      <c r="B37" s="366"/>
      <c r="C37" s="218"/>
      <c r="D37" s="366"/>
      <c r="E37" s="218"/>
      <c r="F37" s="366"/>
    </row>
    <row r="38" spans="1:10" ht="13.5" customHeight="1">
      <c r="A38" s="219" t="s">
        <v>542</v>
      </c>
      <c r="B38" s="366"/>
      <c r="C38" s="218"/>
      <c r="D38" s="366"/>
      <c r="E38" s="218"/>
      <c r="F38" s="366"/>
    </row>
    <row r="39" spans="1:10" ht="12" customHeight="1">
      <c r="A39" s="219"/>
      <c r="B39" s="366"/>
      <c r="C39" s="218"/>
      <c r="D39" s="366"/>
      <c r="E39" s="218"/>
      <c r="F39" s="366"/>
    </row>
    <row r="40" spans="1:10" ht="14.25" customHeight="1">
      <c r="A40" s="219"/>
      <c r="B40" s="366"/>
      <c r="C40" s="218"/>
      <c r="D40" s="366"/>
      <c r="E40" s="218"/>
      <c r="F40" s="366"/>
    </row>
    <row r="41" spans="1:10" ht="15.75" customHeight="1">
      <c r="A41" s="219" t="s">
        <v>302</v>
      </c>
      <c r="B41" s="366"/>
      <c r="C41" s="218"/>
      <c r="D41" s="366"/>
      <c r="E41" s="218"/>
      <c r="F41" s="366"/>
    </row>
    <row r="42" spans="1:10" ht="18" customHeight="1">
      <c r="A42"/>
    </row>
    <row r="43" spans="1:10" ht="30" customHeight="1"/>
    <row r="44" spans="1:10" ht="30" customHeight="1">
      <c r="H44" s="647"/>
    </row>
    <row r="45" spans="1:10" ht="30" customHeight="1"/>
    <row r="46" spans="1:10" ht="30" customHeight="1"/>
    <row r="47" spans="1:10" ht="30" customHeight="1"/>
    <row r="48" spans="1:10" ht="30" customHeight="1"/>
    <row r="49" ht="30" customHeight="1"/>
    <row r="50" ht="30" customHeight="1"/>
  </sheetData>
  <mergeCells count="3">
    <mergeCell ref="B3:C3"/>
    <mergeCell ref="D3:E3"/>
    <mergeCell ref="F3:H3"/>
  </mergeCells>
  <pageMargins left="0.46" right="0.43" top="0.6692913385826772" bottom="0.47244094488188981" header="0.43307086614173229" footer="0.51181102362204722"/>
  <pageSetup paperSize="9" scale="74" orientation="portrait"/>
  <headerFooter alignWithMargins="0"/>
  <rowBreaks count="1" manualBreakCount="1">
    <brk id="41"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06992-AF48-0F4C-AD03-B42C572262BF}">
  <dimension ref="A1:G44"/>
  <sheetViews>
    <sheetView zoomScaleNormal="100" workbookViewId="0">
      <selection activeCell="C4" sqref="C4"/>
    </sheetView>
  </sheetViews>
  <sheetFormatPr baseColWidth="10" defaultColWidth="11.3984375" defaultRowHeight="13"/>
  <cols>
    <col min="1" max="5" width="19.796875" style="3" customWidth="1"/>
    <col min="6" max="6" width="11.3984375" style="3"/>
    <col min="7" max="7" width="15.19921875" style="3" hidden="1" customWidth="1"/>
    <col min="8" max="16384" width="11.3984375" style="3"/>
  </cols>
  <sheetData>
    <row r="1" spans="1:7" s="1" customFormat="1" ht="14" customHeight="1"/>
    <row r="2" spans="1:7" s="1" customFormat="1" ht="28" customHeight="1">
      <c r="A2" s="311" t="s">
        <v>538</v>
      </c>
      <c r="E2" s="311">
        <v>2013</v>
      </c>
    </row>
    <row r="3" spans="1:7" ht="27" customHeight="1">
      <c r="A3" s="224" t="s">
        <v>67</v>
      </c>
      <c r="B3" s="267" t="s">
        <v>495</v>
      </c>
      <c r="C3" s="268" t="s">
        <v>496</v>
      </c>
      <c r="D3" s="267" t="s">
        <v>497</v>
      </c>
      <c r="E3" s="268" t="s">
        <v>381</v>
      </c>
    </row>
    <row r="4" spans="1:7" ht="21" customHeight="1">
      <c r="A4" s="306"/>
      <c r="B4" s="270"/>
      <c r="C4" s="271"/>
      <c r="D4" s="332"/>
      <c r="E4" s="271"/>
    </row>
    <row r="5" spans="1:7" ht="21" customHeight="1">
      <c r="A5" s="306"/>
      <c r="B5" s="270" t="s">
        <v>499</v>
      </c>
      <c r="C5" s="271" t="s">
        <v>500</v>
      </c>
      <c r="D5" s="270" t="s">
        <v>501</v>
      </c>
      <c r="E5" s="271"/>
    </row>
    <row r="6" spans="1:7" ht="24" customHeight="1">
      <c r="A6" s="307"/>
      <c r="B6" s="229"/>
      <c r="C6" s="307"/>
      <c r="D6" s="229"/>
      <c r="E6" s="275"/>
    </row>
    <row r="7" spans="1:7" ht="30" customHeight="1" thickBot="1">
      <c r="A7" s="334" t="s">
        <v>502</v>
      </c>
      <c r="B7" s="370">
        <v>281133813.37</v>
      </c>
      <c r="C7" s="371">
        <v>133807694.04000001</v>
      </c>
      <c r="D7" s="370">
        <v>3835291084.8999996</v>
      </c>
      <c r="E7" s="371">
        <v>4250232592.3800001</v>
      </c>
      <c r="G7" s="6">
        <v>2156035045</v>
      </c>
    </row>
    <row r="8" spans="1:7" ht="20" customHeight="1" thickBot="1">
      <c r="A8" s="339" t="s">
        <v>503</v>
      </c>
      <c r="B8" s="349">
        <v>154096860.42000002</v>
      </c>
      <c r="C8" s="350">
        <v>87112871.609999999</v>
      </c>
      <c r="D8" s="349">
        <v>2784679163.6300001</v>
      </c>
      <c r="E8" s="350">
        <v>3025888895.6100001</v>
      </c>
      <c r="G8" s="6">
        <v>1563935884</v>
      </c>
    </row>
    <row r="9" spans="1:7" ht="20" customHeight="1" thickBot="1">
      <c r="A9" s="339" t="s">
        <v>504</v>
      </c>
      <c r="B9" s="349">
        <v>64063604</v>
      </c>
      <c r="C9" s="350">
        <v>33215568.530000001</v>
      </c>
      <c r="D9" s="349">
        <v>916386816.52999997</v>
      </c>
      <c r="E9" s="350">
        <v>1013665989.03</v>
      </c>
      <c r="G9" s="6">
        <v>464604355</v>
      </c>
    </row>
    <row r="10" spans="1:7" ht="20" customHeight="1" thickBot="1">
      <c r="A10" s="339" t="s">
        <v>505</v>
      </c>
      <c r="B10" s="349">
        <v>4764655.29</v>
      </c>
      <c r="C10" s="350">
        <v>2660510.4899999998</v>
      </c>
      <c r="D10" s="349">
        <v>77964903.650000006</v>
      </c>
      <c r="E10" s="350">
        <v>85390069.480000004</v>
      </c>
      <c r="G10" s="6">
        <v>45901795</v>
      </c>
    </row>
    <row r="11" spans="1:7" ht="20" customHeight="1" thickBot="1">
      <c r="A11" s="339" t="s">
        <v>506</v>
      </c>
      <c r="B11" s="349">
        <v>27727592.390000001</v>
      </c>
      <c r="C11" s="350">
        <v>11723794.759999998</v>
      </c>
      <c r="D11" s="349">
        <v>347463980.13</v>
      </c>
      <c r="E11" s="350">
        <v>386915367.30000001</v>
      </c>
      <c r="G11" s="6">
        <v>171549320</v>
      </c>
    </row>
    <row r="12" spans="1:7" ht="20" customHeight="1" thickBot="1">
      <c r="A12" s="339" t="s">
        <v>507</v>
      </c>
      <c r="B12" s="349">
        <v>6564243.9799999995</v>
      </c>
      <c r="C12" s="350">
        <v>2661964.7800000003</v>
      </c>
      <c r="D12" s="349">
        <v>84307726.049999997</v>
      </c>
      <c r="E12" s="350">
        <v>93533934.849999994</v>
      </c>
      <c r="G12" s="6">
        <v>41764939</v>
      </c>
    </row>
    <row r="13" spans="1:7" ht="20" customHeight="1" thickBot="1">
      <c r="A13" s="339" t="s">
        <v>508</v>
      </c>
      <c r="B13" s="349">
        <v>5622400.7299999995</v>
      </c>
      <c r="C13" s="350">
        <v>2654701.6500000004</v>
      </c>
      <c r="D13" s="349">
        <v>95393548.879999995</v>
      </c>
      <c r="E13" s="350">
        <v>103670651.27000001</v>
      </c>
      <c r="G13" s="6">
        <v>44323506</v>
      </c>
    </row>
    <row r="14" spans="1:7" ht="20" customHeight="1" thickBot="1">
      <c r="A14" s="339" t="s">
        <v>509</v>
      </c>
      <c r="B14" s="349">
        <v>6266997.1100000003</v>
      </c>
      <c r="C14" s="350">
        <v>3817178.84</v>
      </c>
      <c r="D14" s="349">
        <v>93616829.510000005</v>
      </c>
      <c r="E14" s="350">
        <v>103701005.44</v>
      </c>
      <c r="G14" s="6">
        <v>55927154</v>
      </c>
    </row>
    <row r="15" spans="1:7" ht="20" customHeight="1" thickBot="1">
      <c r="A15" s="339" t="s">
        <v>510</v>
      </c>
      <c r="B15" s="349">
        <v>18657436.18</v>
      </c>
      <c r="C15" s="350">
        <v>9254828.0500000007</v>
      </c>
      <c r="D15" s="349">
        <v>261078510.63</v>
      </c>
      <c r="E15" s="350">
        <v>288990774.89000005</v>
      </c>
      <c r="G15" s="6">
        <v>128772453</v>
      </c>
    </row>
    <row r="16" spans="1:7" ht="20" customHeight="1" thickBot="1">
      <c r="A16" s="339" t="s">
        <v>511</v>
      </c>
      <c r="B16" s="349">
        <v>61334942.909999996</v>
      </c>
      <c r="C16" s="350">
        <v>28373805.219999999</v>
      </c>
      <c r="D16" s="349">
        <v>747000868.97000003</v>
      </c>
      <c r="E16" s="350">
        <v>836709617.05999994</v>
      </c>
      <c r="G16" s="6">
        <v>391250033</v>
      </c>
    </row>
    <row r="17" spans="1:7" ht="20" customHeight="1" thickBot="1">
      <c r="A17" s="339" t="s">
        <v>512</v>
      </c>
      <c r="B17" s="349">
        <v>45317725.149999999</v>
      </c>
      <c r="C17" s="350">
        <v>24623410.080000002</v>
      </c>
      <c r="D17" s="349">
        <v>698489987.68999994</v>
      </c>
      <c r="E17" s="350">
        <v>768431122.93000007</v>
      </c>
      <c r="G17" s="6">
        <v>393696828</v>
      </c>
    </row>
    <row r="18" spans="1:7" ht="20" customHeight="1" thickBot="1">
      <c r="A18" s="339" t="s">
        <v>513</v>
      </c>
      <c r="B18" s="349">
        <v>38343990.420000002</v>
      </c>
      <c r="C18" s="350">
        <v>19352370.07</v>
      </c>
      <c r="D18" s="349">
        <v>672556599.62</v>
      </c>
      <c r="E18" s="350">
        <v>730252960.11000001</v>
      </c>
      <c r="G18" s="6">
        <v>473520714</v>
      </c>
    </row>
    <row r="19" spans="1:7" ht="20" customHeight="1" thickBot="1">
      <c r="A19" s="339" t="s">
        <v>514</v>
      </c>
      <c r="B19" s="349">
        <v>55121125.909999996</v>
      </c>
      <c r="C19" s="350">
        <v>27531468.550000001</v>
      </c>
      <c r="D19" s="349">
        <v>828689612.37</v>
      </c>
      <c r="E19" s="350">
        <v>911342206.80999994</v>
      </c>
      <c r="G19" s="6">
        <v>469771093</v>
      </c>
    </row>
    <row r="20" spans="1:7" ht="20" customHeight="1" thickBot="1">
      <c r="A20" s="339" t="s">
        <v>515</v>
      </c>
      <c r="B20" s="349">
        <v>10947449.27</v>
      </c>
      <c r="C20" s="350">
        <v>6601435.3900000006</v>
      </c>
      <c r="D20" s="349">
        <v>206098214.38999999</v>
      </c>
      <c r="E20" s="350">
        <v>223647099.06</v>
      </c>
      <c r="G20" s="6">
        <v>127694959</v>
      </c>
    </row>
    <row r="21" spans="1:7" ht="20" customHeight="1" thickBot="1">
      <c r="A21" s="339" t="s">
        <v>516</v>
      </c>
      <c r="B21" s="349">
        <v>8091156.75</v>
      </c>
      <c r="C21" s="350">
        <v>5041161.4000000004</v>
      </c>
      <c r="D21" s="349">
        <v>123426934.41</v>
      </c>
      <c r="E21" s="350">
        <v>136559252.59999999</v>
      </c>
      <c r="G21" s="6">
        <v>69489100</v>
      </c>
    </row>
    <row r="22" spans="1:7" ht="20" customHeight="1" thickBot="1">
      <c r="A22" s="339" t="s">
        <v>517</v>
      </c>
      <c r="B22" s="349">
        <v>1998686.3399999999</v>
      </c>
      <c r="C22" s="350">
        <v>1033687.94</v>
      </c>
      <c r="D22" s="349">
        <v>30021006.23</v>
      </c>
      <c r="E22" s="350">
        <v>33053380.449999999</v>
      </c>
      <c r="G22" s="6">
        <v>16712649</v>
      </c>
    </row>
    <row r="23" spans="1:7" ht="20" customHeight="1" thickBot="1">
      <c r="A23" s="339" t="s">
        <v>518</v>
      </c>
      <c r="B23" s="349">
        <v>84509683.24000001</v>
      </c>
      <c r="C23" s="350">
        <v>43140630.319999993</v>
      </c>
      <c r="D23" s="349">
        <v>1151164799.5500002</v>
      </c>
      <c r="E23" s="350">
        <v>1278815113.1299999</v>
      </c>
      <c r="G23" s="6">
        <v>615853738</v>
      </c>
    </row>
    <row r="24" spans="1:7" ht="20" customHeight="1" thickBot="1">
      <c r="A24" s="339" t="s">
        <v>519</v>
      </c>
      <c r="B24" s="349">
        <v>31802726.199999999</v>
      </c>
      <c r="C24" s="350">
        <v>15159714.989999998</v>
      </c>
      <c r="D24" s="349">
        <v>458643294.94000006</v>
      </c>
      <c r="E24" s="350">
        <v>505605736.15000004</v>
      </c>
      <c r="G24" s="6">
        <v>264690646</v>
      </c>
    </row>
    <row r="25" spans="1:7" ht="20" customHeight="1" thickBot="1">
      <c r="A25" s="339" t="s">
        <v>520</v>
      </c>
      <c r="B25" s="349">
        <v>122994147.05</v>
      </c>
      <c r="C25" s="350">
        <v>61881586.659999996</v>
      </c>
      <c r="D25" s="349">
        <v>1585883519.05</v>
      </c>
      <c r="E25" s="350">
        <v>1770759252.71</v>
      </c>
      <c r="G25" s="6">
        <v>819222625</v>
      </c>
    </row>
    <row r="26" spans="1:7" ht="20" customHeight="1" thickBot="1">
      <c r="A26" s="339" t="s">
        <v>521</v>
      </c>
      <c r="B26" s="349">
        <v>47125723.950000003</v>
      </c>
      <c r="C26" s="350">
        <v>24703472.629999999</v>
      </c>
      <c r="D26" s="349">
        <v>591548805.00999999</v>
      </c>
      <c r="E26" s="350">
        <v>663378001.57999992</v>
      </c>
      <c r="G26" s="6">
        <v>344655658</v>
      </c>
    </row>
    <row r="27" spans="1:7" ht="20" customHeight="1" thickBot="1">
      <c r="A27" s="339" t="s">
        <v>522</v>
      </c>
      <c r="B27" s="349">
        <v>60026473.170000002</v>
      </c>
      <c r="C27" s="350">
        <v>22097544</v>
      </c>
      <c r="D27" s="349">
        <v>1005630329.6000001</v>
      </c>
      <c r="E27" s="350">
        <v>1087754346.8200002</v>
      </c>
      <c r="G27" s="6">
        <v>627641817</v>
      </c>
    </row>
    <row r="28" spans="1:7" ht="20" customHeight="1" thickBot="1">
      <c r="A28" s="339" t="s">
        <v>523</v>
      </c>
      <c r="B28" s="349">
        <v>174929751.71000001</v>
      </c>
      <c r="C28" s="350">
        <v>73861734.860000014</v>
      </c>
      <c r="D28" s="349">
        <v>2172532227.3299999</v>
      </c>
      <c r="E28" s="350">
        <v>2421323713.8599997</v>
      </c>
      <c r="G28" s="6">
        <v>1280335377</v>
      </c>
    </row>
    <row r="29" spans="1:7" ht="20" customHeight="1" thickBot="1">
      <c r="A29" s="339" t="s">
        <v>524</v>
      </c>
      <c r="B29" s="349">
        <v>56718881.340000004</v>
      </c>
      <c r="C29" s="350">
        <v>26915873.18</v>
      </c>
      <c r="D29" s="349">
        <v>806525882.95999992</v>
      </c>
      <c r="E29" s="350">
        <v>890160637.50999999</v>
      </c>
      <c r="G29" s="6">
        <v>410743307</v>
      </c>
    </row>
    <row r="30" spans="1:7" ht="20" customHeight="1" thickBot="1">
      <c r="A30" s="339" t="s">
        <v>525</v>
      </c>
      <c r="B30" s="349">
        <v>34692318.449999996</v>
      </c>
      <c r="C30" s="350">
        <v>14758855.920000002</v>
      </c>
      <c r="D30" s="349">
        <v>503462068.63999999</v>
      </c>
      <c r="E30" s="350">
        <v>552913242.97000003</v>
      </c>
      <c r="G30" s="6">
        <v>318756043</v>
      </c>
    </row>
    <row r="31" spans="1:7" ht="20" customHeight="1" thickBot="1">
      <c r="A31" s="339" t="s">
        <v>526</v>
      </c>
      <c r="B31" s="349">
        <v>122183458.32000001</v>
      </c>
      <c r="C31" s="350">
        <v>54425511.400000006</v>
      </c>
      <c r="D31" s="349">
        <v>1467155128.6599998</v>
      </c>
      <c r="E31" s="350">
        <v>1643764098.3200002</v>
      </c>
      <c r="G31" s="6">
        <v>966736347</v>
      </c>
    </row>
    <row r="32" spans="1:7" ht="20" customHeight="1" thickBot="1">
      <c r="A32" s="234" t="s">
        <v>527</v>
      </c>
      <c r="B32" s="349">
        <v>13383558.67</v>
      </c>
      <c r="C32" s="350">
        <v>5617618</v>
      </c>
      <c r="D32" s="349">
        <v>201361030.72</v>
      </c>
      <c r="E32" s="350">
        <v>220362207.39000002</v>
      </c>
      <c r="G32" s="6">
        <v>146808815</v>
      </c>
    </row>
    <row r="33" spans="1:7" ht="20" customHeight="1" thickBot="1">
      <c r="A33" s="297" t="s">
        <v>528</v>
      </c>
      <c r="B33" s="349">
        <v>535542.09</v>
      </c>
      <c r="C33" s="350">
        <v>295439.04000000004</v>
      </c>
      <c r="D33" s="349">
        <v>3769986.0200000005</v>
      </c>
      <c r="E33" s="350">
        <v>4600967.1399999997</v>
      </c>
      <c r="G33" s="6">
        <v>966736347</v>
      </c>
    </row>
    <row r="34" spans="1:7" ht="0.5" customHeight="1" thickBot="1">
      <c r="A34" s="234" t="s">
        <v>529</v>
      </c>
      <c r="B34" s="349">
        <v>0</v>
      </c>
      <c r="C34" s="350">
        <v>0</v>
      </c>
      <c r="D34" s="349">
        <v>0</v>
      </c>
      <c r="E34" s="350" t="e">
        <v>#VALUE!</v>
      </c>
      <c r="G34" s="6">
        <v>146808815</v>
      </c>
    </row>
    <row r="35" spans="1:7" ht="30" customHeight="1" thickBot="1">
      <c r="A35" s="354" t="s">
        <v>530</v>
      </c>
      <c r="B35" s="372">
        <v>1538954944.2399998</v>
      </c>
      <c r="C35" s="373">
        <v>742324432.3499999</v>
      </c>
      <c r="D35" s="372">
        <v>21750142860.199997</v>
      </c>
      <c r="E35" s="373">
        <v>24031422236.800003</v>
      </c>
      <c r="G35" s="6">
        <v>12410394200</v>
      </c>
    </row>
    <row r="36" spans="1:7" ht="20" customHeight="1">
      <c r="A36" s="189" t="s">
        <v>346</v>
      </c>
      <c r="B36" s="189"/>
      <c r="C36" s="189"/>
      <c r="D36" s="189"/>
      <c r="E36" s="189"/>
    </row>
    <row r="37" spans="1:7" ht="12.75" customHeight="1">
      <c r="A37" s="219"/>
      <c r="B37" s="219"/>
      <c r="C37" s="219"/>
      <c r="D37" s="219"/>
      <c r="E37" s="219"/>
    </row>
    <row r="38" spans="1:7" ht="14.25" customHeight="1">
      <c r="A38" s="219" t="s">
        <v>539</v>
      </c>
      <c r="B38" s="219"/>
      <c r="C38" s="219"/>
      <c r="D38" s="219"/>
      <c r="E38" s="219"/>
    </row>
    <row r="39" spans="1:7" ht="10.5" customHeight="1">
      <c r="A39" s="219"/>
      <c r="B39" s="219"/>
      <c r="C39" s="219"/>
      <c r="D39" s="219"/>
      <c r="E39" s="219"/>
    </row>
    <row r="40" spans="1:7" ht="15" customHeight="1">
      <c r="A40" s="219" t="s">
        <v>532</v>
      </c>
      <c r="B40" s="219"/>
      <c r="C40" s="219"/>
      <c r="D40" s="219"/>
      <c r="E40" s="219"/>
    </row>
    <row r="41" spans="1:7" ht="13.5" customHeight="1">
      <c r="A41" s="219" t="s">
        <v>533</v>
      </c>
    </row>
    <row r="42" spans="1:7" ht="12" customHeight="1"/>
    <row r="43" spans="1:7" ht="12" customHeight="1"/>
    <row r="44" spans="1:7" ht="12" customHeight="1">
      <c r="A44" s="219" t="s">
        <v>302</v>
      </c>
    </row>
  </sheetData>
  <pageMargins left="0.6" right="0.59" top="0.76" bottom="0.49" header="0.35" footer="0.4921259845"/>
  <pageSetup paperSize="9" scale="80" orientation="portrait" horizontalDpi="4294967292" verticalDpi="4294967292"/>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6CCD9-4F18-7342-B27B-B6469177B56D}">
  <sheetPr>
    <pageSetUpPr fitToPage="1"/>
  </sheetPr>
  <dimension ref="A1:G52"/>
  <sheetViews>
    <sheetView zoomScaleNormal="100" workbookViewId="0"/>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1" customFormat="1" ht="14" customHeight="1">
      <c r="A1" s="191"/>
      <c r="B1" s="191"/>
      <c r="C1" s="191"/>
      <c r="D1" s="191"/>
      <c r="E1" s="191"/>
      <c r="F1" s="191"/>
    </row>
    <row r="2" spans="1:7" s="1" customFormat="1" ht="20.25" customHeight="1">
      <c r="A2" s="464" t="s">
        <v>1596</v>
      </c>
      <c r="B2" s="464"/>
      <c r="C2" s="191"/>
      <c r="D2" s="191"/>
      <c r="E2" s="191"/>
      <c r="F2" s="569">
        <v>2013</v>
      </c>
      <c r="G2" s="569"/>
    </row>
    <row r="3" spans="1:7" s="1" customFormat="1" ht="7.75" customHeight="1">
      <c r="A3" s="570"/>
      <c r="B3" s="570"/>
      <c r="C3" s="571"/>
      <c r="D3" s="571"/>
      <c r="E3" s="571"/>
      <c r="F3" s="571"/>
      <c r="G3" s="198"/>
    </row>
    <row r="4" spans="1:7" s="1" customFormat="1" ht="81.75" customHeight="1">
      <c r="A4" s="572" t="s">
        <v>1008</v>
      </c>
      <c r="B4" s="573"/>
      <c r="C4" s="574" t="s">
        <v>1203</v>
      </c>
      <c r="D4" s="575" t="s">
        <v>1597</v>
      </c>
      <c r="E4" s="574" t="s">
        <v>1204</v>
      </c>
      <c r="F4" s="576" t="s">
        <v>498</v>
      </c>
    </row>
    <row r="5" spans="1:7" ht="8.25" customHeight="1">
      <c r="A5" s="577"/>
      <c r="B5" s="578"/>
      <c r="C5" s="545"/>
      <c r="D5" s="544"/>
      <c r="E5" s="545"/>
      <c r="F5" s="544"/>
    </row>
    <row r="6" spans="1:7" ht="47.25" customHeight="1" thickBot="1">
      <c r="A6" s="579" t="s">
        <v>1012</v>
      </c>
      <c r="B6" s="580" t="s">
        <v>1013</v>
      </c>
      <c r="C6" s="581">
        <v>1180.0271917037248</v>
      </c>
      <c r="D6" s="389">
        <v>2089.6742031300482</v>
      </c>
      <c r="E6" s="581">
        <v>7185.1113354178142</v>
      </c>
      <c r="F6" s="389">
        <v>5237.0140819410281</v>
      </c>
    </row>
    <row r="7" spans="1:7" ht="19.5" customHeight="1" thickBot="1">
      <c r="A7" s="234"/>
      <c r="B7" s="582"/>
      <c r="C7" s="583"/>
      <c r="D7" s="584"/>
      <c r="E7" s="583"/>
      <c r="F7" s="584"/>
    </row>
    <row r="8" spans="1:7" ht="22.5" customHeight="1" thickBot="1">
      <c r="A8" s="585" t="s">
        <v>1014</v>
      </c>
      <c r="B8" s="586" t="s">
        <v>1015</v>
      </c>
      <c r="C8" s="583">
        <v>1015.8012752506118</v>
      </c>
      <c r="D8" s="584">
        <v>1570.1819524263612</v>
      </c>
      <c r="E8" s="583">
        <v>5512.2679672386203</v>
      </c>
      <c r="F8" s="584">
        <v>5414.793425819068</v>
      </c>
    </row>
    <row r="9" spans="1:7" ht="20" customHeight="1" thickBot="1">
      <c r="A9" s="587" t="s">
        <v>1016</v>
      </c>
      <c r="B9" s="586" t="s">
        <v>1017</v>
      </c>
      <c r="C9" s="583">
        <v>931.65227123309785</v>
      </c>
      <c r="D9" s="584">
        <v>834.35431505205781</v>
      </c>
      <c r="E9" s="583">
        <v>2553.5313445577276</v>
      </c>
      <c r="F9" s="584">
        <v>2229.017616959266</v>
      </c>
    </row>
    <row r="10" spans="1:7" ht="20" customHeight="1" thickBot="1">
      <c r="A10" s="587" t="s">
        <v>1018</v>
      </c>
      <c r="B10" s="586" t="s">
        <v>1019</v>
      </c>
      <c r="C10" s="583">
        <v>888.50785171127529</v>
      </c>
      <c r="D10" s="584">
        <v>440.88123502979988</v>
      </c>
      <c r="E10" s="583">
        <v>1495.1286705251146</v>
      </c>
      <c r="F10" s="584">
        <v>1408.3223270800145</v>
      </c>
    </row>
    <row r="11" spans="1:7" ht="20" customHeight="1" thickBot="1">
      <c r="A11" s="587"/>
      <c r="B11" s="586" t="s">
        <v>1020</v>
      </c>
      <c r="C11" s="583">
        <v>677.12017828473222</v>
      </c>
      <c r="D11" s="584">
        <v>335.09317136285222</v>
      </c>
      <c r="E11" s="583">
        <v>921.9889443939353</v>
      </c>
      <c r="F11" s="584">
        <v>830.6162574854668</v>
      </c>
    </row>
    <row r="12" spans="1:7" ht="20" customHeight="1" thickBot="1">
      <c r="A12" s="587"/>
      <c r="B12" s="586" t="s">
        <v>1021</v>
      </c>
      <c r="C12" s="583">
        <v>539.62529219356475</v>
      </c>
      <c r="D12" s="584">
        <v>353.70080386998171</v>
      </c>
      <c r="E12" s="583">
        <v>741.49236382395441</v>
      </c>
      <c r="F12" s="584">
        <v>702.83172122759868</v>
      </c>
    </row>
    <row r="13" spans="1:7" ht="20" customHeight="1" thickBot="1">
      <c r="A13" s="587"/>
      <c r="B13" s="586" t="s">
        <v>1022</v>
      </c>
      <c r="C13" s="583">
        <v>453.70714969878156</v>
      </c>
      <c r="D13" s="390" t="s">
        <v>153</v>
      </c>
      <c r="E13" s="588" t="s">
        <v>153</v>
      </c>
      <c r="F13" s="584">
        <v>453.70714969878156</v>
      </c>
    </row>
    <row r="14" spans="1:7" ht="20" customHeight="1" thickBot="1">
      <c r="A14" s="589"/>
      <c r="B14" s="586" t="s">
        <v>381</v>
      </c>
      <c r="C14" s="583">
        <v>719.35403817700626</v>
      </c>
      <c r="D14" s="584">
        <v>597.27639142698854</v>
      </c>
      <c r="E14" s="583">
        <v>3111.6992772093122</v>
      </c>
      <c r="F14" s="584">
        <v>2887.1164268811067</v>
      </c>
    </row>
    <row r="15" spans="1:7" ht="18.75" customHeight="1" thickBot="1">
      <c r="A15" s="509"/>
      <c r="B15" s="590"/>
      <c r="C15" s="583"/>
      <c r="D15" s="584"/>
      <c r="E15" s="583"/>
      <c r="F15" s="584"/>
    </row>
    <row r="16" spans="1:7" ht="20" customHeight="1" thickBot="1">
      <c r="A16" s="509" t="s">
        <v>988</v>
      </c>
      <c r="B16" s="590"/>
      <c r="C16" s="583">
        <v>367.98333333333335</v>
      </c>
      <c r="D16" s="584">
        <v>1278.5464952801767</v>
      </c>
      <c r="E16" s="583">
        <v>1646.152079775102</v>
      </c>
      <c r="F16" s="584">
        <v>1633.811922588872</v>
      </c>
    </row>
    <row r="17" spans="1:6" ht="20.25" customHeight="1" thickBot="1">
      <c r="A17" s="509"/>
      <c r="B17" s="590"/>
      <c r="C17" s="583"/>
      <c r="D17" s="584"/>
      <c r="E17" s="583"/>
      <c r="F17" s="584"/>
    </row>
    <row r="18" spans="1:6" ht="58.5" customHeight="1" thickBot="1">
      <c r="A18" s="585" t="s">
        <v>1157</v>
      </c>
      <c r="B18" s="586" t="s">
        <v>1013</v>
      </c>
      <c r="C18" s="583">
        <v>981.48156678988062</v>
      </c>
      <c r="D18" s="584">
        <v>1675.1411455371183</v>
      </c>
      <c r="E18" s="583">
        <v>4895.4316873281768</v>
      </c>
      <c r="F18" s="584">
        <v>3158.9314500277269</v>
      </c>
    </row>
    <row r="19" spans="1:6" ht="20" customHeight="1" thickBot="1">
      <c r="A19" s="354"/>
      <c r="B19" s="586" t="s">
        <v>1015</v>
      </c>
      <c r="C19" s="583">
        <v>237.64248208080915</v>
      </c>
      <c r="D19" s="584">
        <v>1264.8689994010626</v>
      </c>
      <c r="E19" s="583">
        <v>3246.5284118640757</v>
      </c>
      <c r="F19" s="584">
        <v>3092.5579987563833</v>
      </c>
    </row>
    <row r="20" spans="1:6" ht="20" customHeight="1" thickBot="1">
      <c r="A20" s="354"/>
      <c r="B20" s="586" t="s">
        <v>1017</v>
      </c>
      <c r="C20" s="583">
        <v>727.53010456918798</v>
      </c>
      <c r="D20" s="584">
        <v>539.34528959605564</v>
      </c>
      <c r="E20" s="583">
        <v>1389.9621593038078</v>
      </c>
      <c r="F20" s="584">
        <v>1230.403400158023</v>
      </c>
    </row>
    <row r="21" spans="1:6" ht="20" customHeight="1" thickBot="1">
      <c r="A21" s="354"/>
      <c r="B21" s="586" t="s">
        <v>1019</v>
      </c>
      <c r="C21" s="583">
        <v>547.51005826892538</v>
      </c>
      <c r="D21" s="584">
        <v>334.42150764400304</v>
      </c>
      <c r="E21" s="583">
        <v>861.00696858745857</v>
      </c>
      <c r="F21" s="584">
        <v>784.03231764858515</v>
      </c>
    </row>
    <row r="22" spans="1:6" ht="20" customHeight="1" thickBot="1">
      <c r="A22" s="354"/>
      <c r="B22" s="586" t="s">
        <v>1020</v>
      </c>
      <c r="C22" s="583">
        <v>451.37877720026722</v>
      </c>
      <c r="D22" s="584">
        <v>214.19489309779016</v>
      </c>
      <c r="E22" s="583">
        <v>555.91181104989437</v>
      </c>
      <c r="F22" s="584">
        <v>505.0338178543139</v>
      </c>
    </row>
    <row r="23" spans="1:6" ht="20" customHeight="1" thickBot="1">
      <c r="A23" s="354"/>
      <c r="B23" s="586" t="s">
        <v>1021</v>
      </c>
      <c r="C23" s="583">
        <v>386.06529752035544</v>
      </c>
      <c r="D23" s="584">
        <v>192.85704122679408</v>
      </c>
      <c r="E23" s="583">
        <v>458.70837737215913</v>
      </c>
      <c r="F23" s="584">
        <v>427.61500050535818</v>
      </c>
    </row>
    <row r="24" spans="1:6" ht="20" customHeight="1" thickBot="1">
      <c r="A24" s="354"/>
      <c r="B24" s="586" t="s">
        <v>1022</v>
      </c>
      <c r="C24" s="583">
        <v>318.95497679776486</v>
      </c>
      <c r="D24" s="390" t="s">
        <v>153</v>
      </c>
      <c r="E24" s="588" t="s">
        <v>153</v>
      </c>
      <c r="F24" s="584">
        <v>318.95497679776486</v>
      </c>
    </row>
    <row r="25" spans="1:6" ht="20" customHeight="1" thickBot="1">
      <c r="A25" s="354"/>
      <c r="B25" s="586" t="s">
        <v>1024</v>
      </c>
      <c r="C25" s="583">
        <v>941.21283327212609</v>
      </c>
      <c r="D25" s="584">
        <v>924.79005313396283</v>
      </c>
      <c r="E25" s="583">
        <v>2625.0260346318519</v>
      </c>
      <c r="F25" s="584">
        <v>2125.9771485180941</v>
      </c>
    </row>
    <row r="26" spans="1:6" ht="39.75" customHeight="1" thickBot="1">
      <c r="A26" s="591"/>
      <c r="B26" s="592" t="s">
        <v>1025</v>
      </c>
      <c r="C26" s="593">
        <v>996.64005279569813</v>
      </c>
      <c r="D26" s="594">
        <v>906.50108795996698</v>
      </c>
      <c r="E26" s="593">
        <v>2149.5507488117801</v>
      </c>
      <c r="F26" s="594">
        <v>1788.9214113666296</v>
      </c>
    </row>
    <row r="27" spans="1:6" ht="45" customHeight="1" thickBot="1">
      <c r="A27" s="591"/>
      <c r="B27" s="595" t="s">
        <v>1026</v>
      </c>
      <c r="C27" s="593">
        <v>962.49390128764276</v>
      </c>
      <c r="D27" s="594">
        <v>924.4024606490309</v>
      </c>
      <c r="E27" s="593">
        <v>2915.1726985215414</v>
      </c>
      <c r="F27" s="594">
        <v>2348.6841974874874</v>
      </c>
    </row>
    <row r="28" spans="1:6" ht="45" customHeight="1" thickBot="1">
      <c r="A28" s="596"/>
      <c r="B28" s="595" t="s">
        <v>1027</v>
      </c>
      <c r="C28" s="593">
        <v>466.29321686929745</v>
      </c>
      <c r="D28" s="594">
        <v>421.46825008450406</v>
      </c>
      <c r="E28" s="593">
        <v>1285.5505792933227</v>
      </c>
      <c r="F28" s="594">
        <v>1162.7670389785264</v>
      </c>
    </row>
    <row r="29" spans="1:6" ht="15.75" customHeight="1" thickBot="1">
      <c r="A29" s="597"/>
      <c r="B29" s="598"/>
      <c r="C29" s="583"/>
      <c r="D29" s="584"/>
      <c r="E29" s="583"/>
      <c r="F29" s="584"/>
    </row>
    <row r="30" spans="1:6" ht="27.75" customHeight="1" thickBot="1">
      <c r="A30" s="599" t="s">
        <v>1028</v>
      </c>
      <c r="B30" s="600"/>
      <c r="C30" s="601">
        <v>1015.0984077606497</v>
      </c>
      <c r="D30" s="602">
        <v>1107.6824596473953</v>
      </c>
      <c r="E30" s="601">
        <v>3711.8162442760163</v>
      </c>
      <c r="F30" s="602">
        <v>2986.7805605153108</v>
      </c>
    </row>
    <row r="31" spans="1:6" ht="15.75" customHeight="1">
      <c r="A31" s="461" t="s">
        <v>346</v>
      </c>
      <c r="B31" s="461"/>
      <c r="C31" s="461"/>
      <c r="D31" s="461"/>
      <c r="E31" s="461"/>
      <c r="F31" s="461"/>
    </row>
    <row r="32" spans="1:6" ht="13.5" customHeight="1">
      <c r="A32" s="367"/>
      <c r="B32" s="367"/>
      <c r="C32" s="461"/>
      <c r="D32" s="461"/>
      <c r="E32" s="461"/>
      <c r="F32" s="461"/>
    </row>
    <row r="33" spans="1:6" ht="13.5" customHeight="1">
      <c r="A33" s="461" t="s">
        <v>1598</v>
      </c>
      <c r="B33" s="461"/>
      <c r="C33" s="461"/>
      <c r="D33" s="461"/>
      <c r="E33" s="461"/>
      <c r="F33" s="461"/>
    </row>
    <row r="34" spans="1:6" ht="16.5" customHeight="1">
      <c r="A34" s="461"/>
      <c r="B34" s="461"/>
      <c r="C34" s="461"/>
      <c r="D34" s="461"/>
      <c r="E34" s="461"/>
      <c r="F34" s="461"/>
    </row>
    <row r="35" spans="1:6" ht="12" customHeight="1">
      <c r="A35" s="461" t="s">
        <v>1030</v>
      </c>
      <c r="B35" s="461"/>
      <c r="C35" s="63"/>
      <c r="D35" s="63"/>
      <c r="E35" s="63"/>
      <c r="F35" s="63"/>
    </row>
    <row r="36" spans="1:6" ht="12" customHeight="1">
      <c r="A36" s="219" t="s">
        <v>1031</v>
      </c>
      <c r="B36" s="219"/>
    </row>
    <row r="37" spans="1:6" ht="12" customHeight="1">
      <c r="A37" s="219" t="s">
        <v>1599</v>
      </c>
      <c r="B37" s="219"/>
    </row>
    <row r="38" spans="1:6" ht="12" customHeight="1">
      <c r="A38" s="219" t="s">
        <v>1033</v>
      </c>
      <c r="B38" s="219"/>
    </row>
    <row r="39" spans="1:6" ht="12" customHeight="1">
      <c r="A39" s="219" t="s">
        <v>1034</v>
      </c>
      <c r="B39" s="219"/>
    </row>
    <row r="40" spans="1:6" ht="12" customHeight="1">
      <c r="A40" s="219" t="s">
        <v>1035</v>
      </c>
      <c r="B40" s="219"/>
    </row>
    <row r="41" spans="1:6" ht="12" customHeight="1">
      <c r="A41" s="3" t="s">
        <v>1036</v>
      </c>
    </row>
    <row r="42" spans="1:6" ht="12" customHeight="1">
      <c r="A42" s="219" t="s">
        <v>1600</v>
      </c>
    </row>
    <row r="43" spans="1:6" ht="12" customHeight="1"/>
    <row r="44" spans="1:6" ht="12" customHeight="1"/>
    <row r="45" spans="1:6" ht="12" customHeight="1">
      <c r="A45" s="461" t="s">
        <v>302</v>
      </c>
      <c r="B45" s="461"/>
      <c r="C45" s="219"/>
      <c r="D45" s="219"/>
      <c r="E45" s="219"/>
      <c r="F45" s="219"/>
    </row>
    <row r="50" spans="1:7">
      <c r="A50" s="46"/>
      <c r="B50" s="46"/>
      <c r="C50" s="603"/>
      <c r="D50" s="604"/>
      <c r="E50" s="603"/>
      <c r="F50" s="604"/>
      <c r="G50" s="604"/>
    </row>
    <row r="51" spans="1:7">
      <c r="A51" s="605"/>
      <c r="B51" s="605"/>
      <c r="C51" s="605"/>
      <c r="D51" s="606"/>
      <c r="E51" s="605"/>
      <c r="F51" s="607"/>
      <c r="G51" s="17"/>
    </row>
    <row r="52" spans="1:7">
      <c r="A52" s="17"/>
      <c r="B52" s="17"/>
      <c r="C52" s="17"/>
      <c r="D52" s="17"/>
      <c r="E52" s="17"/>
      <c r="F52" s="17"/>
      <c r="G52" s="17"/>
    </row>
  </sheetData>
  <pageMargins left="0.55118110236220474" right="0.45" top="0.59055118110236227" bottom="0.47244094488188981" header="0.43307086614173229" footer="0.31496062992125984"/>
  <pageSetup paperSize="9" scale="67" orientation="portrait"/>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290E6-468B-2544-A896-4C9B02B640E3}">
  <sheetPr>
    <pageSetUpPr fitToPage="1"/>
  </sheetPr>
  <dimension ref="A1:L50"/>
  <sheetViews>
    <sheetView zoomScaleNormal="100" workbookViewId="0">
      <selection activeCell="D4" sqref="D4"/>
    </sheetView>
  </sheetViews>
  <sheetFormatPr baseColWidth="10" defaultColWidth="11.3984375" defaultRowHeight="13"/>
  <cols>
    <col min="1" max="1" width="21.19921875" style="3" customWidth="1"/>
    <col min="2" max="2" width="14.796875" style="369" customWidth="1"/>
    <col min="3" max="3" width="15.3984375" style="245" customWidth="1"/>
    <col min="4" max="4" width="16" style="369" customWidth="1"/>
    <col min="5" max="5" width="15.796875" style="245" customWidth="1"/>
    <col min="6" max="8" width="16" style="369" customWidth="1"/>
    <col min="9" max="9" width="13.59765625" style="3" customWidth="1"/>
    <col min="10" max="10" width="8" style="3" customWidth="1"/>
    <col min="11" max="11" width="7.796875" style="3" customWidth="1"/>
    <col min="12" max="12" width="9" style="3" customWidth="1"/>
    <col min="13" max="16384" width="11.3984375" style="3"/>
  </cols>
  <sheetData>
    <row r="1" spans="1:12" s="1" customFormat="1" ht="18.75" customHeight="1">
      <c r="A1" s="631"/>
      <c r="B1" s="632"/>
      <c r="C1" s="221"/>
      <c r="D1" s="358"/>
      <c r="E1" s="221"/>
      <c r="F1" s="358"/>
      <c r="G1" s="358"/>
      <c r="H1" s="358"/>
    </row>
    <row r="2" spans="1:12" s="1" customFormat="1" ht="25.25" customHeight="1">
      <c r="A2" s="633" t="s">
        <v>1881</v>
      </c>
      <c r="B2" s="360"/>
      <c r="C2" s="360"/>
      <c r="D2" s="360"/>
      <c r="E2" s="360"/>
      <c r="F2" s="569"/>
      <c r="G2" s="569"/>
      <c r="H2" s="569">
        <v>2013</v>
      </c>
    </row>
    <row r="3" spans="1:12" ht="27" customHeight="1">
      <c r="A3" s="224" t="s">
        <v>1049</v>
      </c>
      <c r="B3" s="2013" t="s">
        <v>1050</v>
      </c>
      <c r="C3" s="2014"/>
      <c r="D3" s="2015" t="s">
        <v>1051</v>
      </c>
      <c r="E3" s="2014"/>
      <c r="F3" s="2013" t="s">
        <v>498</v>
      </c>
      <c r="G3" s="2014"/>
      <c r="H3" s="2014"/>
    </row>
    <row r="4" spans="1:12" ht="15" customHeight="1">
      <c r="A4" s="306"/>
      <c r="B4" s="614" t="s">
        <v>843</v>
      </c>
      <c r="C4" s="634" t="s">
        <v>2213</v>
      </c>
      <c r="D4" s="614" t="s">
        <v>843</v>
      </c>
      <c r="E4" s="634" t="s">
        <v>2213</v>
      </c>
      <c r="F4" s="614" t="s">
        <v>843</v>
      </c>
      <c r="G4" s="634" t="s">
        <v>1004</v>
      </c>
      <c r="H4" s="614" t="s">
        <v>2213</v>
      </c>
    </row>
    <row r="5" spans="1:12" ht="15" customHeight="1">
      <c r="A5" s="306"/>
      <c r="B5" s="614"/>
      <c r="C5" s="634" t="s">
        <v>2214</v>
      </c>
      <c r="D5" s="614"/>
      <c r="E5" s="634" t="s">
        <v>2214</v>
      </c>
      <c r="F5" s="614"/>
      <c r="G5" s="634"/>
      <c r="H5" s="614" t="s">
        <v>2214</v>
      </c>
    </row>
    <row r="6" spans="1:12" ht="19.5" customHeight="1">
      <c r="A6" s="307"/>
      <c r="B6" s="362"/>
      <c r="C6" s="635"/>
      <c r="D6" s="362"/>
      <c r="E6" s="635"/>
      <c r="F6" s="362"/>
      <c r="G6" s="636"/>
      <c r="H6" s="362"/>
    </row>
    <row r="7" spans="1:12" ht="30" customHeight="1" thickBot="1">
      <c r="A7" s="334" t="s">
        <v>1052</v>
      </c>
      <c r="B7" s="278">
        <v>294.67451175999997</v>
      </c>
      <c r="C7" s="637">
        <v>1260.6897264922316</v>
      </c>
      <c r="D7" s="278">
        <v>239.16660622000001</v>
      </c>
      <c r="E7" s="637">
        <v>1081.4618930640263</v>
      </c>
      <c r="F7" s="278">
        <v>533.84111794000012</v>
      </c>
      <c r="G7" s="638">
        <v>2.2214295627842485E-2</v>
      </c>
      <c r="H7" s="287">
        <v>1173.5561017513044</v>
      </c>
      <c r="J7" s="639"/>
      <c r="K7" s="639"/>
      <c r="L7" s="639"/>
    </row>
    <row r="8" spans="1:12" ht="20" customHeight="1" thickBot="1">
      <c r="A8" s="339" t="s">
        <v>1053</v>
      </c>
      <c r="B8" s="278">
        <v>178.88499145999998</v>
      </c>
      <c r="C8" s="637">
        <v>889.17796260158605</v>
      </c>
      <c r="D8" s="278">
        <v>133.98470189</v>
      </c>
      <c r="E8" s="637">
        <v>700.10726915023758</v>
      </c>
      <c r="F8" s="278">
        <v>312.86969332000001</v>
      </c>
      <c r="G8" s="638">
        <v>1.3019191716109147E-2</v>
      </c>
      <c r="H8" s="287">
        <v>797.00327625805744</v>
      </c>
      <c r="J8" s="639"/>
      <c r="K8" s="639"/>
      <c r="L8" s="639"/>
    </row>
    <row r="9" spans="1:12" ht="20" customHeight="1" thickBot="1">
      <c r="A9" s="339" t="s">
        <v>1054</v>
      </c>
      <c r="B9" s="278">
        <v>196.44241216</v>
      </c>
      <c r="C9" s="637">
        <v>938.87239655372491</v>
      </c>
      <c r="D9" s="278">
        <v>183.27373148999999</v>
      </c>
      <c r="E9" s="637">
        <v>924.44535159783982</v>
      </c>
      <c r="F9" s="278">
        <v>379.71614363999998</v>
      </c>
      <c r="G9" s="638">
        <v>1.580081860691613E-2</v>
      </c>
      <c r="H9" s="287">
        <v>931.85331029084284</v>
      </c>
      <c r="J9" s="639"/>
      <c r="K9" s="639"/>
      <c r="L9" s="639"/>
    </row>
    <row r="10" spans="1:12" ht="20" customHeight="1" thickBot="1">
      <c r="A10" s="339" t="s">
        <v>1055</v>
      </c>
      <c r="B10" s="278">
        <v>132.94308278</v>
      </c>
      <c r="C10" s="637">
        <v>991.81915722841381</v>
      </c>
      <c r="D10" s="278">
        <v>179.58490676999998</v>
      </c>
      <c r="E10" s="637">
        <v>1413.0447802097933</v>
      </c>
      <c r="F10" s="278">
        <v>312.52798954000002</v>
      </c>
      <c r="G10" s="638">
        <v>1.3004972675029355E-2</v>
      </c>
      <c r="H10" s="287">
        <v>1196.8273838532307</v>
      </c>
      <c r="J10" s="639"/>
      <c r="K10" s="639"/>
      <c r="L10" s="639"/>
    </row>
    <row r="11" spans="1:12" ht="20" customHeight="1" thickBot="1">
      <c r="A11" s="640" t="s">
        <v>1056</v>
      </c>
      <c r="B11" s="641">
        <v>802.94499812999993</v>
      </c>
      <c r="C11" s="642">
        <v>1031.807295631716</v>
      </c>
      <c r="D11" s="641">
        <v>736.00994634999995</v>
      </c>
      <c r="E11" s="642">
        <v>997.47649493990116</v>
      </c>
      <c r="F11" s="641">
        <v>1538.9549444700001</v>
      </c>
      <c r="G11" s="643">
        <v>6.4039278627145479E-2</v>
      </c>
      <c r="H11" s="644">
        <v>1015.0984079123584</v>
      </c>
      <c r="J11" s="639"/>
      <c r="K11" s="639"/>
      <c r="L11" s="639"/>
    </row>
    <row r="12" spans="1:12" ht="20" customHeight="1" thickBot="1">
      <c r="A12" s="339" t="s">
        <v>1057</v>
      </c>
      <c r="B12" s="278">
        <v>65.437562890000009</v>
      </c>
      <c r="C12" s="637">
        <v>723.01698125632424</v>
      </c>
      <c r="D12" s="278">
        <v>101.58408897999999</v>
      </c>
      <c r="E12" s="637">
        <v>1162.2655437606027</v>
      </c>
      <c r="F12" s="278">
        <v>167.02165187</v>
      </c>
      <c r="G12" s="638">
        <v>6.9501359603172759E-3</v>
      </c>
      <c r="H12" s="287">
        <v>938.80900855397078</v>
      </c>
      <c r="J12" s="639"/>
      <c r="K12" s="639"/>
      <c r="L12" s="639"/>
    </row>
    <row r="13" spans="1:12" ht="20" customHeight="1" thickBot="1">
      <c r="A13" s="339" t="s">
        <v>1058</v>
      </c>
      <c r="B13" s="278">
        <v>209.56389693000006</v>
      </c>
      <c r="C13" s="637">
        <v>840.85662633938841</v>
      </c>
      <c r="D13" s="278">
        <v>365.76563619000001</v>
      </c>
      <c r="E13" s="637">
        <v>1505.0275902660087</v>
      </c>
      <c r="F13" s="278">
        <v>575.32953315999998</v>
      </c>
      <c r="G13" s="638">
        <v>2.3940719258124448E-2</v>
      </c>
      <c r="H13" s="287">
        <v>1168.7611427772308</v>
      </c>
      <c r="J13" s="639"/>
      <c r="K13" s="639"/>
      <c r="L13" s="639"/>
    </row>
    <row r="14" spans="1:12" ht="20" customHeight="1" thickBot="1">
      <c r="A14" s="640" t="s">
        <v>1059</v>
      </c>
      <c r="B14" s="641">
        <v>275.00145984</v>
      </c>
      <c r="C14" s="642">
        <v>809.46370441415286</v>
      </c>
      <c r="D14" s="641">
        <v>467.34972514999998</v>
      </c>
      <c r="E14" s="642">
        <v>1414.3642143883853</v>
      </c>
      <c r="F14" s="641">
        <v>742.35118498999998</v>
      </c>
      <c r="G14" s="643">
        <v>3.0890855216777237E-2</v>
      </c>
      <c r="H14" s="644">
        <v>1107.7158827372809</v>
      </c>
      <c r="J14" s="639"/>
      <c r="K14" s="639"/>
      <c r="L14" s="639"/>
    </row>
    <row r="15" spans="1:12" ht="20" customHeight="1" thickBot="1">
      <c r="A15" s="339" t="s">
        <v>1060</v>
      </c>
      <c r="B15" s="278">
        <v>218.95336405999996</v>
      </c>
      <c r="C15" s="637">
        <v>804.0913982455321</v>
      </c>
      <c r="D15" s="278">
        <v>550.47982692999994</v>
      </c>
      <c r="E15" s="637">
        <v>2076.3301529302425</v>
      </c>
      <c r="F15" s="278">
        <v>769.43319100999997</v>
      </c>
      <c r="G15" s="638">
        <v>3.2017796675023823E-2</v>
      </c>
      <c r="H15" s="287">
        <v>1431.7149456256482</v>
      </c>
      <c r="J15" s="639"/>
      <c r="K15" s="639"/>
      <c r="L15" s="639"/>
    </row>
    <row r="16" spans="1:12" ht="20" customHeight="1" thickBot="1">
      <c r="A16" s="339" t="s">
        <v>1061</v>
      </c>
      <c r="B16" s="278">
        <v>290.41657114999998</v>
      </c>
      <c r="C16" s="637">
        <v>1017.1397216663511</v>
      </c>
      <c r="D16" s="278">
        <v>687.9379576099999</v>
      </c>
      <c r="E16" s="637">
        <v>2466.4886987521486</v>
      </c>
      <c r="F16" s="278">
        <v>978.35452875999988</v>
      </c>
      <c r="G16" s="638">
        <v>4.0711470136618147E-2</v>
      </c>
      <c r="H16" s="287">
        <v>1733.3291724176806</v>
      </c>
      <c r="J16" s="639"/>
      <c r="K16" s="639"/>
      <c r="L16" s="639"/>
    </row>
    <row r="17" spans="1:12" ht="20" customHeight="1" thickBot="1">
      <c r="A17" s="339" t="s">
        <v>1062</v>
      </c>
      <c r="B17" s="278">
        <v>345.73498255999999</v>
      </c>
      <c r="C17" s="637">
        <v>1229.0610886424206</v>
      </c>
      <c r="D17" s="278">
        <v>652.82693930000005</v>
      </c>
      <c r="E17" s="637">
        <v>2358.8734780735899</v>
      </c>
      <c r="F17" s="278">
        <v>998.56192184999998</v>
      </c>
      <c r="G17" s="638">
        <v>4.1552343926373206E-2</v>
      </c>
      <c r="H17" s="287">
        <v>1789.3650354809888</v>
      </c>
      <c r="J17" s="639"/>
      <c r="K17" s="639"/>
      <c r="L17" s="639"/>
    </row>
    <row r="18" spans="1:12" ht="20" customHeight="1" thickBot="1">
      <c r="A18" s="339" t="s">
        <v>1063</v>
      </c>
      <c r="B18" s="278">
        <v>466.20679090000004</v>
      </c>
      <c r="C18" s="637">
        <v>1500.1080528630121</v>
      </c>
      <c r="D18" s="278">
        <v>693.08200542999998</v>
      </c>
      <c r="E18" s="637">
        <v>2264.215657684827</v>
      </c>
      <c r="F18" s="278">
        <v>1159.2887962999998</v>
      </c>
      <c r="G18" s="638">
        <v>4.8240540441001192E-2</v>
      </c>
      <c r="H18" s="287">
        <v>1879.26351400158</v>
      </c>
      <c r="J18" s="639"/>
      <c r="K18" s="639"/>
      <c r="L18" s="639"/>
    </row>
    <row r="19" spans="1:12" ht="20" customHeight="1" thickBot="1">
      <c r="A19" s="339" t="s">
        <v>1064</v>
      </c>
      <c r="B19" s="278">
        <v>638.10205279999991</v>
      </c>
      <c r="C19" s="637">
        <v>1887.7533035946333</v>
      </c>
      <c r="D19" s="278">
        <v>851.99954298</v>
      </c>
      <c r="E19" s="637">
        <v>2593.6629989755938</v>
      </c>
      <c r="F19" s="278">
        <v>1490.1015957</v>
      </c>
      <c r="G19" s="638">
        <v>6.2006384015777509E-2</v>
      </c>
      <c r="H19" s="287">
        <v>2235.6619791632206</v>
      </c>
      <c r="J19" s="639"/>
      <c r="K19" s="639"/>
      <c r="L19" s="639"/>
    </row>
    <row r="20" spans="1:12" ht="20" customHeight="1" thickBot="1">
      <c r="A20" s="339" t="s">
        <v>1065</v>
      </c>
      <c r="B20" s="278">
        <v>741.48457423000002</v>
      </c>
      <c r="C20" s="637">
        <v>2455.589904013746</v>
      </c>
      <c r="D20" s="278">
        <v>901.11655059999998</v>
      </c>
      <c r="E20" s="637">
        <v>3053.4588116607929</v>
      </c>
      <c r="F20" s="278">
        <v>1642.6011248</v>
      </c>
      <c r="G20" s="638">
        <v>6.8352222709519572E-2</v>
      </c>
      <c r="H20" s="287">
        <v>2751.0975195069277</v>
      </c>
      <c r="J20" s="639"/>
      <c r="K20" s="639"/>
      <c r="L20" s="639"/>
    </row>
    <row r="21" spans="1:12" ht="20" customHeight="1" thickBot="1">
      <c r="A21" s="339" t="s">
        <v>1066</v>
      </c>
      <c r="B21" s="278">
        <v>838.64290012999993</v>
      </c>
      <c r="C21" s="637">
        <v>3285.6018241170109</v>
      </c>
      <c r="D21" s="278">
        <v>886.65780767999991</v>
      </c>
      <c r="E21" s="637">
        <v>3516.1558639695681</v>
      </c>
      <c r="F21" s="278">
        <v>1725.3007078300002</v>
      </c>
      <c r="G21" s="638">
        <v>7.1793533099428888E-2</v>
      </c>
      <c r="H21" s="287">
        <v>3400.1786700827288</v>
      </c>
      <c r="J21" s="639"/>
      <c r="K21" s="639"/>
      <c r="L21" s="639"/>
    </row>
    <row r="22" spans="1:12" ht="20" customHeight="1" thickBot="1">
      <c r="A22" s="339" t="s">
        <v>1067</v>
      </c>
      <c r="B22" s="278">
        <v>969.50303742999984</v>
      </c>
      <c r="C22" s="637">
        <v>4353.4007224332472</v>
      </c>
      <c r="D22" s="278">
        <v>972.00836703999994</v>
      </c>
      <c r="E22" s="637">
        <v>4233.8159945396437</v>
      </c>
      <c r="F22" s="278">
        <v>1941.5114044599998</v>
      </c>
      <c r="G22" s="638">
        <v>8.0790532714921967E-2</v>
      </c>
      <c r="H22" s="287">
        <v>4292.6981764707571</v>
      </c>
      <c r="J22" s="639"/>
      <c r="K22" s="639"/>
      <c r="L22" s="639"/>
    </row>
    <row r="23" spans="1:12" ht="20" customHeight="1" thickBot="1">
      <c r="A23" s="339" t="s">
        <v>1068</v>
      </c>
      <c r="B23" s="278">
        <v>1128.26489281</v>
      </c>
      <c r="C23" s="637">
        <v>5639.6680935309296</v>
      </c>
      <c r="D23" s="278">
        <v>1131.21389204</v>
      </c>
      <c r="E23" s="637">
        <v>5287.7212460900582</v>
      </c>
      <c r="F23" s="278">
        <v>2259.4787848300002</v>
      </c>
      <c r="G23" s="638">
        <v>9.4021850330182372E-2</v>
      </c>
      <c r="H23" s="287">
        <v>5457.7968719851406</v>
      </c>
      <c r="J23" s="639"/>
      <c r="K23" s="639"/>
      <c r="L23" s="639"/>
    </row>
    <row r="24" spans="1:12" ht="20" customHeight="1" thickBot="1">
      <c r="A24" s="339" t="s">
        <v>1069</v>
      </c>
      <c r="B24" s="278">
        <v>1039.7994771799999</v>
      </c>
      <c r="C24" s="637">
        <v>7017.4081966581371</v>
      </c>
      <c r="D24" s="278">
        <v>1123.59105058</v>
      </c>
      <c r="E24" s="637">
        <v>6522.3695115457476</v>
      </c>
      <c r="F24" s="278">
        <v>2163.3905277700005</v>
      </c>
      <c r="G24" s="638">
        <v>9.002340795292274E-2</v>
      </c>
      <c r="H24" s="287">
        <v>6751.2780027052058</v>
      </c>
      <c r="J24" s="639"/>
      <c r="K24" s="639"/>
      <c r="L24" s="639"/>
    </row>
    <row r="25" spans="1:12" ht="20" customHeight="1" thickBot="1">
      <c r="A25" s="339" t="s">
        <v>1070</v>
      </c>
      <c r="B25" s="278">
        <v>960.50675263999983</v>
      </c>
      <c r="C25" s="637">
        <v>8641.0526791933007</v>
      </c>
      <c r="D25" s="278">
        <v>1194.17555238</v>
      </c>
      <c r="E25" s="637">
        <v>8259.4025067958883</v>
      </c>
      <c r="F25" s="278">
        <v>2154.68230498</v>
      </c>
      <c r="G25" s="638">
        <v>8.9661039770800185E-2</v>
      </c>
      <c r="H25" s="287">
        <v>8425.2860013742084</v>
      </c>
      <c r="J25" s="639"/>
      <c r="K25" s="639"/>
      <c r="L25" s="639"/>
    </row>
    <row r="26" spans="1:12" ht="20" customHeight="1" thickBot="1">
      <c r="A26" s="339" t="s">
        <v>1071</v>
      </c>
      <c r="B26" s="278">
        <v>783.19166367000003</v>
      </c>
      <c r="C26" s="637">
        <v>10285.667542857625</v>
      </c>
      <c r="D26" s="278">
        <v>1214.0034523900001</v>
      </c>
      <c r="E26" s="637">
        <v>10229.526258756901</v>
      </c>
      <c r="F26" s="278">
        <v>1997.1951160600004</v>
      </c>
      <c r="G26" s="638">
        <v>8.3107653651411845E-2</v>
      </c>
      <c r="H26" s="287">
        <v>10251.466522581848</v>
      </c>
      <c r="J26" s="639"/>
      <c r="K26" s="639"/>
      <c r="L26" s="639"/>
    </row>
    <row r="27" spans="1:12" ht="20" customHeight="1" thickBot="1">
      <c r="A27" s="339" t="s">
        <v>1072</v>
      </c>
      <c r="B27" s="278">
        <v>472.38835021</v>
      </c>
      <c r="C27" s="637">
        <v>12019.243227241304</v>
      </c>
      <c r="D27" s="278">
        <v>1033.7462923999999</v>
      </c>
      <c r="E27" s="637">
        <v>13194.814523321174</v>
      </c>
      <c r="F27" s="278">
        <v>1506.1346426300001</v>
      </c>
      <c r="G27" s="638">
        <v>6.2673554138776774E-2</v>
      </c>
      <c r="H27" s="287">
        <v>12802.091013625019</v>
      </c>
      <c r="J27" s="639"/>
      <c r="K27" s="639"/>
      <c r="L27" s="639"/>
    </row>
    <row r="28" spans="1:12" ht="20" customHeight="1" thickBot="1">
      <c r="A28" s="339" t="s">
        <v>1073</v>
      </c>
      <c r="B28" s="278">
        <v>186.68918239000001</v>
      </c>
      <c r="C28" s="637">
        <v>14359.08265680727</v>
      </c>
      <c r="D28" s="278">
        <v>564.59775993000005</v>
      </c>
      <c r="E28" s="637">
        <v>16846.387841729262</v>
      </c>
      <c r="F28" s="278">
        <v>751.28694229000007</v>
      </c>
      <c r="G28" s="638">
        <v>3.1262691607137794E-2</v>
      </c>
      <c r="H28" s="287">
        <v>16151.164939732515</v>
      </c>
      <c r="J28" s="639"/>
      <c r="K28" s="639"/>
      <c r="L28" s="639"/>
    </row>
    <row r="29" spans="1:12" ht="20" customHeight="1" thickBot="1">
      <c r="A29" s="339" t="s">
        <v>1074</v>
      </c>
      <c r="B29" s="278">
        <v>36.433958990000001</v>
      </c>
      <c r="C29" s="637">
        <v>17831.026917373452</v>
      </c>
      <c r="D29" s="278">
        <v>151.11003547000001</v>
      </c>
      <c r="E29" s="637">
        <v>20610.560672315216</v>
      </c>
      <c r="F29" s="278">
        <v>187.54399443999998</v>
      </c>
      <c r="G29" s="638">
        <v>7.8041154862575667E-3</v>
      </c>
      <c r="H29" s="287">
        <v>20004.671401950502</v>
      </c>
      <c r="J29" s="639"/>
      <c r="K29" s="639"/>
      <c r="L29" s="639"/>
    </row>
    <row r="30" spans="1:12" ht="20" customHeight="1" thickBot="1">
      <c r="A30" s="339" t="s">
        <v>1075</v>
      </c>
      <c r="B30" s="278">
        <v>3.2613142699999997</v>
      </c>
      <c r="C30" s="637">
        <v>17923.248351285994</v>
      </c>
      <c r="D30" s="278">
        <v>21.989210060000001</v>
      </c>
      <c r="E30" s="637">
        <v>24229.199559252938</v>
      </c>
      <c r="F30" s="278">
        <v>25.250524370000001</v>
      </c>
      <c r="G30" s="638">
        <v>1.050729504084893E-3</v>
      </c>
      <c r="H30" s="287">
        <v>23176.037273636775</v>
      </c>
      <c r="J30" s="639"/>
      <c r="K30" s="639"/>
      <c r="L30" s="639"/>
    </row>
    <row r="31" spans="1:12" ht="20" customHeight="1" thickBot="1">
      <c r="A31" s="640" t="s">
        <v>1076</v>
      </c>
      <c r="B31" s="641">
        <v>9119.57986532</v>
      </c>
      <c r="C31" s="642">
        <v>3191.0133206730111</v>
      </c>
      <c r="D31" s="641">
        <v>12630.536242619999</v>
      </c>
      <c r="E31" s="642">
        <v>4207.6471184727379</v>
      </c>
      <c r="F31" s="641">
        <v>21750.11610797</v>
      </c>
      <c r="G31" s="643">
        <v>0.9050698661556611</v>
      </c>
      <c r="H31" s="644">
        <v>3711.81416818971</v>
      </c>
      <c r="J31" s="639"/>
      <c r="K31" s="639"/>
      <c r="L31" s="639"/>
    </row>
    <row r="32" spans="1:12" ht="0.5" customHeight="1" thickBot="1">
      <c r="A32" s="339" t="s">
        <v>529</v>
      </c>
      <c r="B32" s="278">
        <v>0</v>
      </c>
      <c r="C32" s="637" t="s">
        <v>153</v>
      </c>
      <c r="D32" s="278">
        <v>0</v>
      </c>
      <c r="E32" s="637" t="s">
        <v>153</v>
      </c>
      <c r="F32" s="278" t="s">
        <v>153</v>
      </c>
      <c r="G32" s="638" t="s">
        <v>153</v>
      </c>
      <c r="H32" s="287" t="s">
        <v>153</v>
      </c>
      <c r="J32" s="639"/>
      <c r="K32" s="639"/>
      <c r="L32" s="639"/>
    </row>
    <row r="33" spans="1:12" s="200" customFormat="1" ht="24.75" customHeight="1" thickBot="1">
      <c r="A33" s="354" t="s">
        <v>381</v>
      </c>
      <c r="B33" s="524">
        <v>10197.526323279999</v>
      </c>
      <c r="C33" s="249">
        <v>2564.8861057260096</v>
      </c>
      <c r="D33" s="524">
        <v>13833.89591415</v>
      </c>
      <c r="E33" s="249">
        <v>3398.9014999263213</v>
      </c>
      <c r="F33" s="524">
        <v>24031.422237440001</v>
      </c>
      <c r="G33" s="645">
        <v>1</v>
      </c>
      <c r="H33" s="619">
        <v>2986.7805641901891</v>
      </c>
      <c r="J33" s="646"/>
      <c r="K33" s="646"/>
      <c r="L33" s="646"/>
    </row>
    <row r="34" spans="1:12" ht="20" customHeight="1">
      <c r="A34" s="189" t="s">
        <v>346</v>
      </c>
      <c r="B34" s="365"/>
      <c r="C34" s="301"/>
      <c r="D34" s="365"/>
      <c r="E34" s="301"/>
      <c r="F34" s="365"/>
      <c r="G34" s="3"/>
      <c r="H34" s="3"/>
    </row>
    <row r="35" spans="1:12" ht="12.75" customHeight="1">
      <c r="A35" s="219"/>
      <c r="B35" s="366"/>
      <c r="C35" s="218"/>
      <c r="D35" s="366"/>
      <c r="E35" s="218"/>
      <c r="F35" s="366"/>
      <c r="G35" s="366"/>
      <c r="H35" s="366"/>
    </row>
    <row r="36" spans="1:12" ht="16.5" customHeight="1">
      <c r="A36" s="219" t="s">
        <v>1882</v>
      </c>
      <c r="B36" s="366"/>
      <c r="C36" s="218"/>
      <c r="D36" s="366"/>
      <c r="E36" s="218"/>
      <c r="F36" s="366"/>
      <c r="G36" s="366"/>
      <c r="H36" s="366"/>
    </row>
    <row r="37" spans="1:12" ht="14.25" customHeight="1">
      <c r="A37" s="219"/>
      <c r="B37" s="366"/>
      <c r="C37" s="218"/>
      <c r="D37" s="366"/>
      <c r="E37" s="218"/>
      <c r="F37" s="366"/>
      <c r="G37" s="366"/>
      <c r="H37" s="366"/>
    </row>
    <row r="38" spans="1:12" ht="13.5" customHeight="1">
      <c r="A38" s="219" t="s">
        <v>532</v>
      </c>
      <c r="B38" s="366"/>
      <c r="C38" s="218"/>
      <c r="D38" s="366"/>
      <c r="E38" s="218"/>
      <c r="F38" s="366"/>
      <c r="G38" s="366"/>
      <c r="H38" s="366"/>
    </row>
    <row r="39" spans="1:12" ht="12" customHeight="1">
      <c r="A39" s="219"/>
      <c r="B39" s="366"/>
      <c r="C39" s="218"/>
      <c r="D39" s="366"/>
      <c r="E39" s="218"/>
      <c r="F39" s="366"/>
      <c r="G39" s="366"/>
      <c r="H39" s="366"/>
    </row>
    <row r="40" spans="1:12" ht="14.25" customHeight="1">
      <c r="A40" s="219"/>
      <c r="B40" s="366"/>
      <c r="C40" s="218"/>
      <c r="D40" s="366"/>
      <c r="E40" s="218"/>
      <c r="F40" s="366"/>
      <c r="G40" s="366"/>
      <c r="H40" s="366"/>
    </row>
    <row r="41" spans="1:12" ht="15.75" customHeight="1">
      <c r="A41" s="219" t="s">
        <v>302</v>
      </c>
      <c r="B41" s="366"/>
      <c r="C41" s="218"/>
      <c r="D41" s="366"/>
      <c r="E41" s="218"/>
      <c r="F41" s="366"/>
      <c r="G41" s="366"/>
      <c r="H41" s="366"/>
    </row>
    <row r="42" spans="1:12" ht="18" customHeight="1">
      <c r="A42"/>
    </row>
    <row r="43" spans="1:12" ht="30" customHeight="1"/>
    <row r="44" spans="1:12" ht="30" customHeight="1">
      <c r="J44" s="647"/>
    </row>
    <row r="45" spans="1:12" ht="30" customHeight="1"/>
    <row r="46" spans="1:12" ht="30" customHeight="1"/>
    <row r="47" spans="1:12" ht="30" customHeight="1"/>
    <row r="48" spans="1:12" ht="30" customHeight="1"/>
    <row r="49" ht="30" customHeight="1"/>
    <row r="50" ht="30" customHeight="1"/>
  </sheetData>
  <mergeCells count="3">
    <mergeCell ref="B3:C3"/>
    <mergeCell ref="D3:E3"/>
    <mergeCell ref="F3:H3"/>
  </mergeCells>
  <pageMargins left="0.49" right="0.55118110236220474" top="0.6692913385826772" bottom="0.47244094488188981" header="0.43307086614173229" footer="0.51181102362204722"/>
  <pageSetup paperSize="9" scale="72" orientation="portrait"/>
  <headerFooter alignWithMargins="0"/>
  <rowBreaks count="1" manualBreakCount="1">
    <brk id="41"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26FD4-5690-1F4B-AC51-1DEB59768CC1}">
  <sheetPr>
    <pageSetUpPr fitToPage="1"/>
  </sheetPr>
  <dimension ref="A1:H45"/>
  <sheetViews>
    <sheetView zoomScaleNormal="100" workbookViewId="0">
      <selection activeCell="C4" sqref="C4"/>
    </sheetView>
  </sheetViews>
  <sheetFormatPr baseColWidth="10" defaultColWidth="11.3984375" defaultRowHeight="13"/>
  <cols>
    <col min="1" max="1" width="19.3984375" style="3" customWidth="1"/>
    <col min="2" max="5" width="19.3984375" style="369" customWidth="1"/>
    <col min="6" max="6" width="12.59765625" style="201" customWidth="1"/>
    <col min="7" max="7" width="11.3984375" style="3"/>
    <col min="8" max="8" width="15.19921875" style="3" hidden="1" customWidth="1"/>
    <col min="9" max="16384" width="11.3984375" style="3"/>
  </cols>
  <sheetData>
    <row r="1" spans="1:8" s="1" customFormat="1" ht="14" customHeight="1">
      <c r="B1" s="358"/>
      <c r="C1" s="358"/>
      <c r="D1" s="358"/>
      <c r="E1" s="358"/>
      <c r="F1" s="359"/>
    </row>
    <row r="2" spans="1:8" s="1" customFormat="1" ht="28.25" customHeight="1">
      <c r="A2" s="125" t="s">
        <v>534</v>
      </c>
      <c r="B2" s="360"/>
      <c r="C2" s="360"/>
      <c r="D2" s="360"/>
      <c r="E2" s="361">
        <v>2013</v>
      </c>
    </row>
    <row r="3" spans="1:8" ht="27" customHeight="1">
      <c r="A3" s="224" t="s">
        <v>67</v>
      </c>
      <c r="B3" s="267" t="s">
        <v>495</v>
      </c>
      <c r="C3" s="268" t="s">
        <v>496</v>
      </c>
      <c r="D3" s="267" t="s">
        <v>497</v>
      </c>
      <c r="E3" s="268" t="s">
        <v>381</v>
      </c>
      <c r="F3"/>
    </row>
    <row r="4" spans="1:8" ht="18" customHeight="1">
      <c r="A4" s="306"/>
      <c r="B4" s="270"/>
      <c r="C4" s="271"/>
      <c r="D4" s="332"/>
      <c r="E4" s="271"/>
      <c r="F4"/>
    </row>
    <row r="5" spans="1:8" ht="21" customHeight="1">
      <c r="A5" s="306"/>
      <c r="B5" s="270" t="s">
        <v>499</v>
      </c>
      <c r="C5" s="271" t="s">
        <v>500</v>
      </c>
      <c r="D5" s="270" t="s">
        <v>501</v>
      </c>
      <c r="E5" s="271"/>
      <c r="F5"/>
    </row>
    <row r="6" spans="1:8" ht="24" customHeight="1">
      <c r="A6" s="307"/>
      <c r="B6" s="362"/>
      <c r="C6" s="276"/>
      <c r="D6" s="362"/>
      <c r="E6" s="276"/>
      <c r="F6"/>
    </row>
    <row r="7" spans="1:8" ht="30" customHeight="1" thickBot="1">
      <c r="A7" s="334" t="s">
        <v>502</v>
      </c>
      <c r="B7" s="287">
        <v>26416182.09</v>
      </c>
      <c r="C7" s="288">
        <v>40224666.859999999</v>
      </c>
      <c r="D7" s="287">
        <v>635346266.00999999</v>
      </c>
      <c r="E7" s="288">
        <v>701987114.91999996</v>
      </c>
      <c r="F7"/>
      <c r="H7" s="6">
        <v>2156035045</v>
      </c>
    </row>
    <row r="8" spans="1:8" ht="20" customHeight="1" thickBot="1">
      <c r="A8" s="339" t="s">
        <v>503</v>
      </c>
      <c r="B8" s="289">
        <v>15668624.41</v>
      </c>
      <c r="C8" s="159">
        <v>29447333.800000001</v>
      </c>
      <c r="D8" s="289">
        <v>440246537.24000001</v>
      </c>
      <c r="E8" s="159">
        <v>485362495.45999998</v>
      </c>
      <c r="F8"/>
      <c r="H8" s="6">
        <v>1563935884</v>
      </c>
    </row>
    <row r="9" spans="1:8" ht="20" customHeight="1" thickBot="1">
      <c r="A9" s="339" t="s">
        <v>504</v>
      </c>
      <c r="B9" s="289">
        <v>6692412.7300000004</v>
      </c>
      <c r="C9" s="159">
        <v>12058248.15</v>
      </c>
      <c r="D9" s="289">
        <v>149780015.37</v>
      </c>
      <c r="E9" s="159">
        <v>168530676.28</v>
      </c>
      <c r="F9"/>
      <c r="H9" s="6">
        <v>464604355</v>
      </c>
    </row>
    <row r="10" spans="1:8" ht="20" customHeight="1" thickBot="1">
      <c r="A10" s="339" t="s">
        <v>505</v>
      </c>
      <c r="B10" s="289">
        <v>587198.1</v>
      </c>
      <c r="C10" s="159">
        <v>1057043.02</v>
      </c>
      <c r="D10" s="289">
        <v>13508750.75</v>
      </c>
      <c r="E10" s="159">
        <v>15152991.880000001</v>
      </c>
      <c r="F10"/>
      <c r="H10" s="6">
        <v>45901795</v>
      </c>
    </row>
    <row r="11" spans="1:8" ht="20" customHeight="1" thickBot="1">
      <c r="A11" s="339" t="s">
        <v>506</v>
      </c>
      <c r="B11" s="289">
        <v>2871449.59</v>
      </c>
      <c r="C11" s="159">
        <v>5149550.3</v>
      </c>
      <c r="D11" s="289">
        <v>63631040.899999999</v>
      </c>
      <c r="E11" s="159">
        <v>71652040.769999996</v>
      </c>
      <c r="F11"/>
      <c r="H11" s="6">
        <v>171549320</v>
      </c>
    </row>
    <row r="12" spans="1:8" ht="20" customHeight="1" thickBot="1">
      <c r="A12" s="339" t="s">
        <v>507</v>
      </c>
      <c r="B12" s="289">
        <v>652365.07999999996</v>
      </c>
      <c r="C12" s="159">
        <v>1105070.3899999999</v>
      </c>
      <c r="D12" s="289">
        <v>14088689.41</v>
      </c>
      <c r="E12" s="159">
        <v>15846124.869999999</v>
      </c>
      <c r="F12"/>
      <c r="H12" s="6">
        <v>41764939</v>
      </c>
    </row>
    <row r="13" spans="1:8" ht="20" customHeight="1" thickBot="1">
      <c r="A13" s="339" t="s">
        <v>508</v>
      </c>
      <c r="B13" s="289">
        <v>607416.86</v>
      </c>
      <c r="C13" s="159">
        <v>1150232.8899999999</v>
      </c>
      <c r="D13" s="289">
        <v>16261594.92</v>
      </c>
      <c r="E13" s="159">
        <v>18019244.68</v>
      </c>
      <c r="F13"/>
      <c r="H13" s="6">
        <v>44323506</v>
      </c>
    </row>
    <row r="14" spans="1:8" ht="20" customHeight="1" thickBot="1">
      <c r="A14" s="339" t="s">
        <v>509</v>
      </c>
      <c r="B14" s="289">
        <v>655973.21</v>
      </c>
      <c r="C14" s="159">
        <v>1321094.72</v>
      </c>
      <c r="D14" s="289">
        <v>16173557.029999999</v>
      </c>
      <c r="E14" s="159">
        <v>18150624.960000001</v>
      </c>
      <c r="F14"/>
      <c r="H14" s="6">
        <v>55927154</v>
      </c>
    </row>
    <row r="15" spans="1:8" ht="20" customHeight="1" thickBot="1">
      <c r="A15" s="339" t="s">
        <v>510</v>
      </c>
      <c r="B15" s="289">
        <v>1908814.3</v>
      </c>
      <c r="C15" s="159">
        <v>3208336.91</v>
      </c>
      <c r="D15" s="289">
        <v>47275044.939999998</v>
      </c>
      <c r="E15" s="159">
        <v>52392196.149999999</v>
      </c>
      <c r="F15"/>
      <c r="H15" s="6">
        <v>128772453</v>
      </c>
    </row>
    <row r="16" spans="1:8" ht="20" customHeight="1" thickBot="1">
      <c r="A16" s="339" t="s">
        <v>511</v>
      </c>
      <c r="B16" s="289">
        <v>6163164.9100000001</v>
      </c>
      <c r="C16" s="159">
        <v>9983750.1799999997</v>
      </c>
      <c r="D16" s="289">
        <v>120070483.73999999</v>
      </c>
      <c r="E16" s="159">
        <v>136217398.84999999</v>
      </c>
      <c r="F16"/>
      <c r="H16" s="6">
        <v>391250033</v>
      </c>
    </row>
    <row r="17" spans="1:8" ht="20" customHeight="1" thickBot="1">
      <c r="A17" s="339" t="s">
        <v>512</v>
      </c>
      <c r="B17" s="289">
        <v>4398085</v>
      </c>
      <c r="C17" s="159">
        <v>8473234.5899999999</v>
      </c>
      <c r="D17" s="289">
        <v>113701878.33</v>
      </c>
      <c r="E17" s="159">
        <v>126573197.93000001</v>
      </c>
      <c r="F17"/>
      <c r="H17" s="6">
        <v>393696828</v>
      </c>
    </row>
    <row r="18" spans="1:8" ht="20" customHeight="1" thickBot="1">
      <c r="A18" s="339" t="s">
        <v>513</v>
      </c>
      <c r="B18" s="289">
        <v>3468573.44</v>
      </c>
      <c r="C18" s="159">
        <v>5602559.9299999997</v>
      </c>
      <c r="D18" s="289">
        <v>92845908.280000001</v>
      </c>
      <c r="E18" s="159">
        <v>101917041.64</v>
      </c>
      <c r="F18"/>
      <c r="H18" s="6">
        <v>473520714</v>
      </c>
    </row>
    <row r="19" spans="1:8" ht="20" customHeight="1" thickBot="1">
      <c r="A19" s="339" t="s">
        <v>514</v>
      </c>
      <c r="B19" s="289">
        <v>5648196.4100000001</v>
      </c>
      <c r="C19" s="159">
        <v>9024912.9100000001</v>
      </c>
      <c r="D19" s="289">
        <v>138226206.02000001</v>
      </c>
      <c r="E19" s="159">
        <v>152899315.36000001</v>
      </c>
      <c r="F19"/>
      <c r="H19" s="6">
        <v>469771093</v>
      </c>
    </row>
    <row r="20" spans="1:8" ht="20" customHeight="1" thickBot="1">
      <c r="A20" s="339" t="s">
        <v>515</v>
      </c>
      <c r="B20" s="289">
        <v>1077979.79</v>
      </c>
      <c r="C20" s="159">
        <v>2435077.8199999998</v>
      </c>
      <c r="D20" s="289">
        <v>33617335.210000001</v>
      </c>
      <c r="E20" s="159">
        <v>37130392.829999998</v>
      </c>
      <c r="F20"/>
      <c r="H20" s="6">
        <v>127694959</v>
      </c>
    </row>
    <row r="21" spans="1:8" ht="20" customHeight="1" thickBot="1">
      <c r="A21" s="339" t="s">
        <v>516</v>
      </c>
      <c r="B21" s="289">
        <v>800548.02</v>
      </c>
      <c r="C21" s="159">
        <v>1596343.54</v>
      </c>
      <c r="D21" s="289">
        <v>20795958.969999999</v>
      </c>
      <c r="E21" s="159">
        <v>23192850.5</v>
      </c>
      <c r="F21"/>
      <c r="H21" s="6">
        <v>69489100</v>
      </c>
    </row>
    <row r="22" spans="1:8" ht="20" customHeight="1" thickBot="1">
      <c r="A22" s="339" t="s">
        <v>517</v>
      </c>
      <c r="B22" s="289">
        <v>215953.39</v>
      </c>
      <c r="C22" s="159">
        <v>500051.75</v>
      </c>
      <c r="D22" s="289">
        <v>5491969.1299999999</v>
      </c>
      <c r="E22" s="159">
        <v>6207974.3099999996</v>
      </c>
      <c r="F22"/>
      <c r="H22" s="6">
        <v>16712649</v>
      </c>
    </row>
    <row r="23" spans="1:8" ht="20" customHeight="1" thickBot="1">
      <c r="A23" s="339" t="s">
        <v>518</v>
      </c>
      <c r="B23" s="289">
        <v>8401399.8200000003</v>
      </c>
      <c r="C23" s="159">
        <v>17082425.59</v>
      </c>
      <c r="D23" s="289">
        <v>198589540.09</v>
      </c>
      <c r="E23" s="159">
        <v>224073365.47999999</v>
      </c>
      <c r="F23"/>
      <c r="H23" s="6">
        <v>615853738</v>
      </c>
    </row>
    <row r="24" spans="1:8" ht="20" customHeight="1" thickBot="1">
      <c r="A24" s="339" t="s">
        <v>519</v>
      </c>
      <c r="B24" s="289">
        <v>2996390.27</v>
      </c>
      <c r="C24" s="159">
        <v>5925649.2300000004</v>
      </c>
      <c r="D24" s="289">
        <v>79204402.909999996</v>
      </c>
      <c r="E24" s="159">
        <v>88126442.439999998</v>
      </c>
      <c r="F24"/>
      <c r="H24" s="6">
        <v>264690646</v>
      </c>
    </row>
    <row r="25" spans="1:8" ht="20" customHeight="1" thickBot="1">
      <c r="A25" s="339" t="s">
        <v>520</v>
      </c>
      <c r="B25" s="289">
        <v>11395125.859999999</v>
      </c>
      <c r="C25" s="159">
        <v>19700190.41</v>
      </c>
      <c r="D25" s="289">
        <v>264610529.25</v>
      </c>
      <c r="E25" s="159">
        <v>295705845.52999997</v>
      </c>
      <c r="F25"/>
      <c r="H25" s="6">
        <v>819222625</v>
      </c>
    </row>
    <row r="26" spans="1:8" ht="20" customHeight="1" thickBot="1">
      <c r="A26" s="339" t="s">
        <v>521</v>
      </c>
      <c r="B26" s="289">
        <v>4506597.72</v>
      </c>
      <c r="C26" s="159">
        <v>8766543.6400000006</v>
      </c>
      <c r="D26" s="289">
        <v>103243948.08</v>
      </c>
      <c r="E26" s="159">
        <v>116517089.44</v>
      </c>
      <c r="F26"/>
      <c r="H26" s="6">
        <v>344655658</v>
      </c>
    </row>
    <row r="27" spans="1:8" ht="20" customHeight="1" thickBot="1">
      <c r="A27" s="339" t="s">
        <v>522</v>
      </c>
      <c r="B27" s="289">
        <v>6636749.3300000001</v>
      </c>
      <c r="C27" s="159">
        <v>9512932.2899999991</v>
      </c>
      <c r="D27" s="289">
        <v>165687197.31999999</v>
      </c>
      <c r="E27" s="159">
        <v>181836878.88999999</v>
      </c>
      <c r="F27"/>
      <c r="H27" s="6">
        <v>627641817</v>
      </c>
    </row>
    <row r="28" spans="1:8" ht="20" customHeight="1" thickBot="1">
      <c r="A28" s="339" t="s">
        <v>523</v>
      </c>
      <c r="B28" s="289">
        <v>18486198.199999999</v>
      </c>
      <c r="C28" s="159">
        <v>24097092.18</v>
      </c>
      <c r="D28" s="289">
        <v>324063542.63999999</v>
      </c>
      <c r="E28" s="159">
        <v>366646833.00999999</v>
      </c>
      <c r="F28"/>
      <c r="H28" s="6">
        <v>1280335377</v>
      </c>
    </row>
    <row r="29" spans="1:8" ht="20" customHeight="1" thickBot="1">
      <c r="A29" s="339" t="s">
        <v>524</v>
      </c>
      <c r="B29" s="289">
        <v>5726261.5099999998</v>
      </c>
      <c r="C29" s="159">
        <v>9323364.6400000006</v>
      </c>
      <c r="D29" s="289">
        <v>129939786.7</v>
      </c>
      <c r="E29" s="159">
        <v>144989412.86000001</v>
      </c>
      <c r="F29"/>
      <c r="H29" s="6">
        <v>410743307</v>
      </c>
    </row>
    <row r="30" spans="1:8" ht="20" customHeight="1" thickBot="1">
      <c r="A30" s="339" t="s">
        <v>525</v>
      </c>
      <c r="B30" s="289">
        <v>3612987.71</v>
      </c>
      <c r="C30" s="159">
        <v>5020260.2</v>
      </c>
      <c r="D30" s="289">
        <v>70163838.609999999</v>
      </c>
      <c r="E30" s="159">
        <v>78797086.549999997</v>
      </c>
      <c r="F30"/>
      <c r="H30" s="6">
        <v>318756043</v>
      </c>
    </row>
    <row r="31" spans="1:8" ht="20" customHeight="1" thickBot="1">
      <c r="A31" s="339" t="s">
        <v>526</v>
      </c>
      <c r="B31" s="289">
        <v>11435594.41</v>
      </c>
      <c r="C31" s="159">
        <v>15619311.02</v>
      </c>
      <c r="D31" s="289">
        <v>206235752.91</v>
      </c>
      <c r="E31" s="159">
        <v>233290658.37</v>
      </c>
      <c r="F31"/>
      <c r="H31" s="6">
        <v>966736347</v>
      </c>
    </row>
    <row r="32" spans="1:8" ht="20" customHeight="1" thickBot="1">
      <c r="A32" s="234" t="s">
        <v>527</v>
      </c>
      <c r="B32" s="289">
        <v>1406543.08</v>
      </c>
      <c r="C32" s="159">
        <v>2132139.2000000002</v>
      </c>
      <c r="D32" s="289">
        <v>29527107.710000001</v>
      </c>
      <c r="E32" s="159">
        <v>33065789.98</v>
      </c>
      <c r="F32"/>
      <c r="H32" s="6">
        <v>146808815</v>
      </c>
    </row>
    <row r="33" spans="1:8" ht="20" customHeight="1" thickBot="1">
      <c r="A33" s="297" t="s">
        <v>528</v>
      </c>
      <c r="B33" s="289">
        <v>51468.800000000003</v>
      </c>
      <c r="C33" s="159">
        <v>60769.35</v>
      </c>
      <c r="D33" s="289">
        <v>674349.97</v>
      </c>
      <c r="E33" s="159">
        <v>786588.13</v>
      </c>
      <c r="F33"/>
      <c r="H33" s="6">
        <v>966736347</v>
      </c>
    </row>
    <row r="34" spans="1:8" ht="0.5" customHeight="1" thickBot="1">
      <c r="A34" s="234" t="s">
        <v>529</v>
      </c>
      <c r="B34" s="289">
        <v>0</v>
      </c>
      <c r="C34" s="159">
        <v>0</v>
      </c>
      <c r="D34" s="289">
        <v>0</v>
      </c>
      <c r="E34" s="159" t="s">
        <v>537</v>
      </c>
      <c r="F34"/>
      <c r="H34" s="6">
        <v>146808815</v>
      </c>
    </row>
    <row r="35" spans="1:8" ht="30" customHeight="1" thickBot="1">
      <c r="A35" s="354" t="s">
        <v>530</v>
      </c>
      <c r="B35" s="363">
        <v>152488254.12</v>
      </c>
      <c r="C35" s="292">
        <v>249578185.56999999</v>
      </c>
      <c r="D35" s="363">
        <v>3493001232.4200001</v>
      </c>
      <c r="E35" s="292">
        <v>3895067672.0999999</v>
      </c>
      <c r="F35" s="364"/>
      <c r="H35" s="6">
        <v>12410394200</v>
      </c>
    </row>
    <row r="36" spans="1:8" ht="20" customHeight="1">
      <c r="A36" s="189" t="s">
        <v>346</v>
      </c>
      <c r="B36" s="365"/>
      <c r="C36" s="365"/>
      <c r="D36" s="365"/>
      <c r="E36" s="365"/>
      <c r="F36" s="220"/>
    </row>
    <row r="37" spans="1:8" ht="14.25" customHeight="1">
      <c r="A37" s="219"/>
      <c r="B37" s="366"/>
      <c r="C37" s="366"/>
      <c r="D37" s="366"/>
      <c r="E37" s="366"/>
      <c r="F37" s="220"/>
    </row>
    <row r="38" spans="1:8" ht="15.75" customHeight="1">
      <c r="A38" s="219" t="s">
        <v>535</v>
      </c>
      <c r="B38" s="366"/>
      <c r="C38" s="366"/>
      <c r="D38" s="366"/>
      <c r="E38" s="366"/>
      <c r="F38" s="220"/>
    </row>
    <row r="39" spans="1:8" ht="13.5" customHeight="1">
      <c r="A39" s="219"/>
      <c r="B39" s="366"/>
      <c r="C39" s="366"/>
      <c r="D39" s="366"/>
      <c r="E39" s="366"/>
      <c r="F39" s="220"/>
    </row>
    <row r="40" spans="1:8" ht="15" customHeight="1">
      <c r="A40" s="367" t="s">
        <v>536</v>
      </c>
      <c r="B40" s="368"/>
      <c r="C40" s="366"/>
      <c r="D40" s="366"/>
      <c r="E40" s="366"/>
      <c r="F40" s="220"/>
    </row>
    <row r="41" spans="1:8" ht="15" customHeight="1">
      <c r="A41" s="219" t="s">
        <v>533</v>
      </c>
      <c r="B41" s="368"/>
      <c r="C41" s="366"/>
      <c r="D41" s="366"/>
      <c r="E41" s="366"/>
      <c r="F41" s="220"/>
    </row>
    <row r="42" spans="1:8" ht="12" customHeight="1"/>
    <row r="43" spans="1:8" ht="12" customHeight="1"/>
    <row r="44" spans="1:8" ht="12" customHeight="1">
      <c r="A44" s="219" t="s">
        <v>302</v>
      </c>
    </row>
    <row r="45" spans="1:8" ht="12" customHeight="1"/>
  </sheetData>
  <pageMargins left="0.62" right="0.56000000000000005" top="0.78" bottom="0.49" header="0.4" footer="0.4921259845"/>
  <pageSetup paperSize="9" scale="83" orientation="portrait" horizontalDpi="4294967292" verticalDpi="4294967292"/>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A148-5E54-C64C-98A3-520724CD9597}">
  <sheetPr>
    <pageSetUpPr fitToPage="1"/>
  </sheetPr>
  <dimension ref="A1:J50"/>
  <sheetViews>
    <sheetView zoomScaleNormal="100" workbookViewId="0">
      <selection activeCell="D4" sqref="D4"/>
    </sheetView>
  </sheetViews>
  <sheetFormatPr baseColWidth="10" defaultColWidth="11.3984375" defaultRowHeight="13"/>
  <cols>
    <col min="1" max="1" width="21.19921875" style="3" customWidth="1"/>
    <col min="2" max="2" width="14.796875" style="369" customWidth="1"/>
    <col min="3" max="3" width="15.3984375" style="245" customWidth="1"/>
    <col min="4" max="4" width="16" style="369" customWidth="1"/>
    <col min="5" max="5" width="15.796875" style="245" customWidth="1"/>
    <col min="6" max="8" width="16" style="369" customWidth="1"/>
    <col min="9" max="9" width="7.796875" style="3" customWidth="1"/>
    <col min="10" max="10" width="9" style="3" customWidth="1"/>
    <col min="11" max="16384" width="11.3984375" style="3"/>
  </cols>
  <sheetData>
    <row r="1" spans="1:10" s="1" customFormat="1" ht="18.75" customHeight="1">
      <c r="A1" s="631"/>
      <c r="B1" s="632"/>
      <c r="C1" s="221"/>
      <c r="D1" s="358"/>
      <c r="E1" s="221"/>
      <c r="F1" s="358"/>
      <c r="G1" s="358"/>
      <c r="H1" s="358"/>
    </row>
    <row r="2" spans="1:10" s="1" customFormat="1" ht="26.5" customHeight="1">
      <c r="A2" s="633" t="s">
        <v>1883</v>
      </c>
      <c r="B2" s="360"/>
      <c r="C2" s="360"/>
      <c r="D2" s="360"/>
      <c r="E2" s="360"/>
      <c r="F2" s="569"/>
      <c r="G2" s="569"/>
      <c r="H2" s="569">
        <v>2013</v>
      </c>
    </row>
    <row r="3" spans="1:10" ht="27" customHeight="1">
      <c r="A3" s="224" t="s">
        <v>1049</v>
      </c>
      <c r="B3" s="2013" t="s">
        <v>1050</v>
      </c>
      <c r="C3" s="2014"/>
      <c r="D3" s="2015" t="s">
        <v>1051</v>
      </c>
      <c r="E3" s="2014"/>
      <c r="F3" s="2013" t="s">
        <v>498</v>
      </c>
      <c r="G3" s="2014"/>
      <c r="H3" s="2014"/>
    </row>
    <row r="4" spans="1:10" ht="17.5" customHeight="1">
      <c r="A4" s="306"/>
      <c r="B4" s="614" t="s">
        <v>843</v>
      </c>
      <c r="C4" s="634" t="s">
        <v>2213</v>
      </c>
      <c r="D4" s="614" t="s">
        <v>843</v>
      </c>
      <c r="E4" s="634" t="s">
        <v>2213</v>
      </c>
      <c r="F4" s="614" t="s">
        <v>843</v>
      </c>
      <c r="G4" s="634" t="s">
        <v>1004</v>
      </c>
      <c r="H4" s="614" t="s">
        <v>2213</v>
      </c>
    </row>
    <row r="5" spans="1:10" ht="15" customHeight="1">
      <c r="A5" s="306"/>
      <c r="B5" s="614"/>
      <c r="C5" s="634" t="s">
        <v>2214</v>
      </c>
      <c r="D5" s="614"/>
      <c r="E5" s="634" t="s">
        <v>2214</v>
      </c>
      <c r="F5" s="614"/>
      <c r="G5" s="634"/>
      <c r="H5" s="614" t="s">
        <v>2214</v>
      </c>
    </row>
    <row r="6" spans="1:10" ht="19.5" customHeight="1">
      <c r="A6" s="307"/>
      <c r="B6" s="362"/>
      <c r="C6" s="635"/>
      <c r="D6" s="362"/>
      <c r="E6" s="635"/>
      <c r="F6" s="362"/>
      <c r="G6" s="636"/>
      <c r="H6" s="362"/>
    </row>
    <row r="7" spans="1:10" ht="30" customHeight="1" thickBot="1">
      <c r="A7" s="334" t="s">
        <v>1052</v>
      </c>
      <c r="B7" s="278">
        <v>28.284760579999997</v>
      </c>
      <c r="C7" s="637">
        <v>121.0091326410363</v>
      </c>
      <c r="D7" s="278">
        <v>23.8490033</v>
      </c>
      <c r="E7" s="637">
        <v>107.8402568993405</v>
      </c>
      <c r="F7" s="278">
        <v>52.133763899999998</v>
      </c>
      <c r="G7" s="638">
        <v>1.3384559214130448E-2</v>
      </c>
      <c r="H7" s="287">
        <v>114.60693954822581</v>
      </c>
      <c r="I7" s="639"/>
      <c r="J7" s="639"/>
    </row>
    <row r="8" spans="1:10" ht="20" customHeight="1" thickBot="1">
      <c r="A8" s="339" t="s">
        <v>1053</v>
      </c>
      <c r="B8" s="278">
        <v>17.679184920000001</v>
      </c>
      <c r="C8" s="637">
        <v>87.877364664980192</v>
      </c>
      <c r="D8" s="278">
        <v>14.154708150000001</v>
      </c>
      <c r="E8" s="637">
        <v>73.962280235925462</v>
      </c>
      <c r="F8" s="278">
        <v>31.83389305</v>
      </c>
      <c r="G8" s="638">
        <v>8.1728729074944228E-3</v>
      </c>
      <c r="H8" s="287">
        <v>81.093559391029501</v>
      </c>
      <c r="I8" s="639"/>
      <c r="J8" s="639"/>
    </row>
    <row r="9" spans="1:10" ht="20" customHeight="1" thickBot="1">
      <c r="A9" s="339" t="s">
        <v>1054</v>
      </c>
      <c r="B9" s="278">
        <v>19.689130909999999</v>
      </c>
      <c r="C9" s="637">
        <v>94.101784437850611</v>
      </c>
      <c r="D9" s="278">
        <v>18.37811314</v>
      </c>
      <c r="E9" s="637">
        <v>92.700471176575505</v>
      </c>
      <c r="F9" s="278">
        <v>38.067244049999999</v>
      </c>
      <c r="G9" s="638">
        <v>9.773191958349664E-3</v>
      </c>
      <c r="H9" s="287">
        <v>93.420013807137721</v>
      </c>
      <c r="I9" s="639"/>
      <c r="J9" s="639"/>
    </row>
    <row r="10" spans="1:10" ht="20" customHeight="1" thickBot="1">
      <c r="A10" s="339" t="s">
        <v>1055</v>
      </c>
      <c r="B10" s="278">
        <v>13.43231439</v>
      </c>
      <c r="C10" s="637">
        <v>100.21150750628694</v>
      </c>
      <c r="D10" s="278">
        <v>17.02103855</v>
      </c>
      <c r="E10" s="637">
        <v>133.92823544815303</v>
      </c>
      <c r="F10" s="278">
        <v>30.453352940000002</v>
      </c>
      <c r="G10" s="638">
        <v>7.8184400128118049E-3</v>
      </c>
      <c r="H10" s="287">
        <v>116.62125617095951</v>
      </c>
      <c r="I10" s="639"/>
      <c r="J10" s="639"/>
    </row>
    <row r="11" spans="1:10" ht="20" customHeight="1" thickBot="1">
      <c r="A11" s="640" t="s">
        <v>1056</v>
      </c>
      <c r="B11" s="641">
        <v>79.085390799999999</v>
      </c>
      <c r="C11" s="642">
        <v>101.6269898876858</v>
      </c>
      <c r="D11" s="641">
        <v>73.402863139999994</v>
      </c>
      <c r="E11" s="642">
        <v>99.479132050510074</v>
      </c>
      <c r="F11" s="641">
        <v>152.48825395</v>
      </c>
      <c r="G11" s="643">
        <v>3.9149064095353688E-2</v>
      </c>
      <c r="H11" s="644">
        <v>100.58162155181785</v>
      </c>
      <c r="I11" s="639"/>
      <c r="J11" s="639"/>
    </row>
    <row r="12" spans="1:10" ht="20" customHeight="1" thickBot="1">
      <c r="A12" s="339" t="s">
        <v>1057</v>
      </c>
      <c r="B12" s="278">
        <v>28.064382909999999</v>
      </c>
      <c r="C12" s="637">
        <v>310.08222978167481</v>
      </c>
      <c r="D12" s="278">
        <v>37.929798140000003</v>
      </c>
      <c r="E12" s="637">
        <v>433.97049579877029</v>
      </c>
      <c r="F12" s="278">
        <v>65.994181040000001</v>
      </c>
      <c r="G12" s="638">
        <v>1.6943012701178189E-2</v>
      </c>
      <c r="H12" s="287">
        <v>370.94550903326336</v>
      </c>
      <c r="I12" s="639"/>
      <c r="J12" s="639"/>
    </row>
    <row r="13" spans="1:10" ht="20" customHeight="1" thickBot="1">
      <c r="A13" s="339" t="s">
        <v>1058</v>
      </c>
      <c r="B13" s="278">
        <v>73.536657359999992</v>
      </c>
      <c r="C13" s="637">
        <v>295.05934240504837</v>
      </c>
      <c r="D13" s="278">
        <v>110.05028557</v>
      </c>
      <c r="E13" s="637">
        <v>452.82743842416619</v>
      </c>
      <c r="F13" s="278">
        <v>183.58694291</v>
      </c>
      <c r="G13" s="638">
        <v>4.7133184418324363E-2</v>
      </c>
      <c r="H13" s="287">
        <v>372.95023604289372</v>
      </c>
      <c r="I13" s="639"/>
      <c r="J13" s="639"/>
    </row>
    <row r="14" spans="1:10" ht="20" customHeight="1" thickBot="1">
      <c r="A14" s="640" t="s">
        <v>1059</v>
      </c>
      <c r="B14" s="641">
        <v>101.60104025</v>
      </c>
      <c r="C14" s="642">
        <v>299.06151938592001</v>
      </c>
      <c r="D14" s="641">
        <v>147.98008372999999</v>
      </c>
      <c r="E14" s="642">
        <v>447.83964471731093</v>
      </c>
      <c r="F14" s="641">
        <v>249.58112398</v>
      </c>
      <c r="G14" s="643">
        <v>6.4076197127204609E-2</v>
      </c>
      <c r="H14" s="644">
        <v>372.4180423687107</v>
      </c>
      <c r="I14" s="639"/>
      <c r="J14" s="639"/>
    </row>
    <row r="15" spans="1:10" ht="20" customHeight="1" thickBot="1">
      <c r="A15" s="339" t="s">
        <v>1060</v>
      </c>
      <c r="B15" s="278">
        <v>81.367573519999993</v>
      </c>
      <c r="C15" s="637">
        <v>298.81690214914408</v>
      </c>
      <c r="D15" s="278">
        <v>132.22779865000001</v>
      </c>
      <c r="E15" s="637">
        <v>498.74409916840773</v>
      </c>
      <c r="F15" s="278">
        <v>213.59537212999999</v>
      </c>
      <c r="G15" s="638">
        <v>5.4837396962589414E-2</v>
      </c>
      <c r="H15" s="287">
        <v>397.44540548552783</v>
      </c>
      <c r="I15" s="639"/>
      <c r="J15" s="639"/>
    </row>
    <row r="16" spans="1:10" ht="20" customHeight="1" thickBot="1">
      <c r="A16" s="339" t="s">
        <v>1061</v>
      </c>
      <c r="B16" s="278">
        <v>96.803127419999996</v>
      </c>
      <c r="C16" s="637">
        <v>339.03818122539366</v>
      </c>
      <c r="D16" s="278">
        <v>153.16997143</v>
      </c>
      <c r="E16" s="637">
        <v>549.16580680151856</v>
      </c>
      <c r="F16" s="278">
        <v>249.97309886000002</v>
      </c>
      <c r="G16" s="638">
        <v>6.4176830778016294E-2</v>
      </c>
      <c r="H16" s="287">
        <v>442.87183412218474</v>
      </c>
      <c r="I16" s="639"/>
      <c r="J16" s="639"/>
    </row>
    <row r="17" spans="1:10" ht="20" customHeight="1" thickBot="1">
      <c r="A17" s="339" t="s">
        <v>1062</v>
      </c>
      <c r="B17" s="278">
        <v>107.54611209000001</v>
      </c>
      <c r="C17" s="637">
        <v>382.31809990953434</v>
      </c>
      <c r="D17" s="278">
        <v>158.38836963</v>
      </c>
      <c r="E17" s="637">
        <v>572.30806797914784</v>
      </c>
      <c r="F17" s="278">
        <v>265.93448169999999</v>
      </c>
      <c r="G17" s="638">
        <v>6.8274675586827149E-2</v>
      </c>
      <c r="H17" s="287">
        <v>476.53916384187914</v>
      </c>
      <c r="I17" s="639"/>
      <c r="J17" s="639"/>
    </row>
    <row r="18" spans="1:10" ht="20" customHeight="1" thickBot="1">
      <c r="A18" s="339" t="s">
        <v>1063</v>
      </c>
      <c r="B18" s="278">
        <v>129.89793481999999</v>
      </c>
      <c r="C18" s="637">
        <v>417.97104177222019</v>
      </c>
      <c r="D18" s="278">
        <v>175.11319272</v>
      </c>
      <c r="E18" s="637">
        <v>572.0737657556308</v>
      </c>
      <c r="F18" s="278">
        <v>305.01112752999995</v>
      </c>
      <c r="G18" s="638">
        <v>7.8307016259648546E-2</v>
      </c>
      <c r="H18" s="287">
        <v>494.4378701502439</v>
      </c>
      <c r="I18" s="639"/>
      <c r="J18" s="639"/>
    </row>
    <row r="19" spans="1:10" ht="20" customHeight="1" thickBot="1">
      <c r="A19" s="339" t="s">
        <v>1064</v>
      </c>
      <c r="B19" s="278">
        <v>155.03574032</v>
      </c>
      <c r="C19" s="637">
        <v>458.65583675852997</v>
      </c>
      <c r="D19" s="278">
        <v>194.08420527999999</v>
      </c>
      <c r="E19" s="637">
        <v>590.83250228003499</v>
      </c>
      <c r="F19" s="278">
        <v>349.11994563000002</v>
      </c>
      <c r="G19" s="638">
        <v>8.9631291423382886E-2</v>
      </c>
      <c r="H19" s="287">
        <v>523.799310640871</v>
      </c>
      <c r="I19" s="639"/>
      <c r="J19" s="639"/>
    </row>
    <row r="20" spans="1:10" ht="20" customHeight="1" thickBot="1">
      <c r="A20" s="339" t="s">
        <v>1065</v>
      </c>
      <c r="B20" s="278">
        <v>156.16622118999999</v>
      </c>
      <c r="C20" s="637">
        <v>517.17892648052634</v>
      </c>
      <c r="D20" s="278">
        <v>184.00264736000003</v>
      </c>
      <c r="E20" s="637">
        <v>623.49815301495312</v>
      </c>
      <c r="F20" s="278">
        <v>340.16886856999997</v>
      </c>
      <c r="G20" s="638">
        <v>8.7333237111217335E-2</v>
      </c>
      <c r="H20" s="287">
        <v>569.72914264280132</v>
      </c>
      <c r="I20" s="639"/>
      <c r="J20" s="639"/>
    </row>
    <row r="21" spans="1:10" ht="20" customHeight="1" thickBot="1">
      <c r="A21" s="339" t="s">
        <v>1066</v>
      </c>
      <c r="B21" s="278">
        <v>151.51897711000001</v>
      </c>
      <c r="C21" s="637">
        <v>593.61502673401253</v>
      </c>
      <c r="D21" s="278">
        <v>160.51679849999999</v>
      </c>
      <c r="E21" s="637">
        <v>636.55006184200056</v>
      </c>
      <c r="F21" s="278">
        <v>312.03577557</v>
      </c>
      <c r="G21" s="638">
        <v>8.0110488915682995E-2</v>
      </c>
      <c r="H21" s="287">
        <v>614.95215505375961</v>
      </c>
      <c r="I21" s="639"/>
      <c r="J21" s="639"/>
    </row>
    <row r="22" spans="1:10" ht="20" customHeight="1" thickBot="1">
      <c r="A22" s="339" t="s">
        <v>1067</v>
      </c>
      <c r="B22" s="278">
        <v>150.39111041999999</v>
      </c>
      <c r="C22" s="637">
        <v>675.30759932996898</v>
      </c>
      <c r="D22" s="278">
        <v>155.17873878</v>
      </c>
      <c r="E22" s="637">
        <v>675.91828274068405</v>
      </c>
      <c r="F22" s="278">
        <v>305.56984919999996</v>
      </c>
      <c r="G22" s="638">
        <v>7.8450459639080677E-2</v>
      </c>
      <c r="H22" s="287">
        <v>675.61752737173219</v>
      </c>
      <c r="I22" s="639"/>
      <c r="J22" s="639"/>
    </row>
    <row r="23" spans="1:10" ht="20" customHeight="1" thickBot="1">
      <c r="A23" s="339" t="s">
        <v>1068</v>
      </c>
      <c r="B23" s="278">
        <v>151.18116971000001</v>
      </c>
      <c r="C23" s="637">
        <v>755.6839041873402</v>
      </c>
      <c r="D23" s="278">
        <v>157.16905129</v>
      </c>
      <c r="E23" s="637">
        <v>734.66754393833446</v>
      </c>
      <c r="F23" s="278">
        <v>308.35022102999994</v>
      </c>
      <c r="G23" s="638">
        <v>7.9164278258954682E-2</v>
      </c>
      <c r="H23" s="287">
        <v>744.82348898889097</v>
      </c>
      <c r="I23" s="639"/>
      <c r="J23" s="639"/>
    </row>
    <row r="24" spans="1:10" ht="20" customHeight="1" thickBot="1">
      <c r="A24" s="339" t="s">
        <v>1069</v>
      </c>
      <c r="B24" s="278">
        <v>120.53262027</v>
      </c>
      <c r="C24" s="637">
        <v>813.45164717846797</v>
      </c>
      <c r="D24" s="278">
        <v>135.80349772</v>
      </c>
      <c r="E24" s="637">
        <v>788.33005356616991</v>
      </c>
      <c r="F24" s="278">
        <v>256.33611798999999</v>
      </c>
      <c r="G24" s="638">
        <v>6.5810440169609241E-2</v>
      </c>
      <c r="H24" s="287">
        <v>799.94636773630191</v>
      </c>
      <c r="I24" s="639"/>
      <c r="J24" s="639"/>
    </row>
    <row r="25" spans="1:10" ht="20" customHeight="1" thickBot="1">
      <c r="A25" s="339" t="s">
        <v>1070</v>
      </c>
      <c r="B25" s="278">
        <v>98.098987650000012</v>
      </c>
      <c r="C25" s="637">
        <v>882.53259826575606</v>
      </c>
      <c r="D25" s="278">
        <v>123.23186167</v>
      </c>
      <c r="E25" s="637">
        <v>852.32154113840033</v>
      </c>
      <c r="F25" s="278">
        <v>221.33084933000001</v>
      </c>
      <c r="G25" s="638">
        <v>5.6823364306738074E-2</v>
      </c>
      <c r="H25" s="287">
        <v>865.45274086224151</v>
      </c>
      <c r="I25" s="639"/>
      <c r="J25" s="639"/>
    </row>
    <row r="26" spans="1:10" ht="20" customHeight="1" thickBot="1">
      <c r="A26" s="339" t="s">
        <v>1071</v>
      </c>
      <c r="B26" s="278">
        <v>72.382083340000008</v>
      </c>
      <c r="C26" s="637">
        <v>950.59495629201422</v>
      </c>
      <c r="D26" s="278">
        <v>109.18664462000001</v>
      </c>
      <c r="E26" s="637">
        <v>920.03663255401807</v>
      </c>
      <c r="F26" s="278">
        <v>181.56872794999998</v>
      </c>
      <c r="G26" s="638">
        <v>4.6615038103571822E-2</v>
      </c>
      <c r="H26" s="287">
        <v>931.97991581273072</v>
      </c>
      <c r="I26" s="639"/>
      <c r="J26" s="639"/>
    </row>
    <row r="27" spans="1:10" ht="20" customHeight="1" thickBot="1">
      <c r="A27" s="339" t="s">
        <v>1072</v>
      </c>
      <c r="B27" s="278">
        <v>40.819772210000004</v>
      </c>
      <c r="C27" s="637">
        <v>1038.6004871933637</v>
      </c>
      <c r="D27" s="278">
        <v>78.889414549999998</v>
      </c>
      <c r="E27" s="637">
        <v>1006.9503518353271</v>
      </c>
      <c r="F27" s="278">
        <v>119.70918678</v>
      </c>
      <c r="G27" s="638">
        <v>3.0733531958399649E-2</v>
      </c>
      <c r="H27" s="287">
        <v>1017.5238394679702</v>
      </c>
      <c r="I27" s="639"/>
      <c r="J27" s="639"/>
    </row>
    <row r="28" spans="1:10" ht="20" customHeight="1" thickBot="1">
      <c r="A28" s="339" t="s">
        <v>1073</v>
      </c>
      <c r="B28" s="278">
        <v>14.823879880000002</v>
      </c>
      <c r="C28" s="637">
        <v>1140.1695254459689</v>
      </c>
      <c r="D28" s="278">
        <v>36.81092056</v>
      </c>
      <c r="E28" s="637">
        <v>1098.3590240275321</v>
      </c>
      <c r="F28" s="278">
        <v>51.634800460000001</v>
      </c>
      <c r="G28" s="638">
        <v>1.3256457860827504E-2</v>
      </c>
      <c r="H28" s="287">
        <v>1110.0448203154358</v>
      </c>
      <c r="I28" s="639"/>
      <c r="J28" s="639"/>
    </row>
    <row r="29" spans="1:10" ht="20" customHeight="1" thickBot="1">
      <c r="A29" s="339" t="s">
        <v>1074</v>
      </c>
      <c r="B29" s="278">
        <v>2.5752883399999997</v>
      </c>
      <c r="C29" s="637">
        <v>1260.3635998805846</v>
      </c>
      <c r="D29" s="278">
        <v>8.6754518000000012</v>
      </c>
      <c r="E29" s="637">
        <v>1183.2829310608211</v>
      </c>
      <c r="F29" s="278">
        <v>11.25074015</v>
      </c>
      <c r="G29" s="638">
        <v>2.8884581982094315E-3</v>
      </c>
      <c r="H29" s="287">
        <v>1200.0776692504862</v>
      </c>
      <c r="I29" s="639"/>
      <c r="J29" s="639"/>
    </row>
    <row r="30" spans="1:10" ht="20" customHeight="1" thickBot="1">
      <c r="A30" s="339" t="s">
        <v>1075</v>
      </c>
      <c r="B30" s="278">
        <v>0.24052723000000001</v>
      </c>
      <c r="C30" s="637">
        <v>1321.8687074082216</v>
      </c>
      <c r="D30" s="278">
        <v>1.1686040600000001</v>
      </c>
      <c r="E30" s="637">
        <v>1287.647027711972</v>
      </c>
      <c r="F30" s="278">
        <v>1.4091312600000001</v>
      </c>
      <c r="G30" s="638">
        <v>3.6177324211866948E-4</v>
      </c>
      <c r="H30" s="287">
        <v>1293.3623922680838</v>
      </c>
      <c r="I30" s="639"/>
      <c r="J30" s="639"/>
    </row>
    <row r="31" spans="1:10" ht="20" customHeight="1" thickBot="1">
      <c r="A31" s="640" t="s">
        <v>1076</v>
      </c>
      <c r="B31" s="641">
        <v>1529.38112557</v>
      </c>
      <c r="C31" s="642">
        <v>535.14258509194019</v>
      </c>
      <c r="D31" s="641">
        <v>1963.6171686099999</v>
      </c>
      <c r="E31" s="642">
        <v>654.14547431531707</v>
      </c>
      <c r="F31" s="641">
        <v>3492.99829417</v>
      </c>
      <c r="G31" s="643">
        <v>0.89677473878257652</v>
      </c>
      <c r="H31" s="644">
        <v>596.10534920370992</v>
      </c>
      <c r="I31" s="639"/>
      <c r="J31" s="639"/>
    </row>
    <row r="32" spans="1:10" ht="1.25" hidden="1" customHeight="1" thickBot="1">
      <c r="A32" s="339" t="s">
        <v>529</v>
      </c>
      <c r="B32" s="278">
        <v>0</v>
      </c>
      <c r="C32" s="637" t="s">
        <v>153</v>
      </c>
      <c r="D32" s="278">
        <v>0</v>
      </c>
      <c r="E32" s="637" t="s">
        <v>153</v>
      </c>
      <c r="F32" s="278" t="s">
        <v>153</v>
      </c>
      <c r="G32" s="638" t="s">
        <v>153</v>
      </c>
      <c r="H32" s="287" t="s">
        <v>153</v>
      </c>
      <c r="I32" s="639"/>
      <c r="J32" s="639"/>
    </row>
    <row r="33" spans="1:10" s="200" customFormat="1" ht="24.75" customHeight="1" thickBot="1">
      <c r="A33" s="354" t="s">
        <v>381</v>
      </c>
      <c r="B33" s="524">
        <v>1710.06755664</v>
      </c>
      <c r="C33" s="249">
        <v>430.11691039871516</v>
      </c>
      <c r="D33" s="524">
        <v>2185.0001154400002</v>
      </c>
      <c r="E33" s="249">
        <v>536.84083036304355</v>
      </c>
      <c r="F33" s="524">
        <v>3895.0676720799997</v>
      </c>
      <c r="G33" s="645">
        <v>1</v>
      </c>
      <c r="H33" s="619">
        <v>484.1041992533095</v>
      </c>
      <c r="I33" s="646"/>
      <c r="J33" s="646"/>
    </row>
    <row r="34" spans="1:10" ht="20" customHeight="1">
      <c r="A34" s="189" t="s">
        <v>346</v>
      </c>
      <c r="B34" s="365"/>
      <c r="C34" s="301"/>
      <c r="D34" s="365"/>
      <c r="E34" s="301"/>
      <c r="F34" s="365"/>
      <c r="G34" s="365"/>
      <c r="H34" s="365"/>
    </row>
    <row r="35" spans="1:10" ht="12.75" customHeight="1">
      <c r="A35" s="219"/>
      <c r="B35" s="366"/>
      <c r="C35" s="218"/>
      <c r="D35" s="366"/>
      <c r="E35" s="218"/>
      <c r="F35" s="366"/>
      <c r="G35" s="366"/>
      <c r="H35" s="366"/>
    </row>
    <row r="36" spans="1:10" ht="16.5" customHeight="1">
      <c r="A36" s="219" t="s">
        <v>1884</v>
      </c>
      <c r="B36" s="366"/>
      <c r="C36" s="218"/>
      <c r="D36" s="366"/>
      <c r="E36" s="218"/>
      <c r="F36" s="366"/>
      <c r="G36" s="366"/>
      <c r="H36" s="366"/>
    </row>
    <row r="37" spans="1:10" ht="14.25" customHeight="1">
      <c r="A37" s="219"/>
      <c r="B37" s="366"/>
      <c r="C37" s="218"/>
      <c r="D37" s="366"/>
      <c r="E37" s="218"/>
      <c r="F37" s="366"/>
      <c r="G37" s="366"/>
      <c r="H37" s="366"/>
    </row>
    <row r="38" spans="1:10" ht="13.5" customHeight="1">
      <c r="A38" s="1087" t="s">
        <v>536</v>
      </c>
      <c r="B38" s="366"/>
      <c r="C38" s="218"/>
      <c r="D38" s="366"/>
      <c r="E38" s="218"/>
      <c r="F38" s="366"/>
      <c r="G38" s="366"/>
      <c r="H38" s="366"/>
    </row>
    <row r="39" spans="1:10" ht="12" customHeight="1">
      <c r="A39" s="219"/>
      <c r="B39" s="366"/>
      <c r="C39" s="218"/>
      <c r="D39" s="366"/>
      <c r="E39" s="218"/>
      <c r="F39" s="366"/>
      <c r="G39" s="366"/>
      <c r="H39" s="366"/>
    </row>
    <row r="40" spans="1:10" ht="14.25" customHeight="1">
      <c r="A40" s="219"/>
      <c r="B40" s="366"/>
      <c r="C40" s="218"/>
      <c r="D40" s="366"/>
      <c r="E40" s="218"/>
      <c r="F40" s="366"/>
      <c r="G40" s="366"/>
      <c r="H40" s="366"/>
    </row>
    <row r="41" spans="1:10" ht="15.75" customHeight="1">
      <c r="A41" s="219" t="s">
        <v>302</v>
      </c>
      <c r="B41" s="366"/>
      <c r="C41" s="218"/>
      <c r="D41" s="366"/>
      <c r="E41" s="218"/>
      <c r="F41" s="366"/>
      <c r="G41" s="366"/>
      <c r="H41" s="366"/>
    </row>
    <row r="42" spans="1:10" ht="18" customHeight="1">
      <c r="A42"/>
    </row>
    <row r="43" spans="1:10" ht="30" customHeight="1"/>
    <row r="44" spans="1:10" ht="30" customHeight="1"/>
    <row r="45" spans="1:10" ht="30" customHeight="1"/>
    <row r="46" spans="1:10" ht="30" customHeight="1"/>
    <row r="47" spans="1:10" ht="30" customHeight="1"/>
    <row r="48" spans="1:10" ht="30" customHeight="1"/>
    <row r="49" ht="30" customHeight="1"/>
    <row r="50" ht="30" customHeight="1"/>
  </sheetData>
  <mergeCells count="3">
    <mergeCell ref="B3:C3"/>
    <mergeCell ref="D3:E3"/>
    <mergeCell ref="F3:H3"/>
  </mergeCells>
  <pageMargins left="0.54" right="0.55118110236220474" top="0.6692913385826772" bottom="0.47244094488188981" header="0.43307086614173229" footer="0.51181102362204722"/>
  <pageSetup paperSize="9" scale="70" orientation="portrait"/>
  <headerFooter alignWithMargins="0"/>
  <rowBreaks count="1" manualBreakCount="1">
    <brk id="41"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7897D-6AC7-F345-98DF-57C19329CB61}">
  <sheetPr>
    <pageSetUpPr fitToPage="1"/>
  </sheetPr>
  <dimension ref="A1:H44"/>
  <sheetViews>
    <sheetView zoomScaleNormal="100" workbookViewId="0"/>
  </sheetViews>
  <sheetFormatPr baseColWidth="10" defaultColWidth="11.3984375" defaultRowHeight="13"/>
  <cols>
    <col min="1" max="1" width="19.796875" style="3" customWidth="1"/>
    <col min="2" max="6" width="18.3984375" style="3" customWidth="1"/>
    <col min="7" max="7" width="16.796875" style="3" customWidth="1"/>
    <col min="8" max="8" width="12.19921875" style="3" customWidth="1"/>
    <col min="9" max="16384" width="11.3984375" style="3"/>
  </cols>
  <sheetData>
    <row r="1" spans="1:8" s="1" customFormat="1" ht="14" customHeight="1"/>
    <row r="2" spans="1:8" s="1" customFormat="1" ht="27.75" customHeight="1">
      <c r="A2" s="2010" t="s">
        <v>494</v>
      </c>
      <c r="B2" s="2011"/>
      <c r="C2" s="2011"/>
      <c r="D2" s="2011"/>
      <c r="E2" s="2011"/>
      <c r="F2" s="311">
        <v>2013</v>
      </c>
    </row>
    <row r="3" spans="1:8" ht="27" customHeight="1">
      <c r="A3" s="224" t="s">
        <v>67</v>
      </c>
      <c r="B3" s="267" t="s">
        <v>495</v>
      </c>
      <c r="C3" s="268" t="s">
        <v>496</v>
      </c>
      <c r="D3" s="267" t="s">
        <v>497</v>
      </c>
      <c r="E3" s="268" t="s">
        <v>498</v>
      </c>
      <c r="F3" s="225" t="s">
        <v>475</v>
      </c>
    </row>
    <row r="4" spans="1:8" ht="15" customHeight="1">
      <c r="A4" s="306"/>
      <c r="B4" s="270"/>
      <c r="C4" s="271"/>
      <c r="D4" s="332"/>
      <c r="E4" s="271"/>
      <c r="F4" s="332" t="s">
        <v>476</v>
      </c>
    </row>
    <row r="5" spans="1:8" ht="15" customHeight="1">
      <c r="A5" s="306"/>
      <c r="B5" s="270" t="s">
        <v>499</v>
      </c>
      <c r="C5" s="271" t="s">
        <v>500</v>
      </c>
      <c r="D5" s="270" t="s">
        <v>501</v>
      </c>
      <c r="E5" s="271"/>
      <c r="F5" s="332" t="s">
        <v>477</v>
      </c>
    </row>
    <row r="6" spans="1:8" ht="24" customHeight="1">
      <c r="A6" s="307"/>
      <c r="B6" s="229"/>
      <c r="C6" s="307"/>
      <c r="D6" s="229"/>
      <c r="E6" s="275"/>
      <c r="F6" s="274"/>
      <c r="H6" s="333"/>
    </row>
    <row r="7" spans="1:8" ht="30" customHeight="1" thickBot="1">
      <c r="A7" s="334" t="s">
        <v>502</v>
      </c>
      <c r="B7" s="335">
        <v>1087.7350870342636</v>
      </c>
      <c r="C7" s="336">
        <v>1279.1312468059407</v>
      </c>
      <c r="D7" s="335">
        <v>3664.355041678612</v>
      </c>
      <c r="E7" s="336">
        <v>3014.9596824979967</v>
      </c>
      <c r="F7" s="337">
        <v>9.4410107076700486E-2</v>
      </c>
      <c r="H7" s="338"/>
    </row>
    <row r="8" spans="1:8" ht="20" customHeight="1" thickBot="1">
      <c r="A8" s="339" t="s">
        <v>503</v>
      </c>
      <c r="B8" s="335">
        <v>871.73003594304987</v>
      </c>
      <c r="C8" s="336">
        <v>1067.5697749843964</v>
      </c>
      <c r="D8" s="335">
        <v>3786.3356242555287</v>
      </c>
      <c r="E8" s="336">
        <v>3044.688293028421</v>
      </c>
      <c r="F8" s="337">
        <v>3.2362271829346534E-2</v>
      </c>
      <c r="H8" s="338"/>
    </row>
    <row r="9" spans="1:8" ht="20" customHeight="1" thickBot="1">
      <c r="A9" s="339" t="s">
        <v>504</v>
      </c>
      <c r="B9" s="335">
        <v>851.26687588812592</v>
      </c>
      <c r="C9" s="336">
        <v>934.4718567439636</v>
      </c>
      <c r="D9" s="335">
        <v>3294.0060468023021</v>
      </c>
      <c r="E9" s="336">
        <v>2605.8268392974546</v>
      </c>
      <c r="F9" s="337">
        <v>6.9518142205462957E-2</v>
      </c>
      <c r="H9" s="338"/>
    </row>
    <row r="10" spans="1:8" ht="20" customHeight="1" thickBot="1">
      <c r="A10" s="339" t="s">
        <v>505</v>
      </c>
      <c r="B10" s="335">
        <v>688.54395150218943</v>
      </c>
      <c r="C10" s="336">
        <v>840.93043742117777</v>
      </c>
      <c r="D10" s="335">
        <v>3019.3688169473685</v>
      </c>
      <c r="E10" s="336">
        <v>2378.2070043834838</v>
      </c>
      <c r="F10" s="337">
        <v>5.2061142718910082E-2</v>
      </c>
      <c r="H10" s="338"/>
    </row>
    <row r="11" spans="1:8" ht="20" customHeight="1" thickBot="1">
      <c r="A11" s="339" t="s">
        <v>506</v>
      </c>
      <c r="B11" s="335">
        <v>964.3132224282632</v>
      </c>
      <c r="C11" s="336">
        <v>915.00146025051356</v>
      </c>
      <c r="D11" s="335">
        <v>3173.1255991208209</v>
      </c>
      <c r="E11" s="336">
        <v>2561.1874918662857</v>
      </c>
      <c r="F11" s="337">
        <v>5.9978769397942541E-2</v>
      </c>
      <c r="H11" s="338"/>
    </row>
    <row r="12" spans="1:8" ht="20" customHeight="1" thickBot="1">
      <c r="A12" s="339" t="s">
        <v>507</v>
      </c>
      <c r="B12" s="335">
        <v>915.23182222519654</v>
      </c>
      <c r="C12" s="336">
        <v>789.53972961910586</v>
      </c>
      <c r="D12" s="335">
        <v>3199.4479864109921</v>
      </c>
      <c r="E12" s="336">
        <v>2535.1749151024528</v>
      </c>
      <c r="F12" s="337">
        <v>0.11184565070861716</v>
      </c>
      <c r="H12" s="338"/>
    </row>
    <row r="13" spans="1:8" ht="20" customHeight="1" thickBot="1">
      <c r="A13" s="339" t="s">
        <v>508</v>
      </c>
      <c r="B13" s="335">
        <v>774.30844393274378</v>
      </c>
      <c r="C13" s="336">
        <v>736.62934084381993</v>
      </c>
      <c r="D13" s="335">
        <v>3124.9186820861587</v>
      </c>
      <c r="E13" s="336">
        <v>2504.6193053306724</v>
      </c>
      <c r="F13" s="337">
        <v>9.5025090571018142E-2</v>
      </c>
      <c r="H13" s="338"/>
    </row>
    <row r="14" spans="1:8" ht="20" customHeight="1" thickBot="1">
      <c r="A14" s="339" t="s">
        <v>509</v>
      </c>
      <c r="B14" s="335">
        <v>880.504152435332</v>
      </c>
      <c r="C14" s="336">
        <v>1037.3783413594808</v>
      </c>
      <c r="D14" s="335">
        <v>3237.3348905019634</v>
      </c>
      <c r="E14" s="336">
        <v>2611.1281182786765</v>
      </c>
      <c r="F14" s="337">
        <v>4.4598848107759617E-2</v>
      </c>
      <c r="H14" s="338"/>
    </row>
    <row r="15" spans="1:8" ht="20" customHeight="1" thickBot="1">
      <c r="A15" s="339" t="s">
        <v>510</v>
      </c>
      <c r="B15" s="335">
        <v>842.76543554510613</v>
      </c>
      <c r="C15" s="336">
        <v>1030.4759372995795</v>
      </c>
      <c r="D15" s="335">
        <v>3020.2685915378088</v>
      </c>
      <c r="E15" s="336">
        <v>2458.2066009972814</v>
      </c>
      <c r="F15" s="337">
        <v>6.51179121491334E-2</v>
      </c>
      <c r="H15" s="338"/>
    </row>
    <row r="16" spans="1:8" ht="20" customHeight="1" thickBot="1">
      <c r="A16" s="339" t="s">
        <v>511</v>
      </c>
      <c r="B16" s="335">
        <v>959.99166879528786</v>
      </c>
      <c r="C16" s="336">
        <v>1063.8073278509175</v>
      </c>
      <c r="D16" s="335">
        <v>3654.3788799356439</v>
      </c>
      <c r="E16" s="336">
        <v>2836.5384981855614</v>
      </c>
      <c r="F16" s="337">
        <v>0.13149022949392145</v>
      </c>
      <c r="H16" s="338"/>
    </row>
    <row r="17" spans="1:8" ht="20" customHeight="1" thickBot="1">
      <c r="A17" s="339" t="s">
        <v>512</v>
      </c>
      <c r="B17" s="335">
        <v>962.03640021534386</v>
      </c>
      <c r="C17" s="336">
        <v>1080.3418216024402</v>
      </c>
      <c r="D17" s="335">
        <v>3634.7627115874616</v>
      </c>
      <c r="E17" s="336">
        <v>2932.1867802500878</v>
      </c>
      <c r="F17" s="337">
        <v>8.010514307572722E-2</v>
      </c>
      <c r="H17" s="338"/>
    </row>
    <row r="18" spans="1:8" ht="20" customHeight="1" thickBot="1">
      <c r="A18" s="339" t="s">
        <v>513</v>
      </c>
      <c r="B18" s="335">
        <v>1339.7204077161823</v>
      </c>
      <c r="C18" s="336">
        <v>1473.9934900881319</v>
      </c>
      <c r="D18" s="335">
        <v>4788.3295028971761</v>
      </c>
      <c r="E18" s="336">
        <v>4007.8084585957063</v>
      </c>
      <c r="F18" s="337">
        <v>4.8542400173415601E-2</v>
      </c>
      <c r="H18" s="338"/>
    </row>
    <row r="19" spans="1:8" ht="20" customHeight="1" thickBot="1">
      <c r="A19" s="339" t="s">
        <v>514</v>
      </c>
      <c r="B19" s="335">
        <v>1118.3793308162196</v>
      </c>
      <c r="C19" s="336">
        <v>1287.835749124454</v>
      </c>
      <c r="D19" s="335">
        <v>4029.4786895428392</v>
      </c>
      <c r="E19" s="336">
        <v>3298.1230405657584</v>
      </c>
      <c r="F19" s="337">
        <v>8.5087473850182671E-2</v>
      </c>
      <c r="H19" s="338"/>
    </row>
    <row r="20" spans="1:8" ht="20" customHeight="1" thickBot="1">
      <c r="A20" s="339" t="s">
        <v>515</v>
      </c>
      <c r="B20" s="335">
        <v>800.68877253238963</v>
      </c>
      <c r="C20" s="336">
        <v>975.44704030971104</v>
      </c>
      <c r="D20" s="335">
        <v>3571.7869434025438</v>
      </c>
      <c r="E20" s="336">
        <v>2862.0648451336015</v>
      </c>
      <c r="F20" s="337">
        <v>6.6278229186238963E-2</v>
      </c>
      <c r="H20" s="338"/>
    </row>
    <row r="21" spans="1:8" ht="20" customHeight="1" thickBot="1">
      <c r="A21" s="339" t="s">
        <v>516</v>
      </c>
      <c r="B21" s="335">
        <v>786.46164725093684</v>
      </c>
      <c r="C21" s="336">
        <v>1023.1331918054547</v>
      </c>
      <c r="D21" s="335">
        <v>3150.3098424423097</v>
      </c>
      <c r="E21" s="336">
        <v>2510.5355856946485</v>
      </c>
      <c r="F21" s="337">
        <v>6.7150759823367309E-2</v>
      </c>
      <c r="H21" s="338"/>
    </row>
    <row r="22" spans="1:8" ht="20" customHeight="1" thickBot="1">
      <c r="A22" s="340" t="s">
        <v>517</v>
      </c>
      <c r="B22" s="341">
        <v>606.49139885115721</v>
      </c>
      <c r="C22" s="342">
        <v>621.06113350837234</v>
      </c>
      <c r="D22" s="341">
        <v>2750.0855346868334</v>
      </c>
      <c r="E22" s="342">
        <v>2081.9374619715222</v>
      </c>
      <c r="F22" s="343">
        <v>4.8208386176665348E-2</v>
      </c>
      <c r="H22" s="338"/>
    </row>
    <row r="23" spans="1:8" ht="20" customHeight="1" thickBot="1">
      <c r="A23" s="344" t="s">
        <v>518</v>
      </c>
      <c r="B23" s="345">
        <v>888.87143974152707</v>
      </c>
      <c r="C23" s="346">
        <v>934.2300060591964</v>
      </c>
      <c r="D23" s="345">
        <v>3299.9539120341037</v>
      </c>
      <c r="E23" s="346">
        <v>2609.3171991167683</v>
      </c>
      <c r="F23" s="347">
        <v>7.3329723278357434E-2</v>
      </c>
      <c r="H23" s="338"/>
    </row>
    <row r="24" spans="1:8" ht="20" customHeight="1" thickBot="1">
      <c r="A24" s="344" t="s">
        <v>519</v>
      </c>
      <c r="B24" s="345">
        <v>950.69815619229598</v>
      </c>
      <c r="C24" s="346">
        <v>858.30387755691311</v>
      </c>
      <c r="D24" s="345">
        <v>3112.8972680016022</v>
      </c>
      <c r="E24" s="346">
        <v>2547.7632728973726</v>
      </c>
      <c r="F24" s="347">
        <v>7.0019587204252692E-2</v>
      </c>
      <c r="H24" s="338"/>
    </row>
    <row r="25" spans="1:8" ht="20" customHeight="1" thickBot="1">
      <c r="A25" s="344" t="s">
        <v>520</v>
      </c>
      <c r="B25" s="345">
        <v>1020.5186875405582</v>
      </c>
      <c r="C25" s="346">
        <v>1147.3631656176635</v>
      </c>
      <c r="D25" s="345">
        <v>3445.2277159729879</v>
      </c>
      <c r="E25" s="346">
        <v>2789.6160952359169</v>
      </c>
      <c r="F25" s="347">
        <v>6.9864281961649344E-2</v>
      </c>
      <c r="H25" s="338"/>
    </row>
    <row r="26" spans="1:8" ht="20" customHeight="1" thickBot="1">
      <c r="A26" s="344" t="s">
        <v>521</v>
      </c>
      <c r="B26" s="345">
        <v>947.69953268321638</v>
      </c>
      <c r="C26" s="346">
        <v>1020.1786354241302</v>
      </c>
      <c r="D26" s="345">
        <v>3204.9354046686776</v>
      </c>
      <c r="E26" s="346">
        <v>2566.104334051794</v>
      </c>
      <c r="F26" s="347">
        <v>9.897230590774915E-2</v>
      </c>
      <c r="H26" s="338"/>
    </row>
    <row r="27" spans="1:8" ht="20" customHeight="1" thickBot="1">
      <c r="A27" s="344" t="s">
        <v>522</v>
      </c>
      <c r="B27" s="345">
        <v>1009.5812954952166</v>
      </c>
      <c r="C27" s="346">
        <v>897.39717771738515</v>
      </c>
      <c r="D27" s="345">
        <v>3906.0623809956069</v>
      </c>
      <c r="E27" s="346">
        <v>3184.9024335133963</v>
      </c>
      <c r="F27" s="347">
        <v>4.2775482796135841E-2</v>
      </c>
      <c r="H27" s="338"/>
    </row>
    <row r="28" spans="1:8" ht="20" customHeight="1" thickBot="1">
      <c r="A28" s="344" t="s">
        <v>523</v>
      </c>
      <c r="B28" s="345">
        <v>1156.4112508469982</v>
      </c>
      <c r="C28" s="346">
        <v>1199.3237904951034</v>
      </c>
      <c r="D28" s="345">
        <v>4210.0966703890663</v>
      </c>
      <c r="E28" s="346">
        <v>3321.957204341295</v>
      </c>
      <c r="F28" s="347">
        <v>8.9620790555507132E-2</v>
      </c>
      <c r="H28" s="338"/>
    </row>
    <row r="29" spans="1:8" ht="20" customHeight="1" thickBot="1">
      <c r="A29" s="344" t="s">
        <v>524</v>
      </c>
      <c r="B29" s="345">
        <v>922.09555452412064</v>
      </c>
      <c r="C29" s="346">
        <v>921.604782533665</v>
      </c>
      <c r="D29" s="345">
        <v>3394.7409551050755</v>
      </c>
      <c r="E29" s="346">
        <v>2711.4473814612261</v>
      </c>
      <c r="F29" s="347">
        <v>3.9032037190168713E-2</v>
      </c>
      <c r="H29" s="338"/>
    </row>
    <row r="30" spans="1:8" ht="20" customHeight="1" thickBot="1">
      <c r="A30" s="344" t="s">
        <v>525</v>
      </c>
      <c r="B30" s="345">
        <v>981.58313346007117</v>
      </c>
      <c r="C30" s="346">
        <v>943.876918118086</v>
      </c>
      <c r="D30" s="345">
        <v>4015.672020820854</v>
      </c>
      <c r="E30" s="346">
        <v>3135.2472851898128</v>
      </c>
      <c r="F30" s="347">
        <v>9.1662050294228914E-2</v>
      </c>
      <c r="H30" s="338"/>
    </row>
    <row r="31" spans="1:8" ht="20" customHeight="1" thickBot="1">
      <c r="A31" s="348" t="s">
        <v>526</v>
      </c>
      <c r="B31" s="349">
        <v>1384.803524178747</v>
      </c>
      <c r="C31" s="350">
        <v>1533.4287539208779</v>
      </c>
      <c r="D31" s="349">
        <v>4754.6003466699649</v>
      </c>
      <c r="E31" s="350">
        <v>3802.3666659834998</v>
      </c>
      <c r="F31" s="351">
        <v>4.0926516050582194E-2</v>
      </c>
      <c r="H31" s="338"/>
    </row>
    <row r="32" spans="1:8" ht="20" customHeight="1" thickBot="1">
      <c r="A32" s="234" t="s">
        <v>527</v>
      </c>
      <c r="B32" s="335">
        <v>912.82946018243547</v>
      </c>
      <c r="C32" s="336">
        <v>872.70611665975343</v>
      </c>
      <c r="D32" s="335">
        <v>3978.3607743854623</v>
      </c>
      <c r="E32" s="336">
        <v>3072.8468727723621</v>
      </c>
      <c r="F32" s="337">
        <v>8.6887862132429397E-2</v>
      </c>
      <c r="H32" s="338"/>
    </row>
    <row r="33" spans="1:8" ht="20" customHeight="1" thickBot="1">
      <c r="A33" s="297" t="s">
        <v>528</v>
      </c>
      <c r="B33" s="335">
        <v>663.89240953549779</v>
      </c>
      <c r="C33" s="336">
        <v>598.35754936708872</v>
      </c>
      <c r="D33" s="335">
        <v>810.30009586079132</v>
      </c>
      <c r="E33" s="336">
        <v>772.88209978162263</v>
      </c>
      <c r="F33" s="337">
        <v>-5.1561732358685261E-2</v>
      </c>
      <c r="H33" s="338"/>
    </row>
    <row r="34" spans="1:8" ht="0.5" customHeight="1" thickBot="1">
      <c r="A34" s="234" t="s">
        <v>529</v>
      </c>
      <c r="B34" s="352" t="s">
        <v>153</v>
      </c>
      <c r="C34" s="353" t="s">
        <v>153</v>
      </c>
      <c r="D34" s="352" t="s">
        <v>153</v>
      </c>
      <c r="E34" s="353" t="s">
        <v>153</v>
      </c>
      <c r="F34" s="337" t="s">
        <v>153</v>
      </c>
      <c r="H34" s="338"/>
    </row>
    <row r="35" spans="1:8" ht="30" customHeight="1" thickBot="1">
      <c r="A35" s="354" t="s">
        <v>530</v>
      </c>
      <c r="B35" s="355">
        <v>1015.0984010650361</v>
      </c>
      <c r="C35" s="356">
        <v>1107.6824754299328</v>
      </c>
      <c r="D35" s="355">
        <v>3711.816288540565</v>
      </c>
      <c r="E35" s="356">
        <v>2986.7805826714657</v>
      </c>
      <c r="F35" s="357">
        <v>7.0235355158365903E-2</v>
      </c>
      <c r="H35" s="338"/>
    </row>
    <row r="36" spans="1:8" ht="20" customHeight="1">
      <c r="A36" s="189" t="s">
        <v>346</v>
      </c>
      <c r="B36" s="189"/>
      <c r="C36" s="189"/>
      <c r="D36" s="189"/>
      <c r="E36" s="189"/>
      <c r="F36" s="189"/>
      <c r="H36" s="333"/>
    </row>
    <row r="37" spans="1:8" ht="11.25" customHeight="1">
      <c r="A37" s="219"/>
      <c r="B37" s="219"/>
      <c r="C37" s="219"/>
      <c r="D37" s="219"/>
      <c r="E37" s="219"/>
      <c r="F37" s="219"/>
      <c r="H37" s="333"/>
    </row>
    <row r="38" spans="1:8" ht="14.25" customHeight="1">
      <c r="A38" s="219" t="s">
        <v>531</v>
      </c>
      <c r="B38" s="219"/>
      <c r="C38" s="219"/>
      <c r="D38" s="219"/>
      <c r="E38" s="219"/>
      <c r="F38" s="219"/>
      <c r="H38" s="333"/>
    </row>
    <row r="39" spans="1:8" ht="13.5" customHeight="1">
      <c r="A39" s="219"/>
      <c r="B39" s="219"/>
      <c r="C39" s="219"/>
      <c r="D39" s="219"/>
      <c r="E39" s="219"/>
      <c r="F39" s="219"/>
      <c r="H39" s="333"/>
    </row>
    <row r="40" spans="1:8" ht="15" customHeight="1">
      <c r="A40" s="219" t="s">
        <v>532</v>
      </c>
      <c r="B40" s="219"/>
      <c r="C40" s="219"/>
      <c r="D40" s="219"/>
      <c r="E40" s="219"/>
    </row>
    <row r="41" spans="1:8" ht="13.5" customHeight="1">
      <c r="A41" s="219" t="s">
        <v>533</v>
      </c>
    </row>
    <row r="42" spans="1:8" ht="13.5" customHeight="1">
      <c r="A42" s="219"/>
    </row>
    <row r="43" spans="1:8" ht="12" customHeight="1"/>
    <row r="44" spans="1:8" ht="12" customHeight="1">
      <c r="A44" s="219" t="s">
        <v>302</v>
      </c>
    </row>
  </sheetData>
  <mergeCells count="1">
    <mergeCell ref="A2:E2"/>
  </mergeCells>
  <pageMargins left="0.65" right="0.5" top="0.87" bottom="0.49" header="0.51" footer="0.4921259845"/>
  <pageSetup paperSize="9" scale="72" orientation="portrait"/>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FDB9-DC3F-444E-AE2E-303A293D5493}">
  <sheetPr>
    <pageSetUpPr fitToPage="1"/>
  </sheetPr>
  <dimension ref="A1:H44"/>
  <sheetViews>
    <sheetView zoomScaleNormal="100" workbookViewId="0">
      <selection activeCell="H19" sqref="H19"/>
    </sheetView>
  </sheetViews>
  <sheetFormatPr baseColWidth="10" defaultColWidth="11.3984375" defaultRowHeight="13"/>
  <cols>
    <col min="1" max="1" width="19.59765625" style="3" customWidth="1"/>
    <col min="2" max="5" width="18.59765625" style="3" customWidth="1"/>
    <col min="6" max="6" width="20" style="3" customWidth="1"/>
    <col min="7" max="7" width="16.796875" style="3" customWidth="1"/>
    <col min="8" max="8" width="12.19921875" style="3" customWidth="1"/>
    <col min="9" max="16384" width="11.3984375" style="3"/>
  </cols>
  <sheetData>
    <row r="1" spans="1:8" s="1" customFormat="1" ht="14" customHeight="1"/>
    <row r="2" spans="1:8" s="1" customFormat="1" ht="26.5" customHeight="1">
      <c r="A2" s="2010" t="s">
        <v>1593</v>
      </c>
      <c r="B2" s="2011"/>
      <c r="C2" s="2011"/>
      <c r="D2" s="2011"/>
      <c r="E2" s="2011"/>
      <c r="F2" s="311">
        <v>2013</v>
      </c>
    </row>
    <row r="3" spans="1:8" ht="27" customHeight="1">
      <c r="A3" s="224" t="s">
        <v>67</v>
      </c>
      <c r="B3" s="267" t="s">
        <v>495</v>
      </c>
      <c r="C3" s="268" t="s">
        <v>496</v>
      </c>
      <c r="D3" s="267" t="s">
        <v>497</v>
      </c>
      <c r="E3" s="268" t="s">
        <v>498</v>
      </c>
      <c r="F3" s="225" t="s">
        <v>475</v>
      </c>
    </row>
    <row r="4" spans="1:8" ht="15" customHeight="1">
      <c r="A4" s="306"/>
      <c r="B4" s="270"/>
      <c r="C4" s="271"/>
      <c r="D4" s="332"/>
      <c r="E4" s="271"/>
      <c r="F4" s="332" t="s">
        <v>476</v>
      </c>
    </row>
    <row r="5" spans="1:8" ht="15" customHeight="1">
      <c r="A5" s="306"/>
      <c r="B5" s="270" t="s">
        <v>499</v>
      </c>
      <c r="C5" s="271" t="s">
        <v>500</v>
      </c>
      <c r="D5" s="270" t="s">
        <v>501</v>
      </c>
      <c r="E5" s="271"/>
      <c r="F5" s="332" t="s">
        <v>477</v>
      </c>
    </row>
    <row r="6" spans="1:8" ht="24" customHeight="1">
      <c r="A6" s="307"/>
      <c r="B6" s="229"/>
      <c r="C6" s="307"/>
      <c r="D6" s="229"/>
      <c r="E6" s="275"/>
      <c r="F6" s="274"/>
      <c r="H6" s="333"/>
    </row>
    <row r="7" spans="1:8" ht="30" customHeight="1" thickBot="1">
      <c r="A7" s="334" t="s">
        <v>502</v>
      </c>
      <c r="B7" s="335">
        <v>102.20687358927745</v>
      </c>
      <c r="C7" s="336">
        <v>384.52667944194849</v>
      </c>
      <c r="D7" s="335">
        <v>607.02936010035</v>
      </c>
      <c r="E7" s="336">
        <v>497.96400623141744</v>
      </c>
      <c r="F7" s="337">
        <v>5.0637776526390822E-2</v>
      </c>
      <c r="H7" s="338"/>
    </row>
    <row r="8" spans="1:8" ht="20" customHeight="1" thickBot="1">
      <c r="A8" s="339" t="s">
        <v>503</v>
      </c>
      <c r="B8" s="335">
        <v>88.637824825759338</v>
      </c>
      <c r="C8" s="336">
        <v>360.87759406553226</v>
      </c>
      <c r="D8" s="335">
        <v>598.6043811359641</v>
      </c>
      <c r="E8" s="336">
        <v>488.3779804163006</v>
      </c>
      <c r="F8" s="337">
        <v>3.605452412231281E-2</v>
      </c>
      <c r="H8" s="338"/>
    </row>
    <row r="9" spans="1:8" ht="20" customHeight="1" thickBot="1">
      <c r="A9" s="339" t="s">
        <v>504</v>
      </c>
      <c r="B9" s="335">
        <v>88.927704985517593</v>
      </c>
      <c r="C9" s="336">
        <v>339.24132677821621</v>
      </c>
      <c r="D9" s="335">
        <v>538.39303165353863</v>
      </c>
      <c r="E9" s="336">
        <v>433.24109149170403</v>
      </c>
      <c r="F9" s="337">
        <v>4.7991100811349843E-2</v>
      </c>
      <c r="H9" s="338"/>
    </row>
    <row r="10" spans="1:8" ht="20" customHeight="1" thickBot="1">
      <c r="A10" s="339" t="s">
        <v>505</v>
      </c>
      <c r="B10" s="335">
        <v>84.856443012182254</v>
      </c>
      <c r="C10" s="336">
        <v>334.10868046665848</v>
      </c>
      <c r="D10" s="335">
        <v>523.15720100892315</v>
      </c>
      <c r="E10" s="336">
        <v>422.02742831615336</v>
      </c>
      <c r="F10" s="337">
        <v>3.800183806857476E-2</v>
      </c>
      <c r="H10" s="338"/>
    </row>
    <row r="11" spans="1:8" ht="20" customHeight="1" thickBot="1">
      <c r="A11" s="339" t="s">
        <v>506</v>
      </c>
      <c r="B11" s="335">
        <v>99.863585998611654</v>
      </c>
      <c r="C11" s="336">
        <v>401.90451475742748</v>
      </c>
      <c r="D11" s="335">
        <v>581.09414593982297</v>
      </c>
      <c r="E11" s="336">
        <v>474.30090944029848</v>
      </c>
      <c r="F11" s="337">
        <v>3.9691896322112889E-2</v>
      </c>
      <c r="H11" s="338"/>
    </row>
    <row r="12" spans="1:8" ht="20" customHeight="1" thickBot="1">
      <c r="A12" s="339" t="s">
        <v>507</v>
      </c>
      <c r="B12" s="335">
        <v>90.957204324462992</v>
      </c>
      <c r="C12" s="336">
        <v>327.76428279065351</v>
      </c>
      <c r="D12" s="335">
        <v>534.66071350639129</v>
      </c>
      <c r="E12" s="336">
        <v>429.49864491887263</v>
      </c>
      <c r="F12" s="337">
        <v>5.5611172658503266E-2</v>
      </c>
      <c r="H12" s="338"/>
    </row>
    <row r="13" spans="1:8" ht="20" customHeight="1" thickBot="1">
      <c r="A13" s="339" t="s">
        <v>508</v>
      </c>
      <c r="B13" s="335">
        <v>83.652522520413328</v>
      </c>
      <c r="C13" s="336">
        <v>319.16780387640995</v>
      </c>
      <c r="D13" s="335">
        <v>532.70019160257254</v>
      </c>
      <c r="E13" s="336">
        <v>435.3338918983431</v>
      </c>
      <c r="F13" s="337">
        <v>5.7850434794750619E-2</v>
      </c>
      <c r="H13" s="338"/>
    </row>
    <row r="14" spans="1:8" ht="20" customHeight="1" thickBot="1">
      <c r="A14" s="339" t="s">
        <v>509</v>
      </c>
      <c r="B14" s="335">
        <v>92.163300086687613</v>
      </c>
      <c r="C14" s="336">
        <v>359.02825276385732</v>
      </c>
      <c r="D14" s="335">
        <v>559.29281893860093</v>
      </c>
      <c r="E14" s="336">
        <v>457.02167492298889</v>
      </c>
      <c r="F14" s="337">
        <v>3.8765191603028541E-2</v>
      </c>
      <c r="H14" s="338"/>
    </row>
    <row r="15" spans="1:8" ht="20" customHeight="1" thickBot="1">
      <c r="A15" s="339" t="s">
        <v>510</v>
      </c>
      <c r="B15" s="335">
        <v>86.222067136891425</v>
      </c>
      <c r="C15" s="336">
        <v>357.23127071011186</v>
      </c>
      <c r="D15" s="335">
        <v>546.89806928680048</v>
      </c>
      <c r="E15" s="336">
        <v>445.65727907991743</v>
      </c>
      <c r="F15" s="337">
        <v>4.1842121278636013E-2</v>
      </c>
      <c r="H15" s="338"/>
    </row>
    <row r="16" spans="1:8" ht="20" customHeight="1" thickBot="1">
      <c r="A16" s="339" t="s">
        <v>511</v>
      </c>
      <c r="B16" s="335">
        <v>96.463560350796797</v>
      </c>
      <c r="C16" s="336">
        <v>374.31661064024593</v>
      </c>
      <c r="D16" s="335">
        <v>587.39294438589718</v>
      </c>
      <c r="E16" s="336">
        <v>461.79210574678393</v>
      </c>
      <c r="F16" s="337">
        <v>5.3228907993394442E-2</v>
      </c>
      <c r="H16" s="338"/>
    </row>
    <row r="17" spans="1:8" ht="20" customHeight="1" thickBot="1">
      <c r="A17" s="339" t="s">
        <v>512</v>
      </c>
      <c r="B17" s="335">
        <v>93.365627847299407</v>
      </c>
      <c r="C17" s="336">
        <v>371.75962476702591</v>
      </c>
      <c r="D17" s="335">
        <v>591.67540677012221</v>
      </c>
      <c r="E17" s="336">
        <v>482.97921131720261</v>
      </c>
      <c r="F17" s="337">
        <v>4.1331344642564924E-2</v>
      </c>
      <c r="H17" s="338"/>
    </row>
    <row r="18" spans="1:8" ht="20" customHeight="1" thickBot="1">
      <c r="A18" s="339" t="s">
        <v>513</v>
      </c>
      <c r="B18" s="335">
        <v>121.19027186086807</v>
      </c>
      <c r="C18" s="336">
        <v>426.72483188249714</v>
      </c>
      <c r="D18" s="335">
        <v>661.02511237210194</v>
      </c>
      <c r="E18" s="336">
        <v>559.34587584323481</v>
      </c>
      <c r="F18" s="337">
        <v>2.5511126832198663E-2</v>
      </c>
      <c r="H18" s="338"/>
    </row>
    <row r="19" spans="1:8" ht="20" customHeight="1" thickBot="1">
      <c r="A19" s="339" t="s">
        <v>514</v>
      </c>
      <c r="B19" s="335">
        <v>114.599003867379</v>
      </c>
      <c r="C19" s="336">
        <v>422.15712021045846</v>
      </c>
      <c r="D19" s="335">
        <v>672.12083170805272</v>
      </c>
      <c r="E19" s="336">
        <v>553.33852762146944</v>
      </c>
      <c r="F19" s="337">
        <v>4.3062673239502351E-2</v>
      </c>
      <c r="H19" s="338"/>
    </row>
    <row r="20" spans="1:8" ht="20" customHeight="1" thickBot="1">
      <c r="A20" s="339" t="s">
        <v>515</v>
      </c>
      <c r="B20" s="335">
        <v>78.842686874567562</v>
      </c>
      <c r="C20" s="336">
        <v>359.81408771203968</v>
      </c>
      <c r="D20" s="335">
        <v>582.60552780844796</v>
      </c>
      <c r="E20" s="336">
        <v>475.16642268735058</v>
      </c>
      <c r="F20" s="337">
        <v>3.8242380023955858E-2</v>
      </c>
      <c r="H20" s="338"/>
    </row>
    <row r="21" spans="1:8" ht="20" customHeight="1" thickBot="1">
      <c r="A21" s="339" t="s">
        <v>516</v>
      </c>
      <c r="B21" s="335">
        <v>77.813387376616561</v>
      </c>
      <c r="C21" s="336">
        <v>323.98725843180074</v>
      </c>
      <c r="D21" s="335">
        <v>530.78944672314196</v>
      </c>
      <c r="E21" s="336">
        <v>426.38250726590405</v>
      </c>
      <c r="F21" s="337">
        <v>4.6335874304778688E-2</v>
      </c>
      <c r="H21" s="338"/>
    </row>
    <row r="22" spans="1:8" ht="20" customHeight="1" thickBot="1">
      <c r="A22" s="339" t="s">
        <v>517</v>
      </c>
      <c r="B22" s="335">
        <v>65.529978849882724</v>
      </c>
      <c r="C22" s="336">
        <v>300.4414530248319</v>
      </c>
      <c r="D22" s="335">
        <v>503.0938918451979</v>
      </c>
      <c r="E22" s="336">
        <v>391.02246435873434</v>
      </c>
      <c r="F22" s="337">
        <v>2.1322460798114309E-2</v>
      </c>
      <c r="H22" s="338"/>
    </row>
    <row r="23" spans="1:8" ht="20" customHeight="1" thickBot="1">
      <c r="A23" s="339" t="s">
        <v>518</v>
      </c>
      <c r="B23" s="335">
        <v>88.365783275270573</v>
      </c>
      <c r="C23" s="336">
        <v>369.92770954143708</v>
      </c>
      <c r="D23" s="335">
        <v>569.28107076000356</v>
      </c>
      <c r="E23" s="336">
        <v>457.20329733975012</v>
      </c>
      <c r="F23" s="337">
        <v>4.4944255012066406E-2</v>
      </c>
      <c r="H23" s="338"/>
    </row>
    <row r="24" spans="1:8" ht="20" customHeight="1" thickBot="1">
      <c r="A24" s="339" t="s">
        <v>519</v>
      </c>
      <c r="B24" s="335">
        <v>89.572909159012156</v>
      </c>
      <c r="C24" s="336">
        <v>335.49494264938932</v>
      </c>
      <c r="D24" s="335">
        <v>537.57500033766246</v>
      </c>
      <c r="E24" s="336">
        <v>444.07192673369019</v>
      </c>
      <c r="F24" s="337">
        <v>5.6217796945717928E-2</v>
      </c>
      <c r="H24" s="338"/>
    </row>
    <row r="25" spans="1:8" ht="20" customHeight="1" thickBot="1">
      <c r="A25" s="340" t="s">
        <v>520</v>
      </c>
      <c r="B25" s="341">
        <v>94.548717690438053</v>
      </c>
      <c r="C25" s="342">
        <v>365.26653649459507</v>
      </c>
      <c r="D25" s="341">
        <v>574.84898377434911</v>
      </c>
      <c r="E25" s="342">
        <v>465.84863802540292</v>
      </c>
      <c r="F25" s="343">
        <v>4.1708056395405972E-2</v>
      </c>
      <c r="H25" s="338"/>
    </row>
    <row r="26" spans="1:8" ht="20" customHeight="1" thickBot="1">
      <c r="A26" s="344" t="s">
        <v>521</v>
      </c>
      <c r="B26" s="345">
        <v>90.627797204062858</v>
      </c>
      <c r="C26" s="346">
        <v>362.03171359723478</v>
      </c>
      <c r="D26" s="345">
        <v>559.36244265386199</v>
      </c>
      <c r="E26" s="346">
        <v>450.71589273529332</v>
      </c>
      <c r="F26" s="347">
        <v>6.1407785909535745E-2</v>
      </c>
      <c r="H26" s="338"/>
    </row>
    <row r="27" spans="1:8" ht="20" customHeight="1" thickBot="1">
      <c r="A27" s="344" t="s">
        <v>522</v>
      </c>
      <c r="B27" s="345">
        <v>111.62304950821436</v>
      </c>
      <c r="C27" s="346">
        <v>386.32703203860939</v>
      </c>
      <c r="D27" s="345">
        <v>643.56106753629081</v>
      </c>
      <c r="E27" s="346">
        <v>532.41131122326431</v>
      </c>
      <c r="F27" s="347">
        <v>3.5062450497538242E-2</v>
      </c>
      <c r="H27" s="338"/>
    </row>
    <row r="28" spans="1:8" ht="20" customHeight="1" thickBot="1">
      <c r="A28" s="344" t="s">
        <v>523</v>
      </c>
      <c r="B28" s="345">
        <v>122.20704239783961</v>
      </c>
      <c r="C28" s="346">
        <v>391.2745346153315</v>
      </c>
      <c r="D28" s="345">
        <v>627.99475409388765</v>
      </c>
      <c r="E28" s="346">
        <v>503.02447433797067</v>
      </c>
      <c r="F28" s="347">
        <v>2.88814567729327E-2</v>
      </c>
      <c r="H28" s="338"/>
    </row>
    <row r="29" spans="1:8" ht="20" customHeight="1" thickBot="1">
      <c r="A29" s="344" t="s">
        <v>524</v>
      </c>
      <c r="B29" s="345">
        <v>93.093519436001941</v>
      </c>
      <c r="C29" s="346">
        <v>319.23383588810856</v>
      </c>
      <c r="D29" s="345">
        <v>546.92840605338017</v>
      </c>
      <c r="E29" s="346">
        <v>441.64069637872666</v>
      </c>
      <c r="F29" s="347">
        <v>1.6115234467961041E-2</v>
      </c>
      <c r="H29" s="338"/>
    </row>
    <row r="30" spans="1:8" ht="20" customHeight="1" thickBot="1">
      <c r="A30" s="344" t="s">
        <v>525</v>
      </c>
      <c r="B30" s="345">
        <v>102.22573630084176</v>
      </c>
      <c r="C30" s="346">
        <v>321.06199500908775</v>
      </c>
      <c r="D30" s="345">
        <v>559.63493802158814</v>
      </c>
      <c r="E30" s="346">
        <v>446.8121442700886</v>
      </c>
      <c r="F30" s="347">
        <v>4.0613504802604151E-2</v>
      </c>
      <c r="H30" s="338"/>
    </row>
    <row r="31" spans="1:8" ht="20" customHeight="1" thickBot="1">
      <c r="A31" s="348" t="s">
        <v>526</v>
      </c>
      <c r="B31" s="349">
        <v>129.60880022377467</v>
      </c>
      <c r="C31" s="350">
        <v>440.07120959273584</v>
      </c>
      <c r="D31" s="349">
        <v>668.3469001517326</v>
      </c>
      <c r="E31" s="350">
        <v>539.64959070346151</v>
      </c>
      <c r="F31" s="351">
        <v>6.6731003884807549E-3</v>
      </c>
      <c r="H31" s="338"/>
    </row>
    <row r="32" spans="1:8" ht="20" customHeight="1" thickBot="1">
      <c r="A32" s="234" t="s">
        <v>527</v>
      </c>
      <c r="B32" s="335">
        <v>95.933674450708722</v>
      </c>
      <c r="C32" s="336">
        <v>331.2313014893561</v>
      </c>
      <c r="D32" s="335">
        <v>583.37746223530337</v>
      </c>
      <c r="E32" s="336">
        <v>461.08681946522177</v>
      </c>
      <c r="F32" s="337">
        <v>3.8978240489344326E-2</v>
      </c>
      <c r="H32" s="338"/>
    </row>
    <row r="33" spans="1:8" ht="20" customHeight="1" thickBot="1">
      <c r="A33" s="297" t="s">
        <v>528</v>
      </c>
      <c r="B33" s="335">
        <v>63.804033867628654</v>
      </c>
      <c r="C33" s="336">
        <v>123.07716455696202</v>
      </c>
      <c r="D33" s="335">
        <v>144.94108000292312</v>
      </c>
      <c r="E33" s="336">
        <v>132.13306400134385</v>
      </c>
      <c r="F33" s="337">
        <v>-0.16997257235456001</v>
      </c>
      <c r="H33" s="338"/>
    </row>
    <row r="34" spans="1:8" ht="0.5" hidden="1" customHeight="1" thickBot="1">
      <c r="A34" s="234" t="s">
        <v>529</v>
      </c>
      <c r="B34" s="352" t="s">
        <v>153</v>
      </c>
      <c r="C34" s="353" t="s">
        <v>153</v>
      </c>
      <c r="D34" s="352" t="s">
        <v>153</v>
      </c>
      <c r="E34" s="353" t="s">
        <v>153</v>
      </c>
      <c r="F34" s="337" t="s">
        <v>153</v>
      </c>
      <c r="H34" s="338"/>
    </row>
    <row r="35" spans="1:8" ht="30" customHeight="1" thickBot="1">
      <c r="A35" s="354" t="s">
        <v>530</v>
      </c>
      <c r="B35" s="355">
        <v>100.58162100051146</v>
      </c>
      <c r="C35" s="356">
        <v>372.41584724661629</v>
      </c>
      <c r="D35" s="355">
        <v>596.1054579606382</v>
      </c>
      <c r="E35" s="356">
        <v>484.10420226417529</v>
      </c>
      <c r="F35" s="357">
        <v>3.9138301415937965E-2</v>
      </c>
      <c r="H35" s="338"/>
    </row>
    <row r="36" spans="1:8" ht="20" customHeight="1">
      <c r="A36" s="189" t="s">
        <v>346</v>
      </c>
      <c r="B36" s="189"/>
      <c r="C36" s="189"/>
      <c r="D36" s="189"/>
      <c r="E36" s="189"/>
      <c r="F36" s="189"/>
      <c r="H36" s="333"/>
    </row>
    <row r="37" spans="1:8" ht="11.25" customHeight="1">
      <c r="A37" s="219"/>
      <c r="B37" s="219"/>
      <c r="C37" s="219"/>
      <c r="D37" s="219"/>
      <c r="E37" s="219"/>
      <c r="F37" s="219"/>
      <c r="H37" s="333"/>
    </row>
    <row r="38" spans="1:8" ht="14.25" customHeight="1">
      <c r="A38" s="219" t="s">
        <v>1594</v>
      </c>
      <c r="B38" s="219"/>
      <c r="C38" s="219"/>
      <c r="D38" s="219"/>
      <c r="E38" s="219"/>
      <c r="F38" s="219"/>
      <c r="H38" s="333"/>
    </row>
    <row r="39" spans="1:8" ht="13.5" customHeight="1">
      <c r="A39" s="219"/>
      <c r="B39" s="219"/>
      <c r="C39" s="219"/>
      <c r="D39" s="219"/>
      <c r="E39" s="219"/>
      <c r="F39" s="219"/>
      <c r="H39" s="333"/>
    </row>
    <row r="40" spans="1:8" ht="13.5" customHeight="1">
      <c r="A40" s="1087" t="s">
        <v>1595</v>
      </c>
      <c r="B40" s="219"/>
      <c r="C40" s="219"/>
      <c r="D40" s="219"/>
      <c r="E40" s="219"/>
      <c r="F40" s="219"/>
      <c r="H40" s="333"/>
    </row>
    <row r="41" spans="1:8" ht="13.5" customHeight="1">
      <c r="A41" s="219" t="s">
        <v>533</v>
      </c>
      <c r="B41" s="219"/>
      <c r="C41" s="219"/>
      <c r="D41" s="219"/>
      <c r="E41" s="219"/>
      <c r="F41" s="219"/>
      <c r="H41" s="333"/>
    </row>
    <row r="42" spans="1:8" ht="13.5" customHeight="1">
      <c r="A42" s="219"/>
      <c r="B42" s="219"/>
      <c r="C42" s="219"/>
      <c r="D42" s="219"/>
      <c r="E42" s="219"/>
      <c r="F42" s="219"/>
      <c r="H42" s="333"/>
    </row>
    <row r="43" spans="1:8" ht="12" customHeight="1"/>
    <row r="44" spans="1:8" ht="12" customHeight="1">
      <c r="A44" s="219" t="s">
        <v>302</v>
      </c>
    </row>
  </sheetData>
  <mergeCells count="1">
    <mergeCell ref="A2:E2"/>
  </mergeCells>
  <pageMargins left="0.65" right="0.5" top="0.87" bottom="0.49" header="0.51" footer="0.4921259845"/>
  <pageSetup paperSize="9" scale="70" orientation="portrait"/>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9E88-08D0-7D41-B1D4-76494A8C98CB}">
  <sheetPr>
    <pageSetUpPr fitToPage="1"/>
  </sheetPr>
  <dimension ref="A1:K33"/>
  <sheetViews>
    <sheetView zoomScaleNormal="100" workbookViewId="0"/>
  </sheetViews>
  <sheetFormatPr baseColWidth="10" defaultColWidth="11.3984375" defaultRowHeight="13"/>
  <cols>
    <col min="1" max="1" width="16.59765625" style="3" customWidth="1"/>
    <col min="2" max="2" width="17.3984375" style="3" customWidth="1"/>
    <col min="3" max="4" width="16.3984375" style="3" customWidth="1"/>
    <col min="5" max="5" width="16.59765625" style="3" customWidth="1"/>
    <col min="6" max="6" width="17.796875" style="3" customWidth="1"/>
    <col min="7" max="7" width="15.19921875" style="3" customWidth="1"/>
    <col min="8" max="16384" width="11.3984375" style="3"/>
  </cols>
  <sheetData>
    <row r="1" spans="1:11" s="1" customFormat="1" ht="14" customHeight="1"/>
    <row r="2" spans="1:11" s="1" customFormat="1" ht="26.5" customHeight="1">
      <c r="A2" s="311" t="s">
        <v>2222</v>
      </c>
      <c r="G2" s="327"/>
    </row>
    <row r="3" spans="1:11" ht="24" customHeight="1">
      <c r="A3" s="224" t="s">
        <v>460</v>
      </c>
      <c r="B3" s="267" t="s">
        <v>446</v>
      </c>
      <c r="C3" s="268" t="s">
        <v>447</v>
      </c>
      <c r="D3" s="267" t="s">
        <v>448</v>
      </c>
      <c r="E3" s="268" t="s">
        <v>449</v>
      </c>
      <c r="F3" s="267" t="s">
        <v>381</v>
      </c>
      <c r="G3" s="305" t="s">
        <v>475</v>
      </c>
    </row>
    <row r="4" spans="1:11" ht="15" customHeight="1">
      <c r="A4" s="269"/>
      <c r="B4" s="270" t="s">
        <v>450</v>
      </c>
      <c r="C4" s="271" t="s">
        <v>451</v>
      </c>
      <c r="D4" s="270" t="s">
        <v>452</v>
      </c>
      <c r="E4" s="272" t="s">
        <v>453</v>
      </c>
      <c r="F4" s="270"/>
      <c r="G4" s="306" t="s">
        <v>476</v>
      </c>
    </row>
    <row r="5" spans="1:11" ht="15" customHeight="1">
      <c r="A5" s="269"/>
      <c r="B5" s="270" t="s">
        <v>454</v>
      </c>
      <c r="C5" s="271" t="s">
        <v>455</v>
      </c>
      <c r="D5" s="270"/>
      <c r="E5" s="272" t="s">
        <v>456</v>
      </c>
      <c r="F5" s="270"/>
      <c r="G5" s="306" t="s">
        <v>477</v>
      </c>
    </row>
    <row r="6" spans="1:11" ht="24" customHeight="1">
      <c r="A6" s="273"/>
      <c r="B6" s="274"/>
      <c r="C6" s="275"/>
      <c r="D6" s="274"/>
      <c r="E6" s="276" t="s">
        <v>2223</v>
      </c>
      <c r="F6" s="274"/>
      <c r="G6" s="307"/>
    </row>
    <row r="7" spans="1:11" ht="1.25" customHeight="1" thickBot="1">
      <c r="A7" s="277">
        <v>1996</v>
      </c>
      <c r="B7" s="278">
        <v>9158.0126325000001</v>
      </c>
      <c r="C7" s="279">
        <v>3158.8991608000001</v>
      </c>
      <c r="D7" s="278">
        <v>29.792276350000002</v>
      </c>
      <c r="E7" s="279">
        <v>112.31317695</v>
      </c>
      <c r="F7" s="278">
        <v>12459.0172466</v>
      </c>
      <c r="G7" s="308" t="s">
        <v>153</v>
      </c>
    </row>
    <row r="8" spans="1:11" ht="0.75" hidden="1" customHeight="1" thickBot="1">
      <c r="A8" s="280">
        <v>1997</v>
      </c>
      <c r="B8" s="281">
        <v>8010.294124</v>
      </c>
      <c r="C8" s="282">
        <v>4715.0935929999996</v>
      </c>
      <c r="D8" s="281">
        <v>15.300134</v>
      </c>
      <c r="E8" s="282">
        <v>397.78968400000002</v>
      </c>
      <c r="F8" s="281">
        <v>13138.477535</v>
      </c>
      <c r="G8" s="309">
        <v>5.453562467661089E-2</v>
      </c>
      <c r="I8" s="8"/>
      <c r="J8" s="8"/>
      <c r="K8" s="8"/>
    </row>
    <row r="9" spans="1:11" ht="19.5" hidden="1" customHeight="1" thickBot="1">
      <c r="A9" s="280">
        <v>1998</v>
      </c>
      <c r="B9" s="281">
        <v>8034.9225379999998</v>
      </c>
      <c r="C9" s="282">
        <v>5294.4749119999997</v>
      </c>
      <c r="D9" s="281">
        <v>7.7133700000000003</v>
      </c>
      <c r="E9" s="282">
        <v>686.98183200000005</v>
      </c>
      <c r="F9" s="281">
        <v>14024.092651999999</v>
      </c>
      <c r="G9" s="309">
        <v>6.7406220746717538E-2</v>
      </c>
    </row>
    <row r="10" spans="1:11" ht="19.75" hidden="1" customHeight="1" thickBot="1">
      <c r="A10" s="280">
        <v>1999</v>
      </c>
      <c r="B10" s="281">
        <v>8789.075476</v>
      </c>
      <c r="C10" s="282">
        <v>4984.7508509999998</v>
      </c>
      <c r="D10" s="281">
        <v>7.2724950000000002</v>
      </c>
      <c r="E10" s="282">
        <v>839.41169600000001</v>
      </c>
      <c r="F10" s="281">
        <v>14620.510517999999</v>
      </c>
      <c r="G10" s="309">
        <v>4.2528089395854327E-2</v>
      </c>
    </row>
    <row r="11" spans="1:11" ht="19.75" hidden="1" customHeight="1" thickBot="1">
      <c r="A11" s="280">
        <v>2000</v>
      </c>
      <c r="B11" s="281">
        <v>9137.1621560000003</v>
      </c>
      <c r="C11" s="282">
        <v>5390.9432980000001</v>
      </c>
      <c r="D11" s="281">
        <v>7.5360680000000002</v>
      </c>
      <c r="E11" s="282">
        <v>942.68592000000001</v>
      </c>
      <c r="F11" s="281">
        <v>15478.327442</v>
      </c>
      <c r="G11" s="309">
        <v>5.8672159425890213E-2</v>
      </c>
    </row>
    <row r="12" spans="1:11" ht="20" hidden="1" customHeight="1" thickBot="1">
      <c r="A12" s="280">
        <v>2001</v>
      </c>
      <c r="B12" s="281">
        <v>9659.7746029999998</v>
      </c>
      <c r="C12" s="282">
        <v>5684.1019910000005</v>
      </c>
      <c r="D12" s="281">
        <v>8.3615560000000002</v>
      </c>
      <c r="E12" s="282">
        <v>1034.2226659999999</v>
      </c>
      <c r="F12" s="281">
        <v>16386.460816999999</v>
      </c>
      <c r="G12" s="309">
        <v>5.867128592562304E-2</v>
      </c>
    </row>
    <row r="13" spans="1:11" ht="20" hidden="1" customHeight="1" thickBot="1">
      <c r="A13" s="280">
        <v>2002</v>
      </c>
      <c r="B13" s="281">
        <v>9980.4930999999997</v>
      </c>
      <c r="C13" s="282">
        <v>6029.9190769999996</v>
      </c>
      <c r="D13" s="281">
        <v>7.9602409999999999</v>
      </c>
      <c r="E13" s="282">
        <v>1077.2149870000001</v>
      </c>
      <c r="F13" s="281">
        <v>17095.58741</v>
      </c>
      <c r="G13" s="309">
        <v>4.3275152634809542E-2</v>
      </c>
    </row>
    <row r="14" spans="1:11" ht="20" customHeight="1" thickBot="1">
      <c r="A14" s="280">
        <v>2003</v>
      </c>
      <c r="B14" s="281">
        <v>10400.406953</v>
      </c>
      <c r="C14" s="282">
        <v>6474.0950759999996</v>
      </c>
      <c r="D14" s="281">
        <v>8.2890060000000005</v>
      </c>
      <c r="E14" s="282">
        <v>1041.3283280000001</v>
      </c>
      <c r="F14" s="281">
        <v>17924.119349000001</v>
      </c>
      <c r="G14" s="309">
        <v>4.8464666298354497E-2</v>
      </c>
    </row>
    <row r="15" spans="1:11" ht="20" customHeight="1" thickBot="1">
      <c r="A15" s="280">
        <v>2004</v>
      </c>
      <c r="B15" s="281">
        <v>11244.13615765</v>
      </c>
      <c r="C15" s="282">
        <v>6631.1356945500002</v>
      </c>
      <c r="D15" s="281">
        <v>8.6720649999999999</v>
      </c>
      <c r="E15" s="282">
        <v>1255.877035</v>
      </c>
      <c r="F15" s="281">
        <v>19139.820942999999</v>
      </c>
      <c r="G15" s="309">
        <v>6.7824899529461302E-2</v>
      </c>
    </row>
    <row r="16" spans="1:11" ht="20" customHeight="1" thickBot="1">
      <c r="A16" s="280">
        <v>2005</v>
      </c>
      <c r="B16" s="281">
        <v>12276.40351</v>
      </c>
      <c r="C16" s="282">
        <v>6478.0200850000001</v>
      </c>
      <c r="D16" s="281">
        <v>9.1072369999999996</v>
      </c>
      <c r="E16" s="282">
        <v>1584.1758170000001</v>
      </c>
      <c r="F16" s="281">
        <v>20347.706649</v>
      </c>
      <c r="G16" s="309">
        <v>6.3108516511057644E-2</v>
      </c>
    </row>
    <row r="17" spans="1:7" ht="20" customHeight="1" thickBot="1">
      <c r="A17" s="280">
        <v>2006</v>
      </c>
      <c r="B17" s="281">
        <v>12157.648692999999</v>
      </c>
      <c r="C17" s="282">
        <v>6151.3591749999996</v>
      </c>
      <c r="D17" s="281">
        <v>8.8529470000000003</v>
      </c>
      <c r="E17" s="282">
        <v>2284.7661029999999</v>
      </c>
      <c r="F17" s="281">
        <v>20602.626918999998</v>
      </c>
      <c r="G17" s="309">
        <v>1.2528206465593383E-2</v>
      </c>
    </row>
    <row r="18" spans="1:7" ht="20" customHeight="1" thickBot="1">
      <c r="A18" s="280">
        <v>2007</v>
      </c>
      <c r="B18" s="281">
        <v>12229.89782127</v>
      </c>
      <c r="C18" s="282">
        <v>6058.52217587</v>
      </c>
      <c r="D18" s="281">
        <v>9.0125824800000007</v>
      </c>
      <c r="E18" s="282">
        <v>3281.2562875499998</v>
      </c>
      <c r="F18" s="281">
        <v>21578.688867239998</v>
      </c>
      <c r="G18" s="309">
        <v>4.737560661936091E-2</v>
      </c>
    </row>
    <row r="19" spans="1:7" ht="20" customHeight="1" thickBot="1">
      <c r="A19" s="280">
        <v>2008</v>
      </c>
      <c r="B19" s="281">
        <v>12358.176374460001</v>
      </c>
      <c r="C19" s="282">
        <v>6003.8314850100005</v>
      </c>
      <c r="D19" s="281">
        <v>10.17656891</v>
      </c>
      <c r="E19" s="282">
        <v>4349.7270544200001</v>
      </c>
      <c r="F19" s="281">
        <v>22721.911482829997</v>
      </c>
      <c r="G19" s="309">
        <v>5.2979243670619791E-2</v>
      </c>
    </row>
    <row r="20" spans="1:7" ht="20" customHeight="1" thickBot="1">
      <c r="A20" s="280">
        <v>2009</v>
      </c>
      <c r="B20" s="281">
        <v>12207.08733409</v>
      </c>
      <c r="C20" s="282">
        <v>5757.8256273900015</v>
      </c>
      <c r="D20" s="281">
        <v>10.04827551</v>
      </c>
      <c r="E20" s="282">
        <v>5681.3612091200011</v>
      </c>
      <c r="F20" s="281">
        <v>23656.322446040002</v>
      </c>
      <c r="G20" s="309">
        <v>4.112378326603805E-2</v>
      </c>
    </row>
    <row r="21" spans="1:7" ht="20" customHeight="1" thickBot="1">
      <c r="A21" s="280">
        <v>2010</v>
      </c>
      <c r="B21" s="281">
        <v>11551.631429409998</v>
      </c>
      <c r="C21" s="282">
        <v>5191.0689485400007</v>
      </c>
      <c r="D21" s="281">
        <v>8.6391040799999992</v>
      </c>
      <c r="E21" s="282">
        <v>7541.1220916599996</v>
      </c>
      <c r="F21" s="281">
        <v>24292.461573649998</v>
      </c>
      <c r="G21" s="309">
        <v>2.6890871523290505E-2</v>
      </c>
    </row>
    <row r="22" spans="1:7" ht="20" customHeight="1" thickBot="1">
      <c r="A22" s="280">
        <v>2011</v>
      </c>
      <c r="B22" s="281">
        <v>10995.729507669997</v>
      </c>
      <c r="C22" s="282">
        <v>4725.9633071300004</v>
      </c>
      <c r="D22" s="281">
        <v>8.29581108</v>
      </c>
      <c r="E22" s="282">
        <v>9201.5214694400001</v>
      </c>
      <c r="F22" s="281">
        <v>24931.51009534</v>
      </c>
      <c r="G22" s="309">
        <v>2.6306453948791164E-2</v>
      </c>
    </row>
    <row r="23" spans="1:7" ht="20" customHeight="1" thickBot="1">
      <c r="A23" s="280">
        <v>2012</v>
      </c>
      <c r="B23" s="281">
        <v>10694.215885219999</v>
      </c>
      <c r="C23" s="282">
        <v>4517.0646760999998</v>
      </c>
      <c r="D23" s="281">
        <v>8.3085544799999997</v>
      </c>
      <c r="E23" s="282">
        <v>10681.63917586</v>
      </c>
      <c r="F23" s="281">
        <v>25901.22829173</v>
      </c>
      <c r="G23" s="309">
        <v>3.8895285230686971E-2</v>
      </c>
    </row>
    <row r="24" spans="1:7" ht="27.5" customHeight="1" thickBot="1">
      <c r="A24" s="283">
        <v>2013</v>
      </c>
      <c r="B24" s="284">
        <v>10947.454714040001</v>
      </c>
      <c r="C24" s="285">
        <v>4572.0594699100002</v>
      </c>
      <c r="D24" s="284">
        <v>9.1268515200000007</v>
      </c>
      <c r="E24" s="285">
        <v>12397.848873410001</v>
      </c>
      <c r="F24" s="284">
        <v>27926.489908839998</v>
      </c>
      <c r="G24" s="310">
        <v>7.8191721037285555E-2</v>
      </c>
    </row>
    <row r="25" spans="1:7" ht="19.5" customHeight="1">
      <c r="A25" s="189" t="s">
        <v>346</v>
      </c>
      <c r="B25" s="189"/>
      <c r="C25" s="189"/>
      <c r="D25" s="189"/>
      <c r="E25" s="189"/>
      <c r="F25" s="189"/>
      <c r="G25" s="189"/>
    </row>
    <row r="26" spans="1:7" ht="14.25" customHeight="1">
      <c r="A26" s="219"/>
      <c r="B26" s="219"/>
      <c r="C26" s="219"/>
      <c r="D26" s="219"/>
      <c r="E26" s="219"/>
      <c r="F26" s="219"/>
      <c r="G26" s="219"/>
    </row>
    <row r="27" spans="1:7" ht="14.25" customHeight="1">
      <c r="A27" s="219" t="s">
        <v>542</v>
      </c>
      <c r="B27" s="219"/>
      <c r="C27" s="219"/>
      <c r="D27" s="219"/>
      <c r="E27" s="219"/>
      <c r="F27" s="219"/>
      <c r="G27" s="219"/>
    </row>
    <row r="28" spans="1:7" ht="13.5" customHeight="1">
      <c r="A28" s="247" t="s">
        <v>2224</v>
      </c>
      <c r="B28" s="219"/>
      <c r="C28" s="219"/>
      <c r="D28" s="219"/>
      <c r="E28" s="219"/>
      <c r="F28" s="219"/>
      <c r="G28" s="219"/>
    </row>
    <row r="30" spans="1:7">
      <c r="A30" s="3" t="s">
        <v>1885</v>
      </c>
    </row>
    <row r="33" spans="1:7">
      <c r="A33" s="3" t="s">
        <v>302</v>
      </c>
      <c r="G33" s="17"/>
    </row>
  </sheetData>
  <pageMargins left="0.6" right="0.63" top="0.99" bottom="0.49" header="0.59" footer="0.4921259845"/>
  <pageSetup paperSize="9" scale="77" orientation="portrait" horizontalDpi="4294967292" verticalDpi="4294967292"/>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D8B20-E94B-2542-99F2-26C468AE1D5B}">
  <sheetPr>
    <pageSetUpPr fitToPage="1"/>
  </sheetPr>
  <dimension ref="A1:J64"/>
  <sheetViews>
    <sheetView zoomScaleNormal="100" workbookViewId="0"/>
  </sheetViews>
  <sheetFormatPr baseColWidth="10" defaultColWidth="11.3984375" defaultRowHeight="13"/>
  <cols>
    <col min="1" max="1" width="24.19921875" style="3" customWidth="1"/>
    <col min="2" max="5" width="17.796875" style="3" customWidth="1"/>
    <col min="6" max="6" width="18.796875" style="3" customWidth="1"/>
    <col min="7" max="7" width="17.796875" style="3" customWidth="1"/>
    <col min="8" max="8" width="13.19921875" style="3" customWidth="1"/>
    <col min="9" max="10" width="13.3984375" style="3" customWidth="1"/>
    <col min="11" max="16384" width="11.3984375" style="3"/>
  </cols>
  <sheetData>
    <row r="1" spans="1:10" s="1" customFormat="1" ht="14" customHeight="1"/>
    <row r="2" spans="1:10" s="1" customFormat="1" ht="26.5" customHeight="1">
      <c r="A2" s="2010" t="s">
        <v>2225</v>
      </c>
      <c r="B2" s="2011"/>
      <c r="C2" s="2011"/>
      <c r="D2" s="2011"/>
      <c r="E2" s="2011"/>
      <c r="F2" s="2011"/>
      <c r="G2" s="311"/>
    </row>
    <row r="3" spans="1:10" ht="24" customHeight="1">
      <c r="A3" s="224" t="s">
        <v>1872</v>
      </c>
      <c r="B3" s="267" t="s">
        <v>446</v>
      </c>
      <c r="C3" s="268" t="s">
        <v>447</v>
      </c>
      <c r="D3" s="267" t="s">
        <v>448</v>
      </c>
      <c r="E3" s="268" t="s">
        <v>449</v>
      </c>
      <c r="F3" s="267" t="s">
        <v>498</v>
      </c>
      <c r="G3" s="519" t="s">
        <v>475</v>
      </c>
    </row>
    <row r="4" spans="1:10" ht="15" customHeight="1">
      <c r="A4" s="269"/>
      <c r="B4" s="270" t="s">
        <v>450</v>
      </c>
      <c r="C4" s="271" t="s">
        <v>451</v>
      </c>
      <c r="D4" s="270" t="s">
        <v>452</v>
      </c>
      <c r="E4" s="272" t="s">
        <v>453</v>
      </c>
      <c r="F4" s="270"/>
      <c r="G4" s="521" t="s">
        <v>476</v>
      </c>
    </row>
    <row r="5" spans="1:10" ht="15" customHeight="1">
      <c r="A5" s="269"/>
      <c r="B5" s="270" t="s">
        <v>454</v>
      </c>
      <c r="C5" s="271" t="s">
        <v>455</v>
      </c>
      <c r="D5" s="270"/>
      <c r="E5" s="272" t="s">
        <v>463</v>
      </c>
      <c r="F5" s="270"/>
      <c r="G5" s="306" t="s">
        <v>477</v>
      </c>
    </row>
    <row r="6" spans="1:10" ht="24" customHeight="1">
      <c r="A6" s="227" t="s">
        <v>537</v>
      </c>
      <c r="B6" s="274"/>
      <c r="C6" s="275"/>
      <c r="D6" s="274"/>
      <c r="E6" s="276" t="s">
        <v>2219</v>
      </c>
      <c r="F6" s="274"/>
      <c r="G6" s="405"/>
    </row>
    <row r="7" spans="1:10" ht="1.25" customHeight="1" thickBot="1">
      <c r="A7" s="277">
        <v>1996</v>
      </c>
      <c r="B7" s="287">
        <v>1922.0914738477522</v>
      </c>
      <c r="C7" s="288">
        <v>1362.8683192106039</v>
      </c>
      <c r="D7" s="287">
        <v>1064.9780620150216</v>
      </c>
      <c r="E7" s="288">
        <v>918.79836090338449</v>
      </c>
      <c r="F7" s="287">
        <v>1722.6026867710073</v>
      </c>
      <c r="G7" s="308" t="s">
        <v>153</v>
      </c>
    </row>
    <row r="8" spans="1:10" ht="0.75" hidden="1" customHeight="1" thickBot="1">
      <c r="A8" s="280">
        <v>1997</v>
      </c>
      <c r="B8" s="289">
        <v>1955.5774171208591</v>
      </c>
      <c r="C8" s="159">
        <v>1717.9609773327356</v>
      </c>
      <c r="D8" s="289">
        <v>1327.1545657683146</v>
      </c>
      <c r="E8" s="159">
        <v>1035.2511493240283</v>
      </c>
      <c r="F8" s="289">
        <v>1815.5878047739013</v>
      </c>
      <c r="G8" s="309">
        <v>5.3979433979168621E-2</v>
      </c>
      <c r="H8" s="8"/>
      <c r="I8" s="8"/>
      <c r="J8" s="8"/>
    </row>
    <row r="9" spans="1:10" ht="19.5" hidden="1" customHeight="1" thickBot="1">
      <c r="A9" s="280">
        <v>1998</v>
      </c>
      <c r="B9" s="289">
        <v>2001.1385556748141</v>
      </c>
      <c r="C9" s="159">
        <v>1942.4124575719206</v>
      </c>
      <c r="D9" s="289">
        <v>652.30881205655157</v>
      </c>
      <c r="E9" s="159">
        <v>1390.9212818258898</v>
      </c>
      <c r="F9" s="289">
        <v>1935.2604970637331</v>
      </c>
      <c r="G9" s="309">
        <v>6.591402077892608E-2</v>
      </c>
    </row>
    <row r="10" spans="1:10" ht="19.75" hidden="1" customHeight="1" thickBot="1">
      <c r="A10" s="280">
        <v>1999</v>
      </c>
      <c r="B10" s="289">
        <v>2196.7543830608033</v>
      </c>
      <c r="C10" s="159">
        <v>1834.5631598914081</v>
      </c>
      <c r="D10" s="289">
        <v>708.57112386703454</v>
      </c>
      <c r="E10" s="159">
        <v>1548.1903262736841</v>
      </c>
      <c r="F10" s="289">
        <v>2010.9263687008995</v>
      </c>
      <c r="G10" s="309">
        <v>3.909854603655178E-2</v>
      </c>
    </row>
    <row r="11" spans="1:10" ht="19.75" hidden="1" customHeight="1" thickBot="1">
      <c r="A11" s="280">
        <v>2000</v>
      </c>
      <c r="B11" s="289">
        <v>2330.7313959837929</v>
      </c>
      <c r="C11" s="159">
        <v>1955.0764432666085</v>
      </c>
      <c r="D11" s="289">
        <v>768.43697012283224</v>
      </c>
      <c r="E11" s="159">
        <v>1632.0632045626817</v>
      </c>
      <c r="F11" s="289">
        <v>2130.4988026779488</v>
      </c>
      <c r="G11" s="309">
        <v>5.9461368570295083E-2</v>
      </c>
    </row>
    <row r="12" spans="1:10" ht="20" hidden="1" customHeight="1" thickBot="1">
      <c r="A12" s="280">
        <v>2001</v>
      </c>
      <c r="B12" s="289">
        <v>2495.1244025796968</v>
      </c>
      <c r="C12" s="159">
        <v>2011.3716436312093</v>
      </c>
      <c r="D12" s="289">
        <v>897.62686042302278</v>
      </c>
      <c r="E12" s="159">
        <v>1740.2608610070422</v>
      </c>
      <c r="F12" s="289">
        <v>2244.3978355168092</v>
      </c>
      <c r="G12" s="309">
        <v>5.3461204810673471E-2</v>
      </c>
    </row>
    <row r="13" spans="1:10" ht="20" hidden="1" customHeight="1" thickBot="1">
      <c r="A13" s="280">
        <v>2002</v>
      </c>
      <c r="B13" s="289">
        <v>2622.961008005575</v>
      </c>
      <c r="C13" s="159">
        <v>2026.9678660755228</v>
      </c>
      <c r="D13" s="289">
        <v>902.79734523799152</v>
      </c>
      <c r="E13" s="159">
        <v>1937.719195679239</v>
      </c>
      <c r="F13" s="289">
        <v>2327.6297728803838</v>
      </c>
      <c r="G13" s="309">
        <v>3.7084306554951346E-2</v>
      </c>
    </row>
    <row r="14" spans="1:10" ht="20" customHeight="1" thickBot="1">
      <c r="A14" s="280">
        <v>2003</v>
      </c>
      <c r="B14" s="289">
        <v>2838.5410322271737</v>
      </c>
      <c r="C14" s="159">
        <v>2089.4955210203316</v>
      </c>
      <c r="D14" s="289">
        <v>999.42596938760983</v>
      </c>
      <c r="E14" s="159">
        <v>1730.3106743718724</v>
      </c>
      <c r="F14" s="289">
        <v>2431.2114971885403</v>
      </c>
      <c r="G14" s="309">
        <v>4.4500944916156783E-2</v>
      </c>
    </row>
    <row r="15" spans="1:10" ht="20" customHeight="1" thickBot="1">
      <c r="A15" s="280">
        <v>2004</v>
      </c>
      <c r="B15" s="289">
        <v>3104.8815477572248</v>
      </c>
      <c r="C15" s="159">
        <v>2203.0474404075858</v>
      </c>
      <c r="D15" s="289">
        <v>1076.1693397885631</v>
      </c>
      <c r="E15" s="159">
        <v>1687.7897523259062</v>
      </c>
      <c r="F15" s="289">
        <v>2592.2165787191948</v>
      </c>
      <c r="G15" s="309">
        <v>6.6224218549822259E-2</v>
      </c>
    </row>
    <row r="16" spans="1:10" ht="20" customHeight="1" thickBot="1">
      <c r="A16" s="280">
        <v>2005</v>
      </c>
      <c r="B16" s="289">
        <v>3415.1929895176959</v>
      </c>
      <c r="C16" s="159">
        <v>2210.8019372998301</v>
      </c>
      <c r="D16" s="289">
        <v>1184.6612422697292</v>
      </c>
      <c r="E16" s="159">
        <v>1753.636061440061</v>
      </c>
      <c r="F16" s="289">
        <v>2736.4253387803569</v>
      </c>
      <c r="G16" s="309">
        <v>5.5631447327759709E-2</v>
      </c>
    </row>
    <row r="17" spans="1:7" ht="20" customHeight="1" thickBot="1">
      <c r="A17" s="280">
        <v>2006</v>
      </c>
      <c r="B17" s="289">
        <v>3636.67</v>
      </c>
      <c r="C17" s="159">
        <v>2215.41</v>
      </c>
      <c r="D17" s="289">
        <v>1230.94</v>
      </c>
      <c r="E17" s="159">
        <v>1690.49</v>
      </c>
      <c r="F17" s="289">
        <v>2754.94</v>
      </c>
      <c r="G17" s="309">
        <v>6.7660026960192354E-3</v>
      </c>
    </row>
    <row r="18" spans="1:7" ht="20" customHeight="1" thickBot="1">
      <c r="A18" s="280">
        <v>2007</v>
      </c>
      <c r="B18" s="289">
        <v>3903.58</v>
      </c>
      <c r="C18" s="159">
        <v>2360.81</v>
      </c>
      <c r="D18" s="289">
        <v>1312.45</v>
      </c>
      <c r="E18" s="159">
        <v>1791.63</v>
      </c>
      <c r="F18" s="289">
        <v>2862.81</v>
      </c>
      <c r="G18" s="309">
        <v>3.915511771581226E-2</v>
      </c>
    </row>
    <row r="19" spans="1:7" ht="20" customHeight="1" thickBot="1">
      <c r="A19" s="280">
        <v>2008</v>
      </c>
      <c r="B19" s="289">
        <v>4193.12</v>
      </c>
      <c r="C19" s="159">
        <v>2525.2199999999998</v>
      </c>
      <c r="D19" s="289">
        <v>1563.03</v>
      </c>
      <c r="E19" s="159">
        <v>1904.22</v>
      </c>
      <c r="F19" s="289">
        <v>2983.62</v>
      </c>
      <c r="G19" s="309">
        <v>4.2199796703239034E-2</v>
      </c>
    </row>
    <row r="20" spans="1:7" ht="20" customHeight="1" thickBot="1">
      <c r="A20" s="280">
        <v>2009</v>
      </c>
      <c r="B20" s="289">
        <v>4441.9708725220817</v>
      </c>
      <c r="C20" s="159">
        <v>2638.2955656157005</v>
      </c>
      <c r="D20" s="289">
        <v>1632.0689143820541</v>
      </c>
      <c r="E20" s="159">
        <v>2049.5670694598875</v>
      </c>
      <c r="F20" s="289">
        <v>3068.7231792819921</v>
      </c>
      <c r="G20" s="309">
        <v>2.8523464543739552E-2</v>
      </c>
    </row>
    <row r="21" spans="1:7" ht="20" customHeight="1" thickBot="1">
      <c r="A21" s="280">
        <v>2010</v>
      </c>
      <c r="B21" s="289">
        <v>4791.6454856573782</v>
      </c>
      <c r="C21" s="159">
        <v>2938.3754716485723</v>
      </c>
      <c r="D21" s="289">
        <v>1519.3026047134924</v>
      </c>
      <c r="E21" s="159">
        <v>2095.2492620205348</v>
      </c>
      <c r="F21" s="289">
        <v>3122.5601379207528</v>
      </c>
      <c r="G21" s="309">
        <v>1.7543765107987719E-2</v>
      </c>
    </row>
    <row r="22" spans="1:7" ht="20" customHeight="1" thickBot="1">
      <c r="A22" s="280">
        <v>2011</v>
      </c>
      <c r="B22" s="289">
        <v>5043.0686628567792</v>
      </c>
      <c r="C22" s="159">
        <v>3063.8574480904667</v>
      </c>
      <c r="D22" s="289">
        <v>1575.1721948420584</v>
      </c>
      <c r="E22" s="159">
        <v>2225.6161503612611</v>
      </c>
      <c r="F22" s="289">
        <v>3170.8301074660226</v>
      </c>
      <c r="G22" s="309">
        <v>1.5458459537439628E-2</v>
      </c>
    </row>
    <row r="23" spans="1:7" ht="20" customHeight="1" thickBot="1">
      <c r="A23" s="280">
        <v>2012</v>
      </c>
      <c r="B23" s="289">
        <v>5291.4295366645038</v>
      </c>
      <c r="C23" s="159">
        <v>3250.0076695717553</v>
      </c>
      <c r="D23" s="289">
        <v>1657.0710969285999</v>
      </c>
      <c r="E23" s="159">
        <v>2354.0131491169204</v>
      </c>
      <c r="F23" s="289">
        <v>3256.6406756055721</v>
      </c>
      <c r="G23" s="309">
        <v>2.7062493174106139E-2</v>
      </c>
    </row>
    <row r="24" spans="1:7" ht="30" customHeight="1" thickBot="1">
      <c r="A24" s="283">
        <v>2013</v>
      </c>
      <c r="B24" s="290">
        <v>5728.7829424805541</v>
      </c>
      <c r="C24" s="291">
        <v>3540.9397906090958</v>
      </c>
      <c r="D24" s="290">
        <v>1889.292628802918</v>
      </c>
      <c r="E24" s="291">
        <v>2562.0120116384473</v>
      </c>
      <c r="F24" s="290">
        <v>3470.8847591085296</v>
      </c>
      <c r="G24" s="648">
        <v>6.5786835221886664E-2</v>
      </c>
    </row>
    <row r="25" spans="1:7" ht="20" customHeight="1">
      <c r="A25" s="189" t="s">
        <v>346</v>
      </c>
      <c r="B25" s="189"/>
      <c r="C25" s="189"/>
      <c r="D25" s="189"/>
      <c r="E25" s="189"/>
      <c r="F25" s="189"/>
      <c r="G25" s="529"/>
    </row>
    <row r="26" spans="1:7">
      <c r="G26" s="530"/>
    </row>
    <row r="27" spans="1:7">
      <c r="A27" s="3" t="s">
        <v>1886</v>
      </c>
      <c r="G27" s="530"/>
    </row>
    <row r="28" spans="1:7">
      <c r="G28" s="530"/>
    </row>
    <row r="29" spans="1:7">
      <c r="G29" s="530"/>
    </row>
    <row r="30" spans="1:7" ht="18">
      <c r="A30" s="649" t="s">
        <v>1874</v>
      </c>
      <c r="G30" s="530"/>
    </row>
    <row r="31" spans="1:7" ht="10.25" customHeight="1">
      <c r="G31" s="530"/>
    </row>
    <row r="32" spans="1:7" ht="18" customHeight="1">
      <c r="A32" s="224" t="s">
        <v>460</v>
      </c>
      <c r="B32" s="267" t="s">
        <v>495</v>
      </c>
      <c r="C32" s="519" t="s">
        <v>475</v>
      </c>
      <c r="D32" s="267" t="s">
        <v>496</v>
      </c>
      <c r="E32" s="519" t="s">
        <v>475</v>
      </c>
      <c r="F32" s="267" t="s">
        <v>1082</v>
      </c>
      <c r="G32" s="519" t="s">
        <v>475</v>
      </c>
    </row>
    <row r="33" spans="1:7" ht="18" customHeight="1">
      <c r="A33" s="650"/>
      <c r="B33" s="270" t="s">
        <v>499</v>
      </c>
      <c r="C33" s="521" t="s">
        <v>476</v>
      </c>
      <c r="D33" s="270" t="s">
        <v>500</v>
      </c>
      <c r="E33" s="521" t="s">
        <v>476</v>
      </c>
      <c r="F33" s="270" t="s">
        <v>1083</v>
      </c>
      <c r="G33" s="521" t="s">
        <v>476</v>
      </c>
    </row>
    <row r="34" spans="1:7" ht="18" customHeight="1">
      <c r="A34" s="269"/>
      <c r="B34" s="270"/>
      <c r="C34" s="521" t="s">
        <v>477</v>
      </c>
      <c r="D34" s="270"/>
      <c r="E34" s="521" t="s">
        <v>477</v>
      </c>
      <c r="F34" s="270"/>
      <c r="G34" s="521" t="s">
        <v>477</v>
      </c>
    </row>
    <row r="35" spans="1:7" ht="18" customHeight="1">
      <c r="A35" s="273"/>
      <c r="B35" s="274"/>
      <c r="C35" s="275"/>
      <c r="D35" s="274"/>
      <c r="E35" s="276"/>
      <c r="F35" s="274"/>
      <c r="G35" s="471"/>
    </row>
    <row r="36" spans="1:7" ht="2.25" customHeight="1" thickBot="1">
      <c r="A36" s="277">
        <v>1996</v>
      </c>
      <c r="B36" s="287" t="s">
        <v>153</v>
      </c>
      <c r="C36" s="288" t="s">
        <v>153</v>
      </c>
      <c r="D36" s="287" t="s">
        <v>153</v>
      </c>
      <c r="E36" s="288" t="s">
        <v>153</v>
      </c>
      <c r="F36" s="287" t="s">
        <v>153</v>
      </c>
      <c r="G36" s="308" t="s">
        <v>153</v>
      </c>
    </row>
    <row r="37" spans="1:7" ht="0.75" customHeight="1" thickBot="1">
      <c r="A37" s="280">
        <v>1997</v>
      </c>
      <c r="B37" s="289">
        <v>579.83000000000004</v>
      </c>
      <c r="C37" s="1281" t="s">
        <v>153</v>
      </c>
      <c r="D37" s="289">
        <v>892.05</v>
      </c>
      <c r="E37" s="1281" t="s">
        <v>153</v>
      </c>
      <c r="F37" s="289">
        <v>2286.5700000000002</v>
      </c>
      <c r="G37" s="309" t="s">
        <v>153</v>
      </c>
    </row>
    <row r="38" spans="1:7" ht="18" hidden="1" customHeight="1" thickBot="1">
      <c r="A38" s="280">
        <v>1998</v>
      </c>
      <c r="B38" s="289">
        <v>621.26</v>
      </c>
      <c r="C38" s="309">
        <v>7.1451977303692349E-2</v>
      </c>
      <c r="D38" s="289">
        <v>940.22</v>
      </c>
      <c r="E38" s="309">
        <v>5.3999215290622793E-2</v>
      </c>
      <c r="F38" s="289">
        <v>2457.66</v>
      </c>
      <c r="G38" s="309">
        <v>7.4823862816358E-2</v>
      </c>
    </row>
    <row r="39" spans="1:7" ht="18" hidden="1" customHeight="1" thickBot="1">
      <c r="A39" s="280">
        <v>1999</v>
      </c>
      <c r="B39" s="289">
        <v>636.16</v>
      </c>
      <c r="C39" s="309">
        <v>2.3983517367929696E-2</v>
      </c>
      <c r="D39" s="289">
        <v>970.54</v>
      </c>
      <c r="E39" s="309">
        <v>3.2247771798089797E-2</v>
      </c>
      <c r="F39" s="289">
        <v>2565.34</v>
      </c>
      <c r="G39" s="309">
        <v>4.3814034488090403E-2</v>
      </c>
    </row>
    <row r="40" spans="1:7" ht="18" hidden="1" customHeight="1" thickBot="1">
      <c r="A40" s="280">
        <v>2000</v>
      </c>
      <c r="B40" s="289">
        <v>670.88</v>
      </c>
      <c r="C40" s="309">
        <v>5.4577464788732488E-2</v>
      </c>
      <c r="D40" s="289">
        <v>1026.8800000000001</v>
      </c>
      <c r="E40" s="309">
        <v>5.8050157644198297E-2</v>
      </c>
      <c r="F40" s="289">
        <v>2747.78</v>
      </c>
      <c r="G40" s="309">
        <v>7.1117278801250627E-2</v>
      </c>
    </row>
    <row r="41" spans="1:7" ht="18" hidden="1" customHeight="1" thickBot="1">
      <c r="A41" s="280">
        <v>2001</v>
      </c>
      <c r="B41" s="289">
        <v>702.64</v>
      </c>
      <c r="C41" s="309">
        <v>4.7340806105413691E-2</v>
      </c>
      <c r="D41" s="289">
        <v>1071.02</v>
      </c>
      <c r="E41" s="309">
        <v>4.2984574633842199E-2</v>
      </c>
      <c r="F41" s="289">
        <v>2891.92</v>
      </c>
      <c r="G41" s="309">
        <v>5.2456892473196515E-2</v>
      </c>
    </row>
    <row r="42" spans="1:7" ht="19.25" hidden="1" customHeight="1" thickBot="1">
      <c r="A42" s="280">
        <v>2002</v>
      </c>
      <c r="B42" s="289">
        <v>715.9</v>
      </c>
      <c r="C42" s="309">
        <v>1.8871683934874151E-2</v>
      </c>
      <c r="D42" s="289">
        <v>1089.29</v>
      </c>
      <c r="E42" s="309">
        <v>1.7058504976564359E-2</v>
      </c>
      <c r="F42" s="289">
        <v>2990.07</v>
      </c>
      <c r="G42" s="309">
        <v>3.3939389747987603E-2</v>
      </c>
    </row>
    <row r="43" spans="1:7" ht="19.25" customHeight="1" thickBot="1">
      <c r="A43" s="280">
        <v>2003</v>
      </c>
      <c r="B43" s="289">
        <v>742.01</v>
      </c>
      <c r="C43" s="309">
        <v>3.647157424221259E-2</v>
      </c>
      <c r="D43" s="289">
        <v>1120.8399999999999</v>
      </c>
      <c r="E43" s="309">
        <v>2.8963820470214507E-2</v>
      </c>
      <c r="F43" s="289">
        <v>3116.13</v>
      </c>
      <c r="G43" s="309">
        <v>4.2159548104224953E-2</v>
      </c>
    </row>
    <row r="44" spans="1:7" ht="19.25" customHeight="1" thickBot="1">
      <c r="A44" s="280">
        <v>2004</v>
      </c>
      <c r="B44" s="289">
        <v>782.33</v>
      </c>
      <c r="C44" s="309">
        <v>5.4338890311451449E-2</v>
      </c>
      <c r="D44" s="289">
        <v>1164.3699999999999</v>
      </c>
      <c r="E44" s="309">
        <v>3.8836943720780726E-2</v>
      </c>
      <c r="F44" s="289">
        <v>3294.18</v>
      </c>
      <c r="G44" s="309">
        <v>5.7138181012987177E-2</v>
      </c>
    </row>
    <row r="45" spans="1:7" ht="19.25" customHeight="1" thickBot="1">
      <c r="A45" s="280">
        <v>2005</v>
      </c>
      <c r="B45" s="289">
        <v>842.17</v>
      </c>
      <c r="C45" s="309">
        <v>7.6489460969156209E-2</v>
      </c>
      <c r="D45" s="289">
        <v>1199.8800000000001</v>
      </c>
      <c r="E45" s="309">
        <v>3.0497178731846653E-2</v>
      </c>
      <c r="F45" s="289">
        <v>3465.4</v>
      </c>
      <c r="G45" s="309">
        <v>5.1976516158801278E-2</v>
      </c>
    </row>
    <row r="46" spans="1:7" ht="19.25" customHeight="1" thickBot="1">
      <c r="A46" s="280">
        <v>2006</v>
      </c>
      <c r="B46" s="289">
        <v>852.59</v>
      </c>
      <c r="C46" s="309">
        <v>1.2372798841089105E-2</v>
      </c>
      <c r="D46" s="289">
        <v>1171.54</v>
      </c>
      <c r="E46" s="309">
        <v>-2.3619028569523692E-2</v>
      </c>
      <c r="F46" s="289">
        <v>3485.76</v>
      </c>
      <c r="G46" s="309">
        <v>5.8752236394068458E-3</v>
      </c>
    </row>
    <row r="47" spans="1:7" ht="19.25" customHeight="1" thickBot="1">
      <c r="A47" s="280">
        <v>2007</v>
      </c>
      <c r="B47" s="289">
        <v>902.56</v>
      </c>
      <c r="C47" s="309">
        <v>5.8609648248278745E-2</v>
      </c>
      <c r="D47" s="289">
        <v>1191.18</v>
      </c>
      <c r="E47" s="309">
        <v>1.6764259009508953E-2</v>
      </c>
      <c r="F47" s="289">
        <v>3603.81</v>
      </c>
      <c r="G47" s="309">
        <v>3.3866359129716361E-2</v>
      </c>
    </row>
    <row r="48" spans="1:7" ht="19.25" customHeight="1" thickBot="1">
      <c r="A48" s="280">
        <v>2008</v>
      </c>
      <c r="B48" s="289">
        <v>930.8</v>
      </c>
      <c r="C48" s="309">
        <v>3.128877858535728E-2</v>
      </c>
      <c r="D48" s="289">
        <v>1236.5999999999999</v>
      </c>
      <c r="E48" s="309">
        <v>3.8130257391829847E-2</v>
      </c>
      <c r="F48" s="289">
        <v>3741.04</v>
      </c>
      <c r="G48" s="309">
        <v>3.8079144017026501E-2</v>
      </c>
    </row>
    <row r="49" spans="1:7" ht="19.25" customHeight="1" thickBot="1">
      <c r="A49" s="280">
        <v>2009</v>
      </c>
      <c r="B49" s="289">
        <v>961.34067298921809</v>
      </c>
      <c r="C49" s="309">
        <v>3.2811208626147614E-2</v>
      </c>
      <c r="D49" s="289">
        <v>1283.9269392146032</v>
      </c>
      <c r="E49" s="309">
        <v>3.8271825339320165E-2</v>
      </c>
      <c r="F49" s="289">
        <v>3850.7211121651544</v>
      </c>
      <c r="G49" s="309">
        <v>2.9318347883250162E-2</v>
      </c>
    </row>
    <row r="50" spans="1:7" ht="19.25" customHeight="1" thickBot="1">
      <c r="A50" s="280">
        <v>2010</v>
      </c>
      <c r="B50" s="289">
        <v>962.23072687431443</v>
      </c>
      <c r="C50" s="309">
        <v>9.2584648720706042E-4</v>
      </c>
      <c r="D50" s="289">
        <v>1339.1518937955034</v>
      </c>
      <c r="E50" s="309">
        <v>4.3012536690508307E-2</v>
      </c>
      <c r="F50" s="289">
        <v>3909.4171856200396</v>
      </c>
      <c r="G50" s="309">
        <v>1.5242878345423039E-2</v>
      </c>
    </row>
    <row r="51" spans="1:7" ht="19.25" customHeight="1" thickBot="1">
      <c r="A51" s="280">
        <v>2011</v>
      </c>
      <c r="B51" s="289">
        <v>982.33143426752792</v>
      </c>
      <c r="C51" s="309">
        <v>2.0889696028007831E-2</v>
      </c>
      <c r="D51" s="289">
        <v>1308.6865414297763</v>
      </c>
      <c r="E51" s="309">
        <v>-2.2749736237448248E-2</v>
      </c>
      <c r="F51" s="289">
        <v>3966.3792574707609</v>
      </c>
      <c r="G51" s="309">
        <v>1.457047665832234E-2</v>
      </c>
    </row>
    <row r="52" spans="1:7" ht="19.25" customHeight="1" thickBot="1">
      <c r="A52" s="280">
        <v>2012</v>
      </c>
      <c r="B52" s="289">
        <v>1026.607671371253</v>
      </c>
      <c r="C52" s="309">
        <v>4.5072605394878229E-2</v>
      </c>
      <c r="D52" s="289">
        <v>1379.1163162021994</v>
      </c>
      <c r="E52" s="309">
        <v>5.3817146079516265E-2</v>
      </c>
      <c r="F52" s="289">
        <v>4056.6164501786152</v>
      </c>
      <c r="G52" s="309">
        <v>2.275052052520965E-2</v>
      </c>
    </row>
    <row r="53" spans="1:7" ht="24" customHeight="1" thickBot="1">
      <c r="A53" s="652">
        <v>2013</v>
      </c>
      <c r="B53" s="619">
        <v>1115.6800220655477</v>
      </c>
      <c r="C53" s="648">
        <v>8.6763768845911304E-2</v>
      </c>
      <c r="D53" s="619">
        <v>1480.0983226765491</v>
      </c>
      <c r="E53" s="648">
        <v>7.3222254923669627E-2</v>
      </c>
      <c r="F53" s="619">
        <v>4307.9217465012034</v>
      </c>
      <c r="G53" s="648">
        <v>6.1949484110464192E-2</v>
      </c>
    </row>
    <row r="54" spans="1:7" ht="15" customHeight="1">
      <c r="A54" s="461" t="s">
        <v>346</v>
      </c>
    </row>
    <row r="56" spans="1:7">
      <c r="A56" s="219" t="s">
        <v>1887</v>
      </c>
    </row>
    <row r="58" spans="1:7">
      <c r="A58" s="219" t="s">
        <v>542</v>
      </c>
    </row>
    <row r="59" spans="1:7">
      <c r="A59" s="3" t="s">
        <v>1877</v>
      </c>
    </row>
    <row r="60" spans="1:7">
      <c r="A60" s="3" t="s">
        <v>1888</v>
      </c>
    </row>
    <row r="61" spans="1:7">
      <c r="A61" s="247" t="s">
        <v>2221</v>
      </c>
    </row>
    <row r="64" spans="1:7">
      <c r="A64" s="3" t="s">
        <v>302</v>
      </c>
    </row>
  </sheetData>
  <mergeCells count="1">
    <mergeCell ref="A2:F2"/>
  </mergeCells>
  <pageMargins left="0.35" right="0.28000000000000003" top="0.47244094488188981" bottom="0.31496062992125984" header="0.27559055118110237" footer="0.19685039370078741"/>
  <pageSetup paperSize="9" scale="68" orientation="portrait" horizontalDpi="1200" verticalDpi="1200"/>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9091-496D-4D42-9E83-D5E36AE229F3}">
  <sheetPr>
    <pageSetUpPr fitToPage="1"/>
  </sheetPr>
  <dimension ref="A1:V71"/>
  <sheetViews>
    <sheetView zoomScaleNormal="100" workbookViewId="0"/>
  </sheetViews>
  <sheetFormatPr baseColWidth="10" defaultColWidth="11.3984375" defaultRowHeight="13"/>
  <cols>
    <col min="1" max="1" width="11.796875" style="3" customWidth="1"/>
    <col min="2" max="2" width="17" style="3" customWidth="1"/>
    <col min="3" max="3" width="13" style="492" customWidth="1"/>
    <col min="4" max="4" width="13" style="3" customWidth="1"/>
    <col min="5" max="5" width="14" style="492" customWidth="1"/>
    <col min="6" max="6" width="13" style="3" customWidth="1"/>
    <col min="7" max="7" width="13" style="492" customWidth="1"/>
    <col min="8" max="8" width="13" style="3" customWidth="1"/>
    <col min="9" max="9" width="15.3984375" style="3" customWidth="1"/>
    <col min="10" max="12" width="13" style="3" customWidth="1"/>
    <col min="13" max="13" width="14.59765625" style="3" customWidth="1"/>
    <col min="14" max="14" width="13.59765625" style="3" customWidth="1"/>
    <col min="15" max="15" width="14.59765625" style="3" customWidth="1"/>
    <col min="16" max="16" width="13" style="3" customWidth="1"/>
    <col min="17" max="16384" width="11.3984375" style="3"/>
  </cols>
  <sheetData>
    <row r="1" spans="1:22" s="1" customFormat="1" ht="14" customHeight="1">
      <c r="A1" s="191"/>
      <c r="B1" s="191"/>
      <c r="C1" s="462"/>
      <c r="D1" s="191"/>
      <c r="E1" s="462"/>
      <c r="F1" s="191"/>
      <c r="G1" s="463"/>
      <c r="H1" s="463"/>
      <c r="I1" s="463"/>
      <c r="J1" s="463"/>
      <c r="K1" s="463"/>
      <c r="L1" s="463"/>
      <c r="M1" s="463"/>
      <c r="N1" s="463"/>
      <c r="O1" s="463"/>
      <c r="P1" s="463"/>
      <c r="Q1" s="463"/>
      <c r="R1" s="463"/>
      <c r="S1" s="463"/>
      <c r="T1" s="463"/>
      <c r="U1" s="463"/>
    </row>
    <row r="2" spans="1:22" s="1" customFormat="1" ht="25.5" customHeight="1">
      <c r="A2" s="311" t="s">
        <v>710</v>
      </c>
      <c r="B2" s="191"/>
      <c r="C2" s="462"/>
      <c r="D2" s="191"/>
      <c r="E2" s="462"/>
      <c r="F2" s="191"/>
      <c r="G2" s="462"/>
      <c r="N2" s="464"/>
    </row>
    <row r="3" spans="1:22" ht="24" customHeight="1">
      <c r="A3" s="224" t="s">
        <v>460</v>
      </c>
      <c r="B3" s="465" t="s">
        <v>677</v>
      </c>
      <c r="C3" s="305" t="s">
        <v>475</v>
      </c>
      <c r="D3" s="267"/>
      <c r="E3" s="466"/>
      <c r="F3" s="267"/>
      <c r="G3" s="466"/>
      <c r="H3" s="267"/>
      <c r="I3" s="466"/>
      <c r="J3" s="267"/>
      <c r="K3" s="466"/>
      <c r="L3" s="267"/>
      <c r="M3" s="466"/>
      <c r="N3" s="267"/>
      <c r="O3"/>
    </row>
    <row r="4" spans="1:22" ht="17.25" customHeight="1">
      <c r="A4" s="269"/>
      <c r="B4" s="129" t="s">
        <v>711</v>
      </c>
      <c r="C4" s="306" t="s">
        <v>476</v>
      </c>
      <c r="D4" s="467" t="s">
        <v>679</v>
      </c>
      <c r="E4" s="468" t="s">
        <v>679</v>
      </c>
      <c r="F4" s="467" t="s">
        <v>679</v>
      </c>
      <c r="G4" s="468" t="s">
        <v>679</v>
      </c>
      <c r="H4" s="467" t="s">
        <v>679</v>
      </c>
      <c r="I4" s="468" t="s">
        <v>679</v>
      </c>
      <c r="J4" s="467" t="s">
        <v>679</v>
      </c>
      <c r="K4" s="468" t="s">
        <v>679</v>
      </c>
      <c r="L4" s="467" t="s">
        <v>679</v>
      </c>
      <c r="M4" s="468" t="s">
        <v>679</v>
      </c>
      <c r="N4" s="467" t="s">
        <v>679</v>
      </c>
      <c r="O4"/>
    </row>
    <row r="5" spans="1:22" ht="15.5" customHeight="1">
      <c r="A5" s="269"/>
      <c r="B5" s="270"/>
      <c r="C5" s="306" t="s">
        <v>477</v>
      </c>
      <c r="D5" s="467" t="s">
        <v>680</v>
      </c>
      <c r="E5" s="468" t="s">
        <v>681</v>
      </c>
      <c r="F5" s="467" t="s">
        <v>682</v>
      </c>
      <c r="G5" s="468" t="s">
        <v>682</v>
      </c>
      <c r="H5" s="467" t="s">
        <v>655</v>
      </c>
      <c r="I5" s="468" t="s">
        <v>656</v>
      </c>
      <c r="J5" s="467" t="s">
        <v>657</v>
      </c>
      <c r="K5" s="468" t="s">
        <v>658</v>
      </c>
      <c r="L5" s="467" t="s">
        <v>683</v>
      </c>
      <c r="M5" s="468" t="s">
        <v>684</v>
      </c>
      <c r="N5" s="467" t="s">
        <v>685</v>
      </c>
      <c r="O5"/>
    </row>
    <row r="6" spans="1:22" s="219" customFormat="1" ht="19.5" customHeight="1">
      <c r="A6" s="469"/>
      <c r="B6" s="315"/>
      <c r="C6" s="470"/>
      <c r="D6" s="467" t="s">
        <v>686</v>
      </c>
      <c r="E6" s="468" t="s">
        <v>686</v>
      </c>
      <c r="F6" s="467" t="s">
        <v>687</v>
      </c>
      <c r="G6" s="468" t="s">
        <v>688</v>
      </c>
      <c r="H6" s="467"/>
      <c r="I6" s="468"/>
      <c r="J6" s="467"/>
      <c r="K6" s="468"/>
      <c r="L6" s="467" t="s">
        <v>689</v>
      </c>
      <c r="M6" s="468" t="s">
        <v>712</v>
      </c>
      <c r="N6" s="467" t="s">
        <v>690</v>
      </c>
      <c r="O6"/>
    </row>
    <row r="7" spans="1:22" ht="19.5" customHeight="1">
      <c r="A7" s="273"/>
      <c r="B7" s="274"/>
      <c r="C7" s="471"/>
      <c r="D7" s="315"/>
      <c r="E7" s="472"/>
      <c r="F7" s="315"/>
      <c r="G7" s="472"/>
      <c r="H7" s="315"/>
      <c r="I7" s="472"/>
      <c r="J7" s="315"/>
      <c r="K7" s="473"/>
      <c r="L7" s="315"/>
      <c r="M7" s="472"/>
      <c r="N7" s="315"/>
      <c r="O7"/>
    </row>
    <row r="8" spans="1:22" ht="1.25" customHeight="1" thickBot="1">
      <c r="A8" s="277">
        <v>1996</v>
      </c>
      <c r="B8" s="287">
        <v>8214.622179967444</v>
      </c>
      <c r="C8" s="308">
        <v>0.11122052660984157</v>
      </c>
      <c r="D8" s="352" t="s">
        <v>153</v>
      </c>
      <c r="E8" s="353" t="s">
        <v>153</v>
      </c>
      <c r="F8" s="352" t="s">
        <v>153</v>
      </c>
      <c r="G8" s="353" t="s">
        <v>153</v>
      </c>
      <c r="H8" s="352" t="s">
        <v>153</v>
      </c>
      <c r="I8" s="353" t="s">
        <v>153</v>
      </c>
      <c r="J8" s="352" t="s">
        <v>153</v>
      </c>
      <c r="K8" s="288">
        <v>56.88</v>
      </c>
      <c r="L8" s="352" t="s">
        <v>153</v>
      </c>
      <c r="M8" s="353" t="s">
        <v>153</v>
      </c>
      <c r="N8" s="352" t="s">
        <v>153</v>
      </c>
      <c r="O8"/>
    </row>
    <row r="9" spans="1:22" ht="0.75" hidden="1" customHeight="1" thickBot="1">
      <c r="A9" s="280">
        <v>1997</v>
      </c>
      <c r="B9" s="289">
        <v>8735.6547899365542</v>
      </c>
      <c r="C9" s="309">
        <v>6.3427458811158022E-2</v>
      </c>
      <c r="D9" s="352" t="s">
        <v>153</v>
      </c>
      <c r="E9" s="353" t="s">
        <v>153</v>
      </c>
      <c r="F9" s="352" t="s">
        <v>153</v>
      </c>
      <c r="G9" s="353" t="s">
        <v>153</v>
      </c>
      <c r="H9" s="352" t="s">
        <v>153</v>
      </c>
      <c r="I9" s="353" t="s">
        <v>153</v>
      </c>
      <c r="J9" s="352" t="s">
        <v>153</v>
      </c>
      <c r="K9" s="159">
        <v>56.26</v>
      </c>
      <c r="L9" s="352" t="s">
        <v>153</v>
      </c>
      <c r="M9" s="353" t="s">
        <v>153</v>
      </c>
      <c r="N9" s="352" t="s">
        <v>153</v>
      </c>
      <c r="O9"/>
      <c r="T9" s="8"/>
      <c r="U9" s="8"/>
      <c r="V9" s="8"/>
    </row>
    <row r="10" spans="1:22" ht="19.5" hidden="1" customHeight="1" thickBot="1">
      <c r="A10" s="280">
        <v>1998</v>
      </c>
      <c r="B10" s="289">
        <v>9332.6868080000004</v>
      </c>
      <c r="C10" s="309">
        <v>6.8344277838362513E-2</v>
      </c>
      <c r="D10" s="289">
        <v>3748.16</v>
      </c>
      <c r="E10" s="159">
        <v>1302.8</v>
      </c>
      <c r="F10" s="289">
        <v>933.79</v>
      </c>
      <c r="G10" s="159">
        <v>1787.54</v>
      </c>
      <c r="H10" s="289">
        <v>223.97</v>
      </c>
      <c r="I10" s="159">
        <v>417.71</v>
      </c>
      <c r="J10" s="289">
        <v>397.5</v>
      </c>
      <c r="K10" s="159">
        <v>56.3</v>
      </c>
      <c r="L10" s="289">
        <v>104.38</v>
      </c>
      <c r="M10" s="159">
        <v>87.2</v>
      </c>
      <c r="N10" s="289" t="s">
        <v>153</v>
      </c>
      <c r="O10"/>
    </row>
    <row r="11" spans="1:22" ht="19.75" hidden="1" customHeight="1" thickBot="1">
      <c r="A11" s="280">
        <v>1999</v>
      </c>
      <c r="B11" s="289">
        <v>9826.7075550000009</v>
      </c>
      <c r="C11" s="309">
        <v>5.2934461121798788E-2</v>
      </c>
      <c r="D11" s="289">
        <v>3764.53</v>
      </c>
      <c r="E11" s="159">
        <v>1484.57</v>
      </c>
      <c r="F11" s="289">
        <v>1031.77</v>
      </c>
      <c r="G11" s="159">
        <v>1873.03</v>
      </c>
      <c r="H11" s="289">
        <v>235.27</v>
      </c>
      <c r="I11" s="159">
        <v>437.19</v>
      </c>
      <c r="J11" s="289">
        <v>413.87</v>
      </c>
      <c r="K11" s="159">
        <v>60.6</v>
      </c>
      <c r="L11" s="289">
        <v>125.04</v>
      </c>
      <c r="M11" s="159">
        <v>87.9</v>
      </c>
      <c r="N11" s="289" t="s">
        <v>153</v>
      </c>
      <c r="O11"/>
    </row>
    <row r="12" spans="1:22" ht="19.75" hidden="1" customHeight="1" thickBot="1">
      <c r="A12" s="280">
        <v>2000</v>
      </c>
      <c r="B12" s="289">
        <v>10542.816855999999</v>
      </c>
      <c r="C12" s="309">
        <v>7.2873777609839388E-2</v>
      </c>
      <c r="D12" s="289">
        <v>3846.3722419999999</v>
      </c>
      <c r="E12" s="159">
        <v>1665.8885190000001</v>
      </c>
      <c r="F12" s="289">
        <v>1143.2080209999999</v>
      </c>
      <c r="G12" s="159">
        <v>2097.7667449999999</v>
      </c>
      <c r="H12" s="289">
        <v>253.12159500000001</v>
      </c>
      <c r="I12" s="159">
        <v>446.74208700000003</v>
      </c>
      <c r="J12" s="289">
        <v>442.743357</v>
      </c>
      <c r="K12" s="159">
        <v>62.290866000000001</v>
      </c>
      <c r="L12" s="289">
        <v>179.87060299999999</v>
      </c>
      <c r="M12" s="159">
        <v>114.545208</v>
      </c>
      <c r="N12" s="289" t="s">
        <v>153</v>
      </c>
      <c r="O12"/>
    </row>
    <row r="13" spans="1:22" ht="20" hidden="1" customHeight="1" thickBot="1">
      <c r="A13" s="280">
        <v>2001</v>
      </c>
      <c r="B13" s="289">
        <v>11308.048632</v>
      </c>
      <c r="C13" s="309">
        <v>7.2583237141646939E-2</v>
      </c>
      <c r="D13" s="289">
        <v>4011.5563699999998</v>
      </c>
      <c r="E13" s="159">
        <v>1925.523136</v>
      </c>
      <c r="F13" s="289">
        <v>1271.4507229999999</v>
      </c>
      <c r="G13" s="159">
        <v>2242.439856</v>
      </c>
      <c r="H13" s="289">
        <v>270.321618</v>
      </c>
      <c r="I13" s="159">
        <v>480.12928299999999</v>
      </c>
      <c r="J13" s="289">
        <v>462.70975499999997</v>
      </c>
      <c r="K13" s="159">
        <v>65.236801</v>
      </c>
      <c r="L13" s="289">
        <v>173.02369200000001</v>
      </c>
      <c r="M13" s="159">
        <v>106.32983400000001</v>
      </c>
      <c r="N13" s="289">
        <v>20.166156999999998</v>
      </c>
      <c r="O13"/>
    </row>
    <row r="14" spans="1:22" ht="20" hidden="1" customHeight="1" thickBot="1">
      <c r="A14" s="280">
        <v>2002</v>
      </c>
      <c r="B14" s="289">
        <v>11864.756498999999</v>
      </c>
      <c r="C14" s="309">
        <v>4.9231117155315675E-2</v>
      </c>
      <c r="D14" s="289">
        <v>4108.8234659999998</v>
      </c>
      <c r="E14" s="159">
        <v>1972.059045</v>
      </c>
      <c r="F14" s="289">
        <v>1260.789229</v>
      </c>
      <c r="G14" s="159">
        <v>2524.68426</v>
      </c>
      <c r="H14" s="289">
        <v>290.06557500000002</v>
      </c>
      <c r="I14" s="159">
        <v>506.24601999999999</v>
      </c>
      <c r="J14" s="289">
        <v>485.55174599999998</v>
      </c>
      <c r="K14" s="159">
        <v>65.211265999999995</v>
      </c>
      <c r="L14" s="289">
        <v>202.87558799999999</v>
      </c>
      <c r="M14" s="159">
        <v>112.82700800000001</v>
      </c>
      <c r="N14" s="289">
        <v>22.283301000000002</v>
      </c>
      <c r="O14"/>
    </row>
    <row r="15" spans="1:22" ht="20" customHeight="1" thickBot="1">
      <c r="A15" s="280">
        <v>2003</v>
      </c>
      <c r="B15" s="289">
        <v>12287.171129999999</v>
      </c>
      <c r="C15" s="309">
        <v>3.560246946792394E-2</v>
      </c>
      <c r="D15" s="289">
        <v>4172.0328019999997</v>
      </c>
      <c r="E15" s="159">
        <v>2141.3752909999998</v>
      </c>
      <c r="F15" s="289">
        <v>1347.924618</v>
      </c>
      <c r="G15" s="159">
        <v>2602.0570160000002</v>
      </c>
      <c r="H15" s="289">
        <v>320.12044100000003</v>
      </c>
      <c r="I15" s="159">
        <v>491.37185499999998</v>
      </c>
      <c r="J15" s="289">
        <v>480.48790700000001</v>
      </c>
      <c r="K15" s="159">
        <v>65.007204000000002</v>
      </c>
      <c r="L15" s="289">
        <v>214.51952800000001</v>
      </c>
      <c r="M15" s="159">
        <v>112.746364</v>
      </c>
      <c r="N15" s="289">
        <v>30.331126999999999</v>
      </c>
      <c r="O15"/>
    </row>
    <row r="16" spans="1:22" ht="20" customHeight="1" thickBot="1">
      <c r="A16" s="280">
        <v>2004</v>
      </c>
      <c r="B16" s="289">
        <v>12930.941864000002</v>
      </c>
      <c r="C16" s="309">
        <v>5.2393730598265333E-2</v>
      </c>
      <c r="D16" s="289">
        <v>4377.7035830000004</v>
      </c>
      <c r="E16" s="159">
        <v>2192.3005199999998</v>
      </c>
      <c r="F16" s="289">
        <v>1398.7252390000001</v>
      </c>
      <c r="G16" s="159">
        <v>2750.1970510000001</v>
      </c>
      <c r="H16" s="289">
        <v>365.15373399999999</v>
      </c>
      <c r="I16" s="159">
        <v>505.40384999999998</v>
      </c>
      <c r="J16" s="289">
        <v>591.27084500000001</v>
      </c>
      <c r="K16" s="159">
        <v>68.244215999999994</v>
      </c>
      <c r="L16" s="289">
        <v>259.95297099999999</v>
      </c>
      <c r="M16" s="159">
        <v>79.496533999999997</v>
      </c>
      <c r="N16" s="289">
        <v>25.676613</v>
      </c>
      <c r="O16"/>
    </row>
    <row r="17" spans="1:17" ht="20" customHeight="1" thickBot="1">
      <c r="A17" s="280">
        <v>2005</v>
      </c>
      <c r="B17" s="289">
        <v>13896.515273999998</v>
      </c>
      <c r="C17" s="309">
        <v>7.467154520956984E-2</v>
      </c>
      <c r="D17" s="289">
        <v>4526.5123919999996</v>
      </c>
      <c r="E17" s="159">
        <v>2671.1515180000001</v>
      </c>
      <c r="F17" s="289">
        <v>1472.471274</v>
      </c>
      <c r="G17" s="159">
        <v>2820.8304370000001</v>
      </c>
      <c r="H17" s="289">
        <v>388.382814</v>
      </c>
      <c r="I17" s="159">
        <v>531.73997799999995</v>
      </c>
      <c r="J17" s="289">
        <v>664.98868300000004</v>
      </c>
      <c r="K17" s="159">
        <v>69.204526000000001</v>
      </c>
      <c r="L17" s="289">
        <v>297.96774900000003</v>
      </c>
      <c r="M17" s="159">
        <v>52.688243999999997</v>
      </c>
      <c r="N17" s="289">
        <v>24.155256000000001</v>
      </c>
      <c r="O17"/>
    </row>
    <row r="18" spans="1:17" ht="20" customHeight="1" thickBot="1">
      <c r="A18" s="280">
        <v>2006</v>
      </c>
      <c r="B18" s="289">
        <v>14030.772541999999</v>
      </c>
      <c r="C18" s="309">
        <v>9.6612183236464248E-3</v>
      </c>
      <c r="D18" s="289">
        <v>4631.4300709999998</v>
      </c>
      <c r="E18" s="159">
        <v>2644.9903220000001</v>
      </c>
      <c r="F18" s="289">
        <v>1472.366248</v>
      </c>
      <c r="G18" s="159">
        <v>2826.9170079999999</v>
      </c>
      <c r="H18" s="289">
        <v>416.81203599999998</v>
      </c>
      <c r="I18" s="159">
        <v>539.40939700000001</v>
      </c>
      <c r="J18" s="289">
        <v>625.59989599999994</v>
      </c>
      <c r="K18" s="159">
        <v>68.417607000000004</v>
      </c>
      <c r="L18" s="289">
        <v>336.37458700000002</v>
      </c>
      <c r="M18" s="159">
        <v>61.767296000000002</v>
      </c>
      <c r="N18" s="289">
        <v>11.768563</v>
      </c>
      <c r="O18"/>
    </row>
    <row r="19" spans="1:17" ht="20" customHeight="1" thickBot="1">
      <c r="A19" s="280">
        <v>2007</v>
      </c>
      <c r="B19" s="289">
        <v>14675.691045</v>
      </c>
      <c r="C19" s="309">
        <v>4.5964575440838207E-2</v>
      </c>
      <c r="D19" s="289">
        <v>4835.7349899999999</v>
      </c>
      <c r="E19" s="159">
        <v>2824.687347</v>
      </c>
      <c r="F19" s="289">
        <v>1518.895055</v>
      </c>
      <c r="G19" s="159">
        <v>2887.694485</v>
      </c>
      <c r="H19" s="289">
        <v>456.109013</v>
      </c>
      <c r="I19" s="159">
        <v>553.92740000000003</v>
      </c>
      <c r="J19" s="289">
        <v>633.04220399999997</v>
      </c>
      <c r="K19" s="159">
        <v>71.228594000000001</v>
      </c>
      <c r="L19" s="289">
        <v>373.80373800000001</v>
      </c>
      <c r="M19" s="159">
        <v>64.120796999999996</v>
      </c>
      <c r="N19" s="289">
        <v>9.7957180000000008</v>
      </c>
      <c r="O19"/>
    </row>
    <row r="20" spans="1:17" ht="20" customHeight="1" thickBot="1">
      <c r="A20" s="280">
        <v>2008</v>
      </c>
      <c r="B20" s="289">
        <v>15615.666009989998</v>
      </c>
      <c r="C20" s="309">
        <v>6.4049792415754592E-2</v>
      </c>
      <c r="D20" s="289">
        <v>5103.8810920400001</v>
      </c>
      <c r="E20" s="159">
        <v>3255.3153891399998</v>
      </c>
      <c r="F20" s="289">
        <v>1619.4145700199999</v>
      </c>
      <c r="G20" s="159">
        <v>3019.5684620500001</v>
      </c>
      <c r="H20" s="289">
        <v>496.14749419999998</v>
      </c>
      <c r="I20" s="159">
        <v>572.72103085000003</v>
      </c>
      <c r="J20" s="289">
        <v>686.59783748999996</v>
      </c>
      <c r="K20" s="159">
        <v>71.69690340999999</v>
      </c>
      <c r="L20" s="289">
        <v>374.54323960000005</v>
      </c>
      <c r="M20" s="159">
        <v>55.54561923</v>
      </c>
      <c r="N20" s="289">
        <v>10.82962706</v>
      </c>
      <c r="O20"/>
    </row>
    <row r="21" spans="1:17" ht="20" customHeight="1" thickBot="1">
      <c r="A21" s="280">
        <v>2009</v>
      </c>
      <c r="B21" s="289">
        <v>16254.018595869999</v>
      </c>
      <c r="C21" s="309">
        <v>4.0878985595082407E-2</v>
      </c>
      <c r="D21" s="289">
        <v>5227.31893072</v>
      </c>
      <c r="E21" s="159">
        <v>3473.7134508499998</v>
      </c>
      <c r="F21" s="289">
        <v>1697.4901301199998</v>
      </c>
      <c r="G21" s="159">
        <v>3136.26183201</v>
      </c>
      <c r="H21" s="289">
        <v>531.28997864999997</v>
      </c>
      <c r="I21" s="159">
        <v>592.22791487999996</v>
      </c>
      <c r="J21" s="289">
        <v>691.81437719000007</v>
      </c>
      <c r="K21" s="159">
        <v>72.583560519999992</v>
      </c>
      <c r="L21" s="289">
        <v>392.16189391</v>
      </c>
      <c r="M21" s="159">
        <v>62.042064340000003</v>
      </c>
      <c r="N21" s="289">
        <v>9.6207207700000001</v>
      </c>
      <c r="O21"/>
    </row>
    <row r="22" spans="1:17" ht="20" customHeight="1" thickBot="1">
      <c r="A22" s="280">
        <v>2010</v>
      </c>
      <c r="B22" s="289">
        <v>16768.374995100003</v>
      </c>
      <c r="C22" s="309">
        <v>3.1644875770026282E-2</v>
      </c>
      <c r="D22" s="289">
        <v>5325.2508193000003</v>
      </c>
      <c r="E22" s="159">
        <v>3824.7807484699997</v>
      </c>
      <c r="F22" s="289">
        <v>1619.7804195599999</v>
      </c>
      <c r="G22" s="159">
        <v>3163.9565150100002</v>
      </c>
      <c r="H22" s="289">
        <v>562.75759688999995</v>
      </c>
      <c r="I22" s="159">
        <v>622.54745729000001</v>
      </c>
      <c r="J22" s="289">
        <v>696.93634201999998</v>
      </c>
      <c r="K22" s="159">
        <v>73.035286099999993</v>
      </c>
      <c r="L22" s="289">
        <v>417.93008025</v>
      </c>
      <c r="M22" s="159">
        <v>68.394027909999991</v>
      </c>
      <c r="N22" s="289">
        <v>7.8707267500000002</v>
      </c>
      <c r="O22"/>
    </row>
    <row r="23" spans="1:17" ht="20" customHeight="1" thickBot="1">
      <c r="A23" s="280">
        <v>2011</v>
      </c>
      <c r="B23" s="289">
        <v>17331.639448619997</v>
      </c>
      <c r="C23" s="309">
        <v>3.3590878882693742E-2</v>
      </c>
      <c r="D23" s="289">
        <v>5566.1890389700002</v>
      </c>
      <c r="E23" s="159">
        <v>4111.6320723099998</v>
      </c>
      <c r="F23" s="289">
        <v>1620.73979562</v>
      </c>
      <c r="G23" s="159">
        <v>3169.0921884099998</v>
      </c>
      <c r="H23" s="289">
        <v>582.96302235000007</v>
      </c>
      <c r="I23" s="159">
        <v>636.24155867999991</v>
      </c>
      <c r="J23" s="289">
        <v>749.02262587999996</v>
      </c>
      <c r="K23" s="159">
        <v>73.965912650000007</v>
      </c>
      <c r="L23" s="289">
        <v>382.33491762</v>
      </c>
      <c r="M23" s="159">
        <v>86.212460309999997</v>
      </c>
      <c r="N23" s="289">
        <v>7.6325601199999999</v>
      </c>
      <c r="O23"/>
    </row>
    <row r="24" spans="1:17" ht="20" customHeight="1" thickBot="1">
      <c r="A24" s="280">
        <v>2012</v>
      </c>
      <c r="B24" s="289">
        <v>18079.81304022</v>
      </c>
      <c r="C24" s="309">
        <v>4.3168079616356048E-2</v>
      </c>
      <c r="D24" s="289">
        <v>5805.8330580299998</v>
      </c>
      <c r="E24" s="159">
        <v>4403.77373223</v>
      </c>
      <c r="F24" s="289">
        <v>1663.3658304200001</v>
      </c>
      <c r="G24" s="159">
        <v>3253.0013221500003</v>
      </c>
      <c r="H24" s="289">
        <v>627.79335935000006</v>
      </c>
      <c r="I24" s="159">
        <v>654.58162120000009</v>
      </c>
      <c r="J24" s="289">
        <v>794.48913291999997</v>
      </c>
      <c r="K24" s="159">
        <v>75.66790804</v>
      </c>
      <c r="L24" s="289">
        <v>376.67323020999999</v>
      </c>
      <c r="M24" s="159">
        <v>1.8009850000000001</v>
      </c>
      <c r="N24" s="289">
        <v>22.57363393</v>
      </c>
      <c r="O24"/>
    </row>
    <row r="25" spans="1:17" s="410" customFormat="1" ht="30" customHeight="1" thickBot="1">
      <c r="A25" s="391">
        <v>2013</v>
      </c>
      <c r="B25" s="363">
        <v>19231.329232649994</v>
      </c>
      <c r="C25" s="310">
        <v>6.3690713497332796E-2</v>
      </c>
      <c r="D25" s="363">
        <v>6241.7041796800004</v>
      </c>
      <c r="E25" s="292">
        <v>4802.8100743500008</v>
      </c>
      <c r="F25" s="363">
        <v>1726.73648002</v>
      </c>
      <c r="G25" s="292">
        <v>3298.61363596</v>
      </c>
      <c r="H25" s="363">
        <v>670.95073839999998</v>
      </c>
      <c r="I25" s="292">
        <v>698.36069438000004</v>
      </c>
      <c r="J25" s="363">
        <v>846.04096327000002</v>
      </c>
      <c r="K25" s="292">
        <v>76.755106580000003</v>
      </c>
      <c r="L25" s="363">
        <v>438.80811360000001</v>
      </c>
      <c r="M25" s="292">
        <v>0</v>
      </c>
      <c r="N25" s="363">
        <v>15.42790282</v>
      </c>
      <c r="O25"/>
      <c r="P25" s="478"/>
      <c r="Q25" s="479"/>
    </row>
    <row r="26" spans="1:17" ht="17.25" customHeight="1" thickBot="1">
      <c r="A26" s="367"/>
      <c r="B26" s="480"/>
      <c r="C26" s="482"/>
      <c r="D26" s="480"/>
      <c r="E26" s="482"/>
      <c r="F26" s="480"/>
      <c r="G26" s="482"/>
      <c r="P26" s="17"/>
      <c r="Q26" s="17"/>
    </row>
    <row r="27" spans="1:17" s="185" customFormat="1" ht="51" customHeight="1" thickBot="1">
      <c r="A27" s="483" t="s">
        <v>691</v>
      </c>
      <c r="B27" s="438">
        <v>4.581710229952507E-2</v>
      </c>
      <c r="C27" s="485" t="s">
        <v>153</v>
      </c>
      <c r="D27" s="438">
        <v>4.110743205456191E-2</v>
      </c>
      <c r="E27" s="486">
        <v>8.4127254612033964E-2</v>
      </c>
      <c r="F27" s="438">
        <v>2.5075953649872362E-2</v>
      </c>
      <c r="G27" s="486">
        <v>2.40035544625119E-2</v>
      </c>
      <c r="H27" s="438">
        <v>7.6806634926715356E-2</v>
      </c>
      <c r="I27" s="486">
        <v>3.5778640991110944E-2</v>
      </c>
      <c r="J27" s="438">
        <v>5.8207640542286887E-2</v>
      </c>
      <c r="K27" s="486">
        <v>1.6750932047290057E-2</v>
      </c>
      <c r="L27" s="438">
        <v>7.4189200038371039E-2</v>
      </c>
      <c r="M27" s="486" t="s">
        <v>153</v>
      </c>
      <c r="N27" s="438">
        <v>-6.5365442562791753E-2</v>
      </c>
      <c r="P27" s="478"/>
      <c r="Q27" s="478"/>
    </row>
    <row r="28" spans="1:17" ht="39" customHeight="1">
      <c r="A28" s="367"/>
      <c r="B28" s="487"/>
      <c r="C28" s="482"/>
      <c r="D28" s="480"/>
      <c r="E28" s="482"/>
      <c r="F28" s="480"/>
      <c r="G28" s="482"/>
    </row>
    <row r="29" spans="1:17" ht="18" customHeight="1">
      <c r="A29" s="224" t="s">
        <v>445</v>
      </c>
      <c r="B29" s="129" t="s">
        <v>692</v>
      </c>
      <c r="C29" s="305" t="s">
        <v>475</v>
      </c>
      <c r="D29" s="267"/>
      <c r="E29" s="466"/>
      <c r="F29"/>
      <c r="G29" s="3"/>
      <c r="H29" s="465" t="s">
        <v>381</v>
      </c>
      <c r="I29" s="305" t="s">
        <v>475</v>
      </c>
    </row>
    <row r="30" spans="1:17" ht="16.75" customHeight="1">
      <c r="A30" s="269"/>
      <c r="B30" s="129" t="s">
        <v>711</v>
      </c>
      <c r="C30" s="306" t="s">
        <v>476</v>
      </c>
      <c r="D30" s="467" t="s">
        <v>679</v>
      </c>
      <c r="E30" s="468" t="s">
        <v>679</v>
      </c>
      <c r="F30"/>
      <c r="G30" s="3"/>
      <c r="H30" s="129" t="s">
        <v>693</v>
      </c>
      <c r="I30" s="306" t="s">
        <v>476</v>
      </c>
    </row>
    <row r="31" spans="1:17" ht="16.25" customHeight="1">
      <c r="A31" s="269"/>
      <c r="B31" s="270"/>
      <c r="C31" s="306" t="s">
        <v>477</v>
      </c>
      <c r="D31" s="467" t="s">
        <v>694</v>
      </c>
      <c r="E31" s="468" t="s">
        <v>695</v>
      </c>
      <c r="F31"/>
      <c r="G31" s="3"/>
      <c r="H31" s="270"/>
      <c r="I31" s="306" t="s">
        <v>477</v>
      </c>
    </row>
    <row r="32" spans="1:17" ht="19.5" customHeight="1">
      <c r="A32" s="469"/>
      <c r="B32" s="315"/>
      <c r="C32" s="470"/>
      <c r="D32" s="467" t="s">
        <v>696</v>
      </c>
      <c r="E32" s="468"/>
      <c r="F32"/>
      <c r="G32" s="3"/>
      <c r="H32" s="315"/>
      <c r="I32" s="470"/>
    </row>
    <row r="33" spans="1:9" ht="19.5" customHeight="1">
      <c r="A33" s="273"/>
      <c r="B33" s="274"/>
      <c r="C33" s="471"/>
      <c r="D33" s="488"/>
      <c r="E33" s="489"/>
      <c r="F33"/>
      <c r="G33" s="3"/>
      <c r="H33" s="274"/>
      <c r="I33" s="471"/>
    </row>
    <row r="34" spans="1:9" ht="1.5" customHeight="1" thickBot="1">
      <c r="A34" s="277">
        <v>1996</v>
      </c>
      <c r="B34" s="287">
        <v>4244.395068032557</v>
      </c>
      <c r="C34" s="308">
        <v>8.4154117430895334E-2</v>
      </c>
      <c r="D34" s="352" t="s">
        <v>153</v>
      </c>
      <c r="E34" s="353" t="s">
        <v>153</v>
      </c>
      <c r="F34"/>
      <c r="G34" s="3"/>
      <c r="H34" s="287">
        <v>12459.017248</v>
      </c>
      <c r="I34" s="308">
        <v>0.10184935576083168</v>
      </c>
    </row>
    <row r="35" spans="1:9" ht="19.5" hidden="1" customHeight="1" thickBot="1">
      <c r="A35" s="280">
        <v>1997</v>
      </c>
      <c r="B35" s="289">
        <v>4402.8227450634458</v>
      </c>
      <c r="C35" s="309">
        <v>3.7326326718291628E-2</v>
      </c>
      <c r="D35" s="289" t="s">
        <v>153</v>
      </c>
      <c r="E35" s="159" t="s">
        <v>153</v>
      </c>
      <c r="F35"/>
      <c r="G35" s="3"/>
      <c r="H35" s="289">
        <v>13138.477535</v>
      </c>
      <c r="I35" s="309">
        <v>5.4535624558114414E-2</v>
      </c>
    </row>
    <row r="36" spans="1:9" ht="19.5" hidden="1" customHeight="1" thickBot="1">
      <c r="A36" s="280">
        <v>1998</v>
      </c>
      <c r="B36" s="289">
        <v>4691.4058439999999</v>
      </c>
      <c r="C36" s="309">
        <v>6.5545018649710712E-2</v>
      </c>
      <c r="D36" s="289">
        <v>3570.49</v>
      </c>
      <c r="E36" s="159">
        <v>1091.68</v>
      </c>
      <c r="F36"/>
      <c r="G36" s="3"/>
      <c r="H36" s="289">
        <v>14024.092651999999</v>
      </c>
      <c r="I36" s="309">
        <v>6.7406220746717538E-2</v>
      </c>
    </row>
    <row r="37" spans="1:9" ht="19.25" hidden="1" customHeight="1" thickBot="1">
      <c r="A37" s="280">
        <v>1999</v>
      </c>
      <c r="B37" s="289">
        <v>4793.8029630000001</v>
      </c>
      <c r="C37" s="309">
        <v>2.1826531833940437E-2</v>
      </c>
      <c r="D37" s="289">
        <v>3611.25</v>
      </c>
      <c r="E37" s="159">
        <v>1169.7</v>
      </c>
      <c r="F37"/>
      <c r="G37" s="3"/>
      <c r="H37" s="289">
        <v>14620.510517999999</v>
      </c>
      <c r="I37" s="309">
        <v>4.2528089395854327E-2</v>
      </c>
    </row>
    <row r="38" spans="1:9" ht="19.25" hidden="1" customHeight="1" thickBot="1">
      <c r="A38" s="280">
        <v>2000</v>
      </c>
      <c r="B38" s="289">
        <v>4935.5105860000003</v>
      </c>
      <c r="C38" s="309">
        <v>2.9560585633940716E-2</v>
      </c>
      <c r="D38" s="289">
        <v>3696.49064</v>
      </c>
      <c r="E38" s="159">
        <v>1214.941513</v>
      </c>
      <c r="F38"/>
      <c r="G38" s="3"/>
      <c r="H38" s="289">
        <v>15478.327442</v>
      </c>
      <c r="I38" s="309">
        <v>5.8672159425890213E-2</v>
      </c>
    </row>
    <row r="39" spans="1:9" ht="21.75" hidden="1" customHeight="1" thickBot="1">
      <c r="A39" s="280">
        <v>2001</v>
      </c>
      <c r="B39" s="289">
        <v>5078.4121850000001</v>
      </c>
      <c r="C39" s="309">
        <v>2.8953762029272606E-2</v>
      </c>
      <c r="D39" s="289">
        <v>3798.2139889999999</v>
      </c>
      <c r="E39" s="159">
        <v>1257.8527670000001</v>
      </c>
      <c r="F39"/>
      <c r="G39" s="3"/>
      <c r="H39" s="289">
        <v>16386.460816999999</v>
      </c>
      <c r="I39" s="309">
        <v>5.867128592562304E-2</v>
      </c>
    </row>
    <row r="40" spans="1:9" ht="19.5" hidden="1" customHeight="1" thickBot="1">
      <c r="A40" s="280">
        <v>2002</v>
      </c>
      <c r="B40" s="289">
        <v>5230.8309099999997</v>
      </c>
      <c r="C40" s="309">
        <v>3.0013066968095962E-2</v>
      </c>
      <c r="D40" s="289">
        <v>3783.9358269999998</v>
      </c>
      <c r="E40" s="159">
        <v>1392.356614</v>
      </c>
      <c r="F40"/>
      <c r="G40" s="3"/>
      <c r="H40" s="289">
        <v>17095.587409</v>
      </c>
      <c r="I40" s="309">
        <v>4.3275152573783532E-2</v>
      </c>
    </row>
    <row r="41" spans="1:9" ht="19.5" customHeight="1" thickBot="1">
      <c r="A41" s="280">
        <v>2003</v>
      </c>
      <c r="B41" s="289">
        <v>5636.9482250000001</v>
      </c>
      <c r="C41" s="309">
        <v>7.7639159435188176E-2</v>
      </c>
      <c r="D41" s="289">
        <v>4111.8764270000001</v>
      </c>
      <c r="E41" s="159">
        <v>1477.775099</v>
      </c>
      <c r="F41"/>
      <c r="G41" s="3"/>
      <c r="H41" s="289">
        <v>17924.119354999999</v>
      </c>
      <c r="I41" s="309">
        <v>4.8464666710651728E-2</v>
      </c>
    </row>
    <row r="42" spans="1:9" ht="19.5" customHeight="1" thickBot="1">
      <c r="A42" s="280">
        <v>2004</v>
      </c>
      <c r="B42" s="289">
        <v>6208.8790769999996</v>
      </c>
      <c r="C42" s="309">
        <v>0.10146107950104499</v>
      </c>
      <c r="D42" s="289">
        <v>4569.0303759999997</v>
      </c>
      <c r="E42" s="159">
        <v>1572.8925360000001</v>
      </c>
      <c r="F42"/>
      <c r="G42" s="3"/>
      <c r="H42" s="289">
        <v>19139.820941000002</v>
      </c>
      <c r="I42" s="309">
        <v>6.782489906043157E-2</v>
      </c>
    </row>
    <row r="43" spans="1:9" ht="19.5" customHeight="1" thickBot="1">
      <c r="A43" s="280">
        <v>2005</v>
      </c>
      <c r="B43" s="289">
        <v>6451.1913709999999</v>
      </c>
      <c r="C43" s="309">
        <v>3.902673751492685E-2</v>
      </c>
      <c r="D43" s="289">
        <v>4803.16752</v>
      </c>
      <c r="E43" s="159">
        <v>1587.1501499999999</v>
      </c>
      <c r="F43"/>
      <c r="G43" s="3"/>
      <c r="H43" s="289">
        <v>20347.706644999998</v>
      </c>
      <c r="I43" s="309">
        <v>6.3108516413157623E-2</v>
      </c>
    </row>
    <row r="44" spans="1:9" ht="19.5" customHeight="1" thickBot="1">
      <c r="A44" s="280">
        <v>2006</v>
      </c>
      <c r="B44" s="289">
        <v>6571.8543769999997</v>
      </c>
      <c r="C44" s="309">
        <v>1.8703988001722505E-2</v>
      </c>
      <c r="D44" s="289">
        <v>4893.0853630000001</v>
      </c>
      <c r="E44" s="159">
        <v>1627.1193760000001</v>
      </c>
      <c r="F44"/>
      <c r="G44" s="3"/>
      <c r="H44" s="289">
        <v>20602.626918999998</v>
      </c>
      <c r="I44" s="309">
        <v>1.2528206664638598E-2</v>
      </c>
    </row>
    <row r="45" spans="1:9" ht="19.5" customHeight="1" thickBot="1">
      <c r="A45" s="280">
        <v>2007</v>
      </c>
      <c r="B45" s="289">
        <v>6902.9978209999999</v>
      </c>
      <c r="C45" s="309">
        <v>5.0388128677794075E-2</v>
      </c>
      <c r="D45" s="289">
        <v>5137.1482340000002</v>
      </c>
      <c r="E45" s="159">
        <v>1706.5482260000001</v>
      </c>
      <c r="F45"/>
      <c r="G45" s="3"/>
      <c r="H45" s="289">
        <v>21578.688866</v>
      </c>
      <c r="I45" s="309">
        <v>4.737560655917461E-2</v>
      </c>
    </row>
    <row r="46" spans="1:9" ht="19.5" customHeight="1" thickBot="1">
      <c r="A46" s="280">
        <v>2008</v>
      </c>
      <c r="B46" s="289">
        <v>7106.2454728100001</v>
      </c>
      <c r="C46" s="309">
        <v>2.9443389246290863E-2</v>
      </c>
      <c r="D46" s="289">
        <v>5258.11061599</v>
      </c>
      <c r="E46" s="159">
        <v>1784.3509754700001</v>
      </c>
      <c r="F46"/>
      <c r="G46" s="3"/>
      <c r="H46" s="289">
        <v>22721.911482799998</v>
      </c>
      <c r="I46" s="309">
        <v>5.2979243729738057E-2</v>
      </c>
    </row>
    <row r="47" spans="1:9" ht="19.5" customHeight="1" thickBot="1">
      <c r="A47" s="280">
        <v>2009</v>
      </c>
      <c r="B47" s="289">
        <v>7402.3038488600005</v>
      </c>
      <c r="C47" s="309">
        <v>4.1661715343606076E-2</v>
      </c>
      <c r="D47" s="289">
        <v>5481.4641226399999</v>
      </c>
      <c r="E47" s="159">
        <v>1858.1611509100001</v>
      </c>
      <c r="F47"/>
      <c r="G47" s="3"/>
      <c r="H47" s="289">
        <v>23656.322444729998</v>
      </c>
      <c r="I47" s="309">
        <v>4.1123783209758846E-2</v>
      </c>
    </row>
    <row r="48" spans="1:9" ht="19.5" customHeight="1" thickBot="1">
      <c r="A48" s="280">
        <v>2010</v>
      </c>
      <c r="B48" s="289">
        <v>7524.0865785100004</v>
      </c>
      <c r="C48" s="309">
        <v>1.6452003610842647E-2</v>
      </c>
      <c r="D48" s="289">
        <v>5592.6431163300003</v>
      </c>
      <c r="E48" s="159">
        <v>1893.93209456</v>
      </c>
      <c r="F48"/>
      <c r="G48" s="3"/>
      <c r="H48" s="289">
        <v>24292.461573610002</v>
      </c>
      <c r="I48" s="309">
        <v>2.6890871578465481E-2</v>
      </c>
    </row>
    <row r="49" spans="1:9" ht="19.5" customHeight="1" thickBot="1">
      <c r="A49" s="280">
        <v>2011</v>
      </c>
      <c r="B49" s="289">
        <v>7599.8706462</v>
      </c>
      <c r="C49" s="309">
        <v>1.0072195063046019E-2</v>
      </c>
      <c r="D49" s="289">
        <v>5695.65275612</v>
      </c>
      <c r="E49" s="159">
        <v>1846.9192008699999</v>
      </c>
      <c r="F49"/>
      <c r="G49" s="3"/>
      <c r="H49" s="289">
        <v>24931.510094819998</v>
      </c>
      <c r="I49" s="309">
        <v>2.6306453929074936E-2</v>
      </c>
    </row>
    <row r="50" spans="1:9" ht="19.5" customHeight="1" thickBot="1">
      <c r="A50" s="280">
        <v>2012</v>
      </c>
      <c r="B50" s="289">
        <v>7821.4152521299993</v>
      </c>
      <c r="C50" s="309">
        <v>2.9151102202084722E-2</v>
      </c>
      <c r="D50" s="289">
        <v>5937.25249463</v>
      </c>
      <c r="E50" s="159">
        <v>1845.8307966</v>
      </c>
      <c r="F50"/>
      <c r="G50" s="3"/>
      <c r="H50" s="289">
        <v>25901.228292349999</v>
      </c>
      <c r="I50" s="309">
        <v>3.8895285277223524E-2</v>
      </c>
    </row>
    <row r="51" spans="1:9" ht="30" customHeight="1" thickBot="1">
      <c r="A51" s="391">
        <v>2013</v>
      </c>
      <c r="B51" s="363">
        <v>8695.1606762700012</v>
      </c>
      <c r="C51" s="310">
        <v>0.11171193396259782</v>
      </c>
      <c r="D51" s="363">
        <v>6815.6223288800002</v>
      </c>
      <c r="E51" s="292">
        <v>1837.72449848</v>
      </c>
      <c r="F51"/>
      <c r="G51" s="3"/>
      <c r="H51" s="363">
        <v>27926.489908919997</v>
      </c>
      <c r="I51" s="310">
        <v>7.8191721014565285E-2</v>
      </c>
    </row>
    <row r="52" spans="1:9" ht="19.5" customHeight="1" thickBot="1">
      <c r="A52" s="219"/>
      <c r="B52" s="480"/>
      <c r="C52" s="482"/>
      <c r="D52" s="480"/>
      <c r="E52" s="482"/>
      <c r="F52" s="480"/>
      <c r="G52" s="482"/>
    </row>
    <row r="53" spans="1:9" ht="51.75" customHeight="1" thickBot="1">
      <c r="A53" s="483" t="s">
        <v>691</v>
      </c>
      <c r="B53" s="438">
        <v>4.4295379771342125E-2</v>
      </c>
      <c r="C53" s="485" t="s">
        <v>153</v>
      </c>
      <c r="D53" s="438">
        <v>5.1832404444410285E-2</v>
      </c>
      <c r="E53" s="486">
        <v>2.203838271638392E-2</v>
      </c>
      <c r="F53" s="490"/>
      <c r="G53" s="3"/>
      <c r="H53" s="438">
        <v>4.5340682410637934E-2</v>
      </c>
      <c r="I53" s="485" t="s">
        <v>153</v>
      </c>
    </row>
    <row r="54" spans="1:9" ht="17.25" customHeight="1">
      <c r="A54" s="189" t="s">
        <v>346</v>
      </c>
      <c r="B54" s="480"/>
      <c r="C54" s="482"/>
      <c r="D54" s="480"/>
      <c r="E54" s="482"/>
      <c r="F54" s="480"/>
      <c r="G54" s="482"/>
    </row>
    <row r="55" spans="1:9" ht="14">
      <c r="A55" s="367"/>
      <c r="B55" s="480"/>
      <c r="C55" s="482"/>
      <c r="D55" s="480"/>
      <c r="E55" s="482"/>
      <c r="F55" s="480"/>
      <c r="G55" s="482"/>
    </row>
    <row r="56" spans="1:9">
      <c r="A56" s="219" t="s">
        <v>542</v>
      </c>
      <c r="B56" s="17"/>
      <c r="C56" s="491"/>
      <c r="D56" s="17"/>
      <c r="E56" s="491"/>
      <c r="F56" s="17"/>
      <c r="G56" s="491"/>
    </row>
    <row r="57" spans="1:9" ht="14">
      <c r="A57" s="219" t="s">
        <v>713</v>
      </c>
      <c r="B57" s="480"/>
      <c r="C57" s="482"/>
      <c r="D57" s="480"/>
      <c r="E57" s="482"/>
      <c r="F57" s="480"/>
      <c r="G57" s="482"/>
    </row>
    <row r="58" spans="1:9" ht="14">
      <c r="A58" s="3" t="s">
        <v>714</v>
      </c>
      <c r="B58" s="480"/>
      <c r="C58" s="482"/>
      <c r="D58" s="480"/>
      <c r="E58" s="482"/>
      <c r="F58" s="480"/>
      <c r="G58" s="482"/>
    </row>
    <row r="59" spans="1:9" ht="14">
      <c r="A59" s="367" t="s">
        <v>715</v>
      </c>
      <c r="B59" s="480"/>
      <c r="C59" s="482"/>
      <c r="D59" s="480"/>
      <c r="E59" s="482"/>
      <c r="F59" s="480"/>
      <c r="G59" s="482"/>
    </row>
    <row r="60" spans="1:9">
      <c r="A60" s="17"/>
      <c r="B60" s="17"/>
      <c r="C60" s="491"/>
      <c r="D60" s="17"/>
      <c r="E60" s="491"/>
      <c r="F60" s="17"/>
      <c r="G60" s="491"/>
    </row>
    <row r="61" spans="1:9">
      <c r="A61" s="17" t="s">
        <v>716</v>
      </c>
      <c r="B61" s="17"/>
      <c r="C61" s="491"/>
      <c r="D61" s="17"/>
      <c r="E61" s="491"/>
      <c r="F61" s="17"/>
      <c r="G61" s="491"/>
    </row>
    <row r="62" spans="1:9">
      <c r="A62" s="17"/>
      <c r="B62" s="17"/>
      <c r="C62" s="491"/>
      <c r="D62" s="17"/>
      <c r="E62" s="491"/>
      <c r="F62" s="17"/>
      <c r="G62" s="491"/>
    </row>
    <row r="64" spans="1:9">
      <c r="A64" s="3" t="s">
        <v>302</v>
      </c>
    </row>
    <row r="67" spans="2:5">
      <c r="B67"/>
      <c r="C67"/>
      <c r="D67"/>
      <c r="E67"/>
    </row>
    <row r="68" spans="2:5">
      <c r="B68"/>
      <c r="C68"/>
      <c r="D68"/>
      <c r="E68"/>
    </row>
    <row r="69" spans="2:5">
      <c r="B69"/>
      <c r="C69"/>
      <c r="D69"/>
      <c r="E69"/>
    </row>
    <row r="70" spans="2:5">
      <c r="B70"/>
      <c r="C70"/>
      <c r="D70"/>
      <c r="E70"/>
    </row>
    <row r="71" spans="2:5">
      <c r="B71"/>
      <c r="C71"/>
      <c r="D71"/>
      <c r="E71"/>
    </row>
  </sheetData>
  <pageMargins left="0.52" right="0.37" top="0.5" bottom="0.49" header="0.3" footer="0.4921259845"/>
  <pageSetup paperSize="9" scale="54" orientation="landscape"/>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8887-E0E1-5B4B-9131-BE9BE1F0C54C}">
  <sheetPr>
    <pageSetUpPr fitToPage="1"/>
  </sheetPr>
  <dimension ref="A1:H45"/>
  <sheetViews>
    <sheetView zoomScaleNormal="100" workbookViewId="0"/>
  </sheetViews>
  <sheetFormatPr baseColWidth="10" defaultColWidth="11.3984375" defaultRowHeight="13"/>
  <cols>
    <col min="1" max="1" width="41" style="3" customWidth="1"/>
    <col min="2" max="4" width="16" style="3" customWidth="1"/>
    <col min="5" max="5" width="18.3984375" style="3" customWidth="1"/>
    <col min="6" max="6" width="15.19921875" style="3" customWidth="1"/>
    <col min="7" max="7" width="15.3984375" style="3" customWidth="1"/>
    <col min="8" max="8" width="14.796875" style="68" customWidth="1"/>
    <col min="9" max="16384" width="11.3984375" style="3"/>
  </cols>
  <sheetData>
    <row r="1" spans="1:8" s="1" customFormat="1" ht="14" customHeight="1">
      <c r="H1" s="493"/>
    </row>
    <row r="2" spans="1:8" s="1" customFormat="1" ht="28" customHeight="1">
      <c r="A2" s="311" t="s">
        <v>699</v>
      </c>
      <c r="H2" s="311">
        <v>2013</v>
      </c>
    </row>
    <row r="3" spans="1:8" ht="24" customHeight="1">
      <c r="A3" s="224" t="s">
        <v>69</v>
      </c>
      <c r="B3" s="267" t="s">
        <v>644</v>
      </c>
      <c r="C3" s="268" t="s">
        <v>645</v>
      </c>
      <c r="D3" s="267" t="s">
        <v>495</v>
      </c>
      <c r="E3" s="414" t="s">
        <v>381</v>
      </c>
      <c r="F3" s="267" t="s">
        <v>646</v>
      </c>
      <c r="G3" s="268" t="s">
        <v>475</v>
      </c>
      <c r="H3" s="225" t="s">
        <v>475</v>
      </c>
    </row>
    <row r="4" spans="1:8" ht="17.5" customHeight="1">
      <c r="A4" s="269"/>
      <c r="B4" s="270"/>
      <c r="C4" s="271"/>
      <c r="D4" s="270"/>
      <c r="E4" s="272"/>
      <c r="F4" s="494" t="s">
        <v>597</v>
      </c>
      <c r="G4" s="495" t="s">
        <v>476</v>
      </c>
      <c r="H4" s="496" t="s">
        <v>476</v>
      </c>
    </row>
    <row r="5" spans="1:8" ht="15" customHeight="1">
      <c r="A5" s="269"/>
      <c r="B5" s="270"/>
      <c r="C5" s="271"/>
      <c r="D5" s="270"/>
      <c r="E5" s="272"/>
      <c r="F5" s="494" t="s">
        <v>647</v>
      </c>
      <c r="G5" s="495" t="s">
        <v>477</v>
      </c>
      <c r="H5" s="496" t="s">
        <v>477</v>
      </c>
    </row>
    <row r="6" spans="1:8" ht="20.5" customHeight="1">
      <c r="A6" s="273"/>
      <c r="B6" s="274"/>
      <c r="C6" s="275"/>
      <c r="D6" s="274"/>
      <c r="E6" s="276"/>
      <c r="F6" s="417"/>
      <c r="G6" s="418" t="s">
        <v>700</v>
      </c>
      <c r="H6" s="420" t="s">
        <v>648</v>
      </c>
    </row>
    <row r="7" spans="1:8" ht="30" customHeight="1" thickBot="1">
      <c r="A7" s="421" t="s">
        <v>649</v>
      </c>
      <c r="B7" s="335">
        <v>2161467898.9299998</v>
      </c>
      <c r="C7" s="353">
        <v>3465651028.0500002</v>
      </c>
      <c r="D7" s="352">
        <v>614585252.71000004</v>
      </c>
      <c r="E7" s="422">
        <v>6241704179.6800003</v>
      </c>
      <c r="F7" s="423">
        <v>0.22350478703327259</v>
      </c>
      <c r="G7" s="353">
        <v>435871.12165000057</v>
      </c>
      <c r="H7" s="337">
        <v>7.5074690796896215E-2</v>
      </c>
    </row>
    <row r="8" spans="1:8" ht="20" customHeight="1" thickBot="1">
      <c r="A8" s="280" t="s">
        <v>650</v>
      </c>
      <c r="B8" s="349">
        <v>2989357573.5300002</v>
      </c>
      <c r="C8" s="159">
        <v>3514533787.3200002</v>
      </c>
      <c r="D8" s="289">
        <v>311730968.02999997</v>
      </c>
      <c r="E8" s="424">
        <v>6815622328.8800001</v>
      </c>
      <c r="F8" s="423">
        <v>0.24405581765229373</v>
      </c>
      <c r="G8" s="159">
        <v>878369.83424999996</v>
      </c>
      <c r="H8" s="351">
        <v>0.14794213906928322</v>
      </c>
    </row>
    <row r="9" spans="1:8" ht="20" customHeight="1" thickBot="1">
      <c r="A9" s="280" t="s">
        <v>651</v>
      </c>
      <c r="B9" s="289">
        <v>2045126802.8900001</v>
      </c>
      <c r="C9" s="159">
        <v>2392994638.8699999</v>
      </c>
      <c r="D9" s="289">
        <v>364688632.57999998</v>
      </c>
      <c r="E9" s="424">
        <v>4802810074.3500004</v>
      </c>
      <c r="F9" s="423">
        <v>0.17198044186770264</v>
      </c>
      <c r="G9" s="159">
        <v>399036.34212000086</v>
      </c>
      <c r="H9" s="351">
        <v>9.061236257429961E-2</v>
      </c>
    </row>
    <row r="10" spans="1:8" ht="20" customHeight="1" thickBot="1">
      <c r="A10" s="280" t="s">
        <v>652</v>
      </c>
      <c r="B10" s="289">
        <v>707936313.51999998</v>
      </c>
      <c r="C10" s="159">
        <v>928335267.22000003</v>
      </c>
      <c r="D10" s="289">
        <v>90464899.290000007</v>
      </c>
      <c r="E10" s="424">
        <v>1726736480.02</v>
      </c>
      <c r="F10" s="423">
        <v>6.183148994562554E-2</v>
      </c>
      <c r="G10" s="159">
        <v>63370.649599999902</v>
      </c>
      <c r="H10" s="351">
        <v>3.8097842603871834E-2</v>
      </c>
    </row>
    <row r="11" spans="1:8" ht="20" customHeight="1" thickBot="1">
      <c r="A11" s="280" t="s">
        <v>653</v>
      </c>
      <c r="B11" s="289">
        <v>1423980129.6900001</v>
      </c>
      <c r="C11" s="159">
        <v>1763168854.3699999</v>
      </c>
      <c r="D11" s="289">
        <v>111464651.94</v>
      </c>
      <c r="E11" s="424">
        <v>3298613635.96</v>
      </c>
      <c r="F11" s="423">
        <v>0.11811773146994711</v>
      </c>
      <c r="G11" s="159">
        <v>45612.313809999941</v>
      </c>
      <c r="H11" s="351">
        <v>1.4021609367147025E-2</v>
      </c>
    </row>
    <row r="12" spans="1:8" ht="20" customHeight="1" thickBot="1">
      <c r="A12" s="280" t="s">
        <v>654</v>
      </c>
      <c r="B12" s="289">
        <v>532508248.5</v>
      </c>
      <c r="C12" s="159">
        <v>1294086725.4400001</v>
      </c>
      <c r="D12" s="289">
        <v>11129524.539999999</v>
      </c>
      <c r="E12" s="424">
        <v>1837724498.48</v>
      </c>
      <c r="F12" s="423">
        <v>6.5805781695930668E-2</v>
      </c>
      <c r="G12" s="159">
        <v>-8106.2981199998858</v>
      </c>
      <c r="H12" s="351">
        <v>-4.3916799605530077E-3</v>
      </c>
    </row>
    <row r="13" spans="1:8" ht="20" customHeight="1" thickBot="1">
      <c r="A13" s="280" t="s">
        <v>655</v>
      </c>
      <c r="B13" s="289">
        <v>234477669.56</v>
      </c>
      <c r="C13" s="159">
        <v>429044113.61000001</v>
      </c>
      <c r="D13" s="289">
        <v>7428955.25</v>
      </c>
      <c r="E13" s="424">
        <v>670950738.39999998</v>
      </c>
      <c r="F13" s="423">
        <v>2.4025602236022209E-2</v>
      </c>
      <c r="G13" s="159">
        <v>43157.379049999952</v>
      </c>
      <c r="H13" s="351">
        <v>6.8744561259271642E-2</v>
      </c>
    </row>
    <row r="14" spans="1:8" ht="20" customHeight="1" thickBot="1">
      <c r="A14" s="280" t="s">
        <v>656</v>
      </c>
      <c r="B14" s="289">
        <v>236691082.55000001</v>
      </c>
      <c r="C14" s="159">
        <v>429469007.11000001</v>
      </c>
      <c r="D14" s="289">
        <v>32200604.760000002</v>
      </c>
      <c r="E14" s="424">
        <v>698360694.38</v>
      </c>
      <c r="F14" s="423">
        <v>2.5007106036513977E-2</v>
      </c>
      <c r="G14" s="159">
        <v>43779.073179999948</v>
      </c>
      <c r="H14" s="351">
        <v>6.6880999652484396E-2</v>
      </c>
    </row>
    <row r="15" spans="1:8" ht="20" customHeight="1" thickBot="1">
      <c r="A15" s="280" t="s">
        <v>657</v>
      </c>
      <c r="B15" s="289">
        <v>280381787.33999997</v>
      </c>
      <c r="C15" s="159">
        <v>512042548.98000002</v>
      </c>
      <c r="D15" s="289">
        <v>53616626.969999999</v>
      </c>
      <c r="E15" s="424">
        <v>846040963.26999998</v>
      </c>
      <c r="F15" s="423">
        <v>3.0295284728918476E-2</v>
      </c>
      <c r="G15" s="159">
        <v>51551.830350000026</v>
      </c>
      <c r="H15" s="351">
        <v>6.488676586491593E-2</v>
      </c>
    </row>
    <row r="16" spans="1:8" ht="20" customHeight="1" thickBot="1">
      <c r="A16" s="280" t="s">
        <v>658</v>
      </c>
      <c r="B16" s="289">
        <v>28599174.710000001</v>
      </c>
      <c r="C16" s="159">
        <v>44497750.630000003</v>
      </c>
      <c r="D16" s="289">
        <v>3658181.25</v>
      </c>
      <c r="E16" s="424">
        <v>76755106.579999998</v>
      </c>
      <c r="F16" s="423">
        <v>2.748469529480096E-3</v>
      </c>
      <c r="G16" s="159">
        <v>1087.1985399999917</v>
      </c>
      <c r="H16" s="351">
        <v>1.4368026923980315E-2</v>
      </c>
    </row>
    <row r="17" spans="1:8" ht="20" customHeight="1" thickBot="1">
      <c r="A17" s="280" t="s">
        <v>659</v>
      </c>
      <c r="B17" s="289">
        <v>213505679.38</v>
      </c>
      <c r="C17" s="159">
        <v>196517782.25</v>
      </c>
      <c r="D17" s="289">
        <v>28784652</v>
      </c>
      <c r="E17" s="424">
        <v>438808113.60000002</v>
      </c>
      <c r="F17" s="423">
        <v>1.5712970553447191E-2</v>
      </c>
      <c r="G17" s="159">
        <v>62134.883390000046</v>
      </c>
      <c r="H17" s="351">
        <v>0.16495699297600486</v>
      </c>
    </row>
    <row r="18" spans="1:8" ht="20" customHeight="1" thickBot="1">
      <c r="A18" s="280" t="s">
        <v>660</v>
      </c>
      <c r="B18" s="289">
        <v>0</v>
      </c>
      <c r="C18" s="159">
        <v>0</v>
      </c>
      <c r="D18" s="289">
        <v>0</v>
      </c>
      <c r="E18" s="424">
        <v>0</v>
      </c>
      <c r="F18" s="423">
        <v>0</v>
      </c>
      <c r="G18" s="159">
        <v>-1800.9849999999999</v>
      </c>
      <c r="H18" s="351">
        <v>-1</v>
      </c>
    </row>
    <row r="19" spans="1:8" ht="20" customHeight="1" thickBot="1">
      <c r="A19" s="339" t="s">
        <v>661</v>
      </c>
      <c r="B19" s="289">
        <v>3594591.94</v>
      </c>
      <c r="C19" s="159">
        <v>10435676.15</v>
      </c>
      <c r="D19" s="289">
        <v>1397634.75</v>
      </c>
      <c r="E19" s="424">
        <v>15427902.82</v>
      </c>
      <c r="F19" s="423">
        <v>5.5244690150165181E-4</v>
      </c>
      <c r="G19" s="159">
        <v>-7145.7311099999997</v>
      </c>
      <c r="H19" s="351">
        <v>-0.31655209489790814</v>
      </c>
    </row>
    <row r="20" spans="1:8" ht="20" customHeight="1" thickBot="1">
      <c r="A20" s="280" t="s">
        <v>701</v>
      </c>
      <c r="B20" s="289">
        <v>146494091.75</v>
      </c>
      <c r="C20" s="159">
        <v>210708601.30000001</v>
      </c>
      <c r="D20" s="289">
        <v>57918650.630000003</v>
      </c>
      <c r="E20" s="497">
        <v>415121343.63999999</v>
      </c>
      <c r="F20" s="426">
        <v>1.4864787697769569E-2</v>
      </c>
      <c r="G20" s="427">
        <v>14862.116909999966</v>
      </c>
      <c r="H20" s="351">
        <v>3.7131228757470769E-2</v>
      </c>
    </row>
    <row r="21" spans="1:8" ht="20" customHeight="1" thickBot="1">
      <c r="A21" s="280" t="s">
        <v>663</v>
      </c>
      <c r="B21" s="289">
        <v>21442447.18</v>
      </c>
      <c r="C21" s="159">
        <v>17997438.920000002</v>
      </c>
      <c r="D21" s="289">
        <v>2373962.8199999998</v>
      </c>
      <c r="E21" s="498">
        <v>41813848.909999996</v>
      </c>
      <c r="F21" s="433">
        <v>1.4972826533650489E-3</v>
      </c>
      <c r="G21" s="499">
        <v>3481.8880099999978</v>
      </c>
      <c r="H21" s="351">
        <v>9.0835113264450706E-2</v>
      </c>
    </row>
    <row r="22" spans="1:8" ht="30" customHeight="1" thickBot="1">
      <c r="A22" s="435" t="s">
        <v>664</v>
      </c>
      <c r="B22" s="436">
        <v>11025563491.389999</v>
      </c>
      <c r="C22" s="437">
        <v>15209483220.09</v>
      </c>
      <c r="D22" s="436">
        <v>1691443197.4300001</v>
      </c>
      <c r="E22" s="244">
        <v>27926489908.919998</v>
      </c>
      <c r="F22" s="438">
        <v>1</v>
      </c>
      <c r="G22" s="437">
        <v>2025261.6165699996</v>
      </c>
      <c r="H22" s="439">
        <v>7.8191721014565507E-2</v>
      </c>
    </row>
    <row r="23" spans="1:8" ht="14.25" customHeight="1">
      <c r="A23" s="440"/>
      <c r="B23" s="388"/>
      <c r="C23" s="388"/>
      <c r="D23" s="388"/>
      <c r="E23" s="252"/>
      <c r="F23" s="441"/>
      <c r="G23" s="388"/>
      <c r="H23" s="442"/>
    </row>
    <row r="24" spans="1:8" ht="30" customHeight="1" thickBot="1">
      <c r="A24" s="443" t="s">
        <v>702</v>
      </c>
      <c r="B24" s="444" t="s">
        <v>153</v>
      </c>
      <c r="C24" s="445">
        <v>689040736.89999998</v>
      </c>
      <c r="D24" s="444">
        <v>2874192.96</v>
      </c>
      <c r="E24" s="446">
        <v>691914929.86000001</v>
      </c>
      <c r="F24" s="447">
        <v>2.4776294196536153E-2</v>
      </c>
      <c r="G24" s="445">
        <v>57525.562340000033</v>
      </c>
      <c r="H24" s="448">
        <v>9.0678635685341069E-2</v>
      </c>
    </row>
    <row r="25" spans="1:8" ht="33" customHeight="1" thickBot="1">
      <c r="A25" s="449" t="s">
        <v>666</v>
      </c>
      <c r="B25" s="450">
        <v>379309839.83999997</v>
      </c>
      <c r="C25" s="451">
        <v>401702017.17000002</v>
      </c>
      <c r="D25" s="450">
        <v>18533293.359999999</v>
      </c>
      <c r="E25" s="452">
        <v>799545150.38</v>
      </c>
      <c r="F25" s="453">
        <v>2.8630348926329527E-2</v>
      </c>
      <c r="G25" s="451">
        <v>67181.803820000059</v>
      </c>
      <c r="H25" s="454">
        <v>9.1732886600020658E-2</v>
      </c>
    </row>
    <row r="26" spans="1:8" ht="14.25" customHeight="1">
      <c r="A26" s="440"/>
      <c r="B26" s="388"/>
      <c r="C26" s="388"/>
      <c r="D26" s="388"/>
      <c r="E26" s="252"/>
      <c r="F26" s="441"/>
      <c r="G26" s="388"/>
      <c r="H26" s="442"/>
    </row>
    <row r="27" spans="1:8" ht="30" customHeight="1" thickBot="1">
      <c r="A27" s="443" t="s">
        <v>703</v>
      </c>
      <c r="B27" s="444">
        <v>23458431.98</v>
      </c>
      <c r="C27" s="445">
        <v>26837657.859999999</v>
      </c>
      <c r="D27" s="444">
        <v>22678049.649999999</v>
      </c>
      <c r="E27" s="446">
        <v>72974139.489999995</v>
      </c>
      <c r="F27" s="447">
        <v>2.6130795430431568E-3</v>
      </c>
      <c r="G27" s="445">
        <v>3059.5727099999935</v>
      </c>
      <c r="H27" s="448">
        <v>4.376159148103631E-2</v>
      </c>
    </row>
    <row r="28" spans="1:8" ht="33" customHeight="1" thickBot="1">
      <c r="A28" s="449" t="s">
        <v>704</v>
      </c>
      <c r="B28" s="450">
        <v>30215339.390000001</v>
      </c>
      <c r="C28" s="451">
        <v>32815599.940000001</v>
      </c>
      <c r="D28" s="450">
        <v>6037858.2800000003</v>
      </c>
      <c r="E28" s="452">
        <v>69068797.569999993</v>
      </c>
      <c r="F28" s="453">
        <v>2.4732359059538925E-3</v>
      </c>
      <c r="G28" s="451">
        <v>3115.4483299999906</v>
      </c>
      <c r="H28" s="454">
        <v>4.7237151197023763E-2</v>
      </c>
    </row>
    <row r="29" spans="1:8" ht="20" customHeight="1">
      <c r="A29" s="189" t="s">
        <v>346</v>
      </c>
      <c r="B29" s="457"/>
      <c r="C29" s="457"/>
      <c r="D29" s="457"/>
      <c r="E29" s="457"/>
      <c r="F29" s="457"/>
    </row>
    <row r="30" spans="1:8" ht="12" customHeight="1">
      <c r="A30" s="219"/>
      <c r="B30" s="459"/>
      <c r="C30" s="459"/>
      <c r="D30" s="459"/>
      <c r="E30" s="459"/>
      <c r="F30" s="459"/>
    </row>
    <row r="31" spans="1:8">
      <c r="A31" s="219" t="s">
        <v>705</v>
      </c>
    </row>
    <row r="32" spans="1:8">
      <c r="A32" s="367" t="s">
        <v>706</v>
      </c>
    </row>
    <row r="33" spans="1:2">
      <c r="A33" s="219" t="s">
        <v>670</v>
      </c>
    </row>
    <row r="34" spans="1:2">
      <c r="A34" s="461" t="s">
        <v>671</v>
      </c>
    </row>
    <row r="35" spans="1:2">
      <c r="A35" s="461" t="s">
        <v>672</v>
      </c>
    </row>
    <row r="36" spans="1:2">
      <c r="A36" s="461" t="s">
        <v>673</v>
      </c>
    </row>
    <row r="37" spans="1:2">
      <c r="A37" s="461" t="s">
        <v>707</v>
      </c>
    </row>
    <row r="38" spans="1:2">
      <c r="A38" s="461" t="s">
        <v>708</v>
      </c>
    </row>
    <row r="40" spans="1:2">
      <c r="A40" s="219" t="s">
        <v>709</v>
      </c>
      <c r="B40" s="219"/>
    </row>
    <row r="41" spans="1:2" ht="14">
      <c r="A41" s="500"/>
      <c r="B41" s="219"/>
    </row>
    <row r="42" spans="1:2">
      <c r="A42" s="219"/>
      <c r="B42" s="219"/>
    </row>
    <row r="43" spans="1:2">
      <c r="A43" s="219" t="s">
        <v>302</v>
      </c>
      <c r="B43" s="219"/>
    </row>
    <row r="44" spans="1:2">
      <c r="A44" s="219"/>
      <c r="B44" s="219"/>
    </row>
    <row r="45" spans="1:2">
      <c r="A45" s="219"/>
      <c r="B45" s="219"/>
    </row>
  </sheetData>
  <pageMargins left="0.49" right="0.5" top="0.4" bottom="0.36" header="0.35" footer="0.2"/>
  <pageSetup paperSize="9" scale="68" orientation="landscape"/>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C29AE-D063-4040-85C7-DFDEC456FE40}">
  <sheetPr>
    <pageSetUpPr fitToPage="1"/>
  </sheetPr>
  <dimension ref="A1:V70"/>
  <sheetViews>
    <sheetView zoomScaleNormal="100" workbookViewId="0">
      <selection activeCell="A59" sqref="A59"/>
    </sheetView>
  </sheetViews>
  <sheetFormatPr baseColWidth="10" defaultColWidth="11.3984375" defaultRowHeight="13"/>
  <cols>
    <col min="1" max="1" width="11.796875" style="3" customWidth="1"/>
    <col min="2" max="2" width="17" style="3" customWidth="1"/>
    <col min="3" max="3" width="13" style="492" customWidth="1"/>
    <col min="4" max="4" width="13" style="3" customWidth="1"/>
    <col min="5" max="5" width="14" style="492" customWidth="1"/>
    <col min="6" max="6" width="13" style="3" customWidth="1"/>
    <col min="7" max="7" width="13" style="492" customWidth="1"/>
    <col min="8" max="8" width="13" style="3" customWidth="1"/>
    <col min="9" max="9" width="15.3984375" style="3" customWidth="1"/>
    <col min="10" max="12" width="13" style="3" customWidth="1"/>
    <col min="13" max="13" width="14.59765625" style="3" customWidth="1"/>
    <col min="14" max="14" width="14.19921875" style="3" customWidth="1"/>
    <col min="15" max="15" width="14.59765625" style="3" customWidth="1"/>
    <col min="16" max="16" width="13" style="3" customWidth="1"/>
    <col min="17" max="16384" width="11.3984375" style="3"/>
  </cols>
  <sheetData>
    <row r="1" spans="1:22" s="1" customFormat="1" ht="14" customHeight="1">
      <c r="A1" s="191"/>
      <c r="B1" s="191"/>
      <c r="C1" s="462"/>
      <c r="D1" s="191"/>
      <c r="E1" s="462"/>
      <c r="F1" s="191"/>
      <c r="G1" s="463"/>
      <c r="H1" s="463"/>
      <c r="I1" s="463"/>
      <c r="J1" s="463"/>
      <c r="K1" s="463"/>
      <c r="L1" s="463"/>
      <c r="M1" s="463"/>
      <c r="N1" s="463"/>
      <c r="O1" s="463"/>
      <c r="P1" s="463"/>
      <c r="Q1" s="463"/>
      <c r="R1" s="463"/>
      <c r="S1" s="463"/>
      <c r="T1" s="463"/>
      <c r="U1" s="463"/>
    </row>
    <row r="2" spans="1:22" s="1" customFormat="1" ht="25.75" customHeight="1">
      <c r="A2" s="311" t="s">
        <v>2205</v>
      </c>
      <c r="B2" s="191"/>
      <c r="C2" s="462"/>
      <c r="D2" s="191"/>
      <c r="E2" s="462"/>
      <c r="F2" s="191"/>
      <c r="G2" s="462"/>
      <c r="N2" s="464"/>
    </row>
    <row r="3" spans="1:22" ht="24" customHeight="1">
      <c r="A3" s="224" t="s">
        <v>445</v>
      </c>
      <c r="B3" s="465" t="s">
        <v>677</v>
      </c>
      <c r="C3" s="305" t="s">
        <v>475</v>
      </c>
      <c r="D3" s="267"/>
      <c r="E3" s="466"/>
      <c r="F3" s="267"/>
      <c r="G3" s="466"/>
      <c r="H3" s="267"/>
      <c r="I3" s="466"/>
      <c r="J3" s="267"/>
      <c r="K3" s="466"/>
      <c r="L3" s="267"/>
      <c r="M3" s="466"/>
      <c r="N3" s="267"/>
      <c r="O3"/>
    </row>
    <row r="4" spans="1:22" ht="15" customHeight="1">
      <c r="A4" s="269"/>
      <c r="B4" s="129" t="s">
        <v>678</v>
      </c>
      <c r="C4" s="306" t="s">
        <v>476</v>
      </c>
      <c r="D4" s="467" t="s">
        <v>679</v>
      </c>
      <c r="E4" s="468" t="s">
        <v>679</v>
      </c>
      <c r="F4" s="467" t="s">
        <v>679</v>
      </c>
      <c r="G4" s="468" t="s">
        <v>679</v>
      </c>
      <c r="H4" s="467" t="s">
        <v>679</v>
      </c>
      <c r="I4" s="468" t="s">
        <v>679</v>
      </c>
      <c r="J4" s="467" t="s">
        <v>679</v>
      </c>
      <c r="K4" s="468" t="s">
        <v>679</v>
      </c>
      <c r="L4" s="467" t="s">
        <v>679</v>
      </c>
      <c r="M4" s="468" t="s">
        <v>679</v>
      </c>
      <c r="N4" s="467" t="s">
        <v>679</v>
      </c>
      <c r="O4"/>
    </row>
    <row r="5" spans="1:22" ht="16.25" customHeight="1">
      <c r="A5" s="269"/>
      <c r="B5" s="270"/>
      <c r="C5" s="306" t="s">
        <v>477</v>
      </c>
      <c r="D5" s="467" t="s">
        <v>680</v>
      </c>
      <c r="E5" s="468" t="s">
        <v>681</v>
      </c>
      <c r="F5" s="467" t="s">
        <v>682</v>
      </c>
      <c r="G5" s="468" t="s">
        <v>682</v>
      </c>
      <c r="H5" s="467" t="s">
        <v>655</v>
      </c>
      <c r="I5" s="468" t="s">
        <v>656</v>
      </c>
      <c r="J5" s="467" t="s">
        <v>657</v>
      </c>
      <c r="K5" s="468" t="s">
        <v>658</v>
      </c>
      <c r="L5" s="467" t="s">
        <v>683</v>
      </c>
      <c r="M5" s="468" t="s">
        <v>684</v>
      </c>
      <c r="N5" s="467" t="s">
        <v>685</v>
      </c>
      <c r="O5"/>
    </row>
    <row r="6" spans="1:22" s="219" customFormat="1" ht="19.5" customHeight="1">
      <c r="A6" s="469"/>
      <c r="B6" s="315"/>
      <c r="C6" s="470"/>
      <c r="D6" s="467" t="s">
        <v>686</v>
      </c>
      <c r="E6" s="468" t="s">
        <v>686</v>
      </c>
      <c r="F6" s="467" t="s">
        <v>687</v>
      </c>
      <c r="G6" s="468" t="s">
        <v>688</v>
      </c>
      <c r="H6" s="467"/>
      <c r="I6" s="468"/>
      <c r="J6" s="467"/>
      <c r="K6" s="468"/>
      <c r="L6" s="467" t="s">
        <v>689</v>
      </c>
      <c r="M6" s="468" t="s">
        <v>712</v>
      </c>
      <c r="N6" s="467" t="s">
        <v>690</v>
      </c>
      <c r="O6"/>
    </row>
    <row r="7" spans="1:22" ht="19.5" customHeight="1">
      <c r="A7" s="273"/>
      <c r="B7" s="274"/>
      <c r="C7" s="471"/>
      <c r="D7" s="315"/>
      <c r="E7" s="472"/>
      <c r="F7" s="315"/>
      <c r="G7" s="472"/>
      <c r="H7" s="315"/>
      <c r="I7" s="472"/>
      <c r="J7" s="315"/>
      <c r="K7" s="473"/>
      <c r="L7" s="315"/>
      <c r="M7" s="472"/>
      <c r="N7" s="315"/>
      <c r="O7"/>
    </row>
    <row r="8" spans="1:22" ht="1.75" customHeight="1" thickBot="1">
      <c r="A8" s="277">
        <v>1996</v>
      </c>
      <c r="B8" s="287">
        <v>1135.7666791471866</v>
      </c>
      <c r="C8" s="308">
        <v>0.10634844182252187</v>
      </c>
      <c r="D8" s="352" t="s">
        <v>153</v>
      </c>
      <c r="E8" s="353" t="s">
        <v>153</v>
      </c>
      <c r="F8" s="352" t="s">
        <v>153</v>
      </c>
      <c r="G8" s="353" t="s">
        <v>153</v>
      </c>
      <c r="H8" s="352" t="s">
        <v>153</v>
      </c>
      <c r="I8" s="353" t="s">
        <v>153</v>
      </c>
      <c r="J8" s="352" t="s">
        <v>153</v>
      </c>
      <c r="K8" s="288">
        <v>7.8643189296562399</v>
      </c>
      <c r="L8" s="352" t="s">
        <v>153</v>
      </c>
      <c r="M8" s="353" t="s">
        <v>153</v>
      </c>
      <c r="N8" s="352" t="s">
        <v>153</v>
      </c>
      <c r="O8"/>
    </row>
    <row r="9" spans="1:22" ht="0.75" hidden="1" customHeight="1" thickBot="1">
      <c r="A9" s="280">
        <v>1997</v>
      </c>
      <c r="B9" s="289">
        <v>1207.1705655887454</v>
      </c>
      <c r="C9" s="309">
        <v>6.2868446268536313E-2</v>
      </c>
      <c r="D9" s="352" t="s">
        <v>153</v>
      </c>
      <c r="E9" s="353" t="s">
        <v>153</v>
      </c>
      <c r="F9" s="352" t="s">
        <v>153</v>
      </c>
      <c r="G9" s="353" t="s">
        <v>153</v>
      </c>
      <c r="H9" s="352" t="s">
        <v>153</v>
      </c>
      <c r="I9" s="353" t="s">
        <v>153</v>
      </c>
      <c r="J9" s="352" t="s">
        <v>153</v>
      </c>
      <c r="K9" s="159">
        <v>7.7745077676674157</v>
      </c>
      <c r="L9" s="352" t="s">
        <v>153</v>
      </c>
      <c r="M9" s="353" t="s">
        <v>153</v>
      </c>
      <c r="N9" s="352" t="s">
        <v>153</v>
      </c>
      <c r="O9"/>
      <c r="T9" s="8"/>
      <c r="U9" s="8"/>
      <c r="V9" s="8"/>
    </row>
    <row r="10" spans="1:22" ht="19.5" hidden="1" customHeight="1" thickBot="1">
      <c r="A10" s="280">
        <v>1998</v>
      </c>
      <c r="B10" s="289">
        <v>1287.8682695481587</v>
      </c>
      <c r="C10" s="309">
        <v>6.6848634534140125E-2</v>
      </c>
      <c r="D10" s="289">
        <v>517.22900730492677</v>
      </c>
      <c r="E10" s="159">
        <v>179.78046580638465</v>
      </c>
      <c r="F10" s="289">
        <v>128.85876662983108</v>
      </c>
      <c r="G10" s="159">
        <v>246.67237783815233</v>
      </c>
      <c r="H10" s="289">
        <v>30.906839827030989</v>
      </c>
      <c r="I10" s="159">
        <v>57.642077350310821</v>
      </c>
      <c r="J10" s="289">
        <v>54.853189405924091</v>
      </c>
      <c r="K10" s="159">
        <v>7.7691435561095004</v>
      </c>
      <c r="L10" s="289">
        <v>14.403964553938003</v>
      </c>
      <c r="M10" s="159">
        <v>12.033202808041713</v>
      </c>
      <c r="N10" s="352" t="s">
        <v>153</v>
      </c>
      <c r="O10"/>
    </row>
    <row r="11" spans="1:22" ht="0.5" customHeight="1" thickBot="1">
      <c r="A11" s="280">
        <v>1999</v>
      </c>
      <c r="B11" s="289">
        <v>1351.582122301535</v>
      </c>
      <c r="C11" s="309">
        <v>4.9472336775352059E-2</v>
      </c>
      <c r="D11" s="289">
        <v>517.77987880375031</v>
      </c>
      <c r="E11" s="159">
        <v>204.19029060086746</v>
      </c>
      <c r="F11" s="289">
        <v>141.91140608611047</v>
      </c>
      <c r="G11" s="159">
        <v>257.61974174619098</v>
      </c>
      <c r="H11" s="289">
        <v>32.359437190342035</v>
      </c>
      <c r="I11" s="159">
        <v>60.131858482788445</v>
      </c>
      <c r="J11" s="289">
        <v>56.924385896913591</v>
      </c>
      <c r="K11" s="159">
        <v>8.3350273886799329</v>
      </c>
      <c r="L11" s="289">
        <v>17.198214928721761</v>
      </c>
      <c r="M11" s="159">
        <v>12.089915964768418</v>
      </c>
      <c r="N11" s="352" t="s">
        <v>153</v>
      </c>
      <c r="O11"/>
    </row>
    <row r="12" spans="1:22" ht="19.75" hidden="1" customHeight="1" thickBot="1">
      <c r="A12" s="280">
        <v>2000</v>
      </c>
      <c r="B12" s="289">
        <v>1451.1566242672343</v>
      </c>
      <c r="C12" s="309">
        <v>7.3672550356125827E-2</v>
      </c>
      <c r="D12" s="289">
        <v>529.43047713091312</v>
      </c>
      <c r="E12" s="159">
        <v>229.29973959111166</v>
      </c>
      <c r="F12" s="289">
        <v>157.35584856009811</v>
      </c>
      <c r="G12" s="159">
        <v>288.745232868367</v>
      </c>
      <c r="H12" s="289">
        <v>34.840696214910899</v>
      </c>
      <c r="I12" s="159">
        <v>61.491416169301154</v>
      </c>
      <c r="J12" s="289">
        <v>60.94101454443998</v>
      </c>
      <c r="K12" s="159">
        <v>8.5739707007998369</v>
      </c>
      <c r="L12" s="289">
        <v>24.758128744866045</v>
      </c>
      <c r="M12" s="159">
        <v>15.766473005994538</v>
      </c>
      <c r="N12" s="352" t="s">
        <v>153</v>
      </c>
      <c r="O12"/>
    </row>
    <row r="13" spans="1:22" ht="20" hidden="1" customHeight="1" thickBot="1">
      <c r="A13" s="280">
        <v>2001</v>
      </c>
      <c r="B13" s="289">
        <v>1548.8249816122338</v>
      </c>
      <c r="C13" s="309">
        <v>6.7303801472372055E-2</v>
      </c>
      <c r="D13" s="289">
        <v>549.44923949294969</v>
      </c>
      <c r="E13" s="159">
        <v>263.7323584963807</v>
      </c>
      <c r="F13" s="289">
        <v>174.14628347977344</v>
      </c>
      <c r="G13" s="159">
        <v>307.1393643380062</v>
      </c>
      <c r="H13" s="289">
        <v>37.025033111675718</v>
      </c>
      <c r="I13" s="159">
        <v>65.76167578635949</v>
      </c>
      <c r="J13" s="289">
        <v>63.375782250498219</v>
      </c>
      <c r="K13" s="159">
        <v>8.9352628731483819</v>
      </c>
      <c r="L13" s="289">
        <v>23.698466932838429</v>
      </c>
      <c r="M13" s="159">
        <v>14.563635915382035</v>
      </c>
      <c r="N13" s="289">
        <v>2.7620899733599962</v>
      </c>
      <c r="O13"/>
    </row>
    <row r="14" spans="1:22" ht="20" hidden="1" customHeight="1" thickBot="1">
      <c r="A14" s="280">
        <v>2002</v>
      </c>
      <c r="B14" s="289">
        <v>1615.432400016774</v>
      </c>
      <c r="C14" s="309">
        <v>4.3005129175541695E-2</v>
      </c>
      <c r="D14" s="289">
        <v>559.43217658828928</v>
      </c>
      <c r="E14" s="159">
        <v>268.50345190882268</v>
      </c>
      <c r="F14" s="289">
        <v>171.66132067610738</v>
      </c>
      <c r="G14" s="159">
        <v>343.7455082841455</v>
      </c>
      <c r="H14" s="289">
        <v>39.493547804709614</v>
      </c>
      <c r="I14" s="159">
        <v>68.92734993393816</v>
      </c>
      <c r="J14" s="289">
        <v>66.109744640711739</v>
      </c>
      <c r="K14" s="159">
        <v>8.8787656073170158</v>
      </c>
      <c r="L14" s="289">
        <v>27.622294486640037</v>
      </c>
      <c r="M14" s="159">
        <v>15.361832696314805</v>
      </c>
      <c r="N14" s="289">
        <v>3.033957453552472</v>
      </c>
      <c r="O14"/>
    </row>
    <row r="15" spans="1:22" ht="20" customHeight="1" thickBot="1">
      <c r="A15" s="280">
        <v>2003</v>
      </c>
      <c r="B15" s="289">
        <v>1666.6209287074066</v>
      </c>
      <c r="C15" s="309">
        <v>3.1687199470619223E-2</v>
      </c>
      <c r="D15" s="289">
        <v>565.89080672037517</v>
      </c>
      <c r="E15" s="159">
        <v>290.45423380519912</v>
      </c>
      <c r="F15" s="289">
        <v>182.83129248471178</v>
      </c>
      <c r="G15" s="159">
        <v>352.94069193578031</v>
      </c>
      <c r="H15" s="289">
        <v>43.42085098619804</v>
      </c>
      <c r="I15" s="159">
        <v>66.649239980169568</v>
      </c>
      <c r="J15" s="289">
        <v>65.17295098477382</v>
      </c>
      <c r="K15" s="159">
        <v>8.8175191471555454</v>
      </c>
      <c r="L15" s="289">
        <v>29.097237370473131</v>
      </c>
      <c r="M15" s="159">
        <v>15.292816213756383</v>
      </c>
      <c r="N15" s="289">
        <v>4.1140870029928776</v>
      </c>
      <c r="O15"/>
    </row>
    <row r="16" spans="1:22" ht="20" customHeight="1" thickBot="1">
      <c r="A16" s="280">
        <v>2004</v>
      </c>
      <c r="B16" s="289">
        <v>1751.312015563195</v>
      </c>
      <c r="C16" s="309">
        <v>5.0816046646835811E-2</v>
      </c>
      <c r="D16" s="289">
        <v>592.89763778354495</v>
      </c>
      <c r="E16" s="159">
        <v>296.91590007765888</v>
      </c>
      <c r="F16" s="289">
        <v>189.43742407132373</v>
      </c>
      <c r="G16" s="159">
        <v>372.47504406402646</v>
      </c>
      <c r="H16" s="289">
        <v>49.454875646942796</v>
      </c>
      <c r="I16" s="159">
        <v>68.449757529348247</v>
      </c>
      <c r="J16" s="289">
        <v>80.079219765387336</v>
      </c>
      <c r="K16" s="159">
        <v>9.2427076643370807</v>
      </c>
      <c r="L16" s="289">
        <v>35.206929733486795</v>
      </c>
      <c r="M16" s="159">
        <v>10.766673971168975</v>
      </c>
      <c r="N16" s="289">
        <v>3.4775317481750707</v>
      </c>
      <c r="O16"/>
    </row>
    <row r="17" spans="1:17" ht="20" customHeight="1" thickBot="1">
      <c r="A17" s="280">
        <v>2005</v>
      </c>
      <c r="B17" s="289">
        <v>1868.8453126166223</v>
      </c>
      <c r="C17" s="309">
        <v>6.7111568931724833E-2</v>
      </c>
      <c r="D17" s="289">
        <v>608.74538167382002</v>
      </c>
      <c r="E17" s="159">
        <v>359.22898499367591</v>
      </c>
      <c r="F17" s="289">
        <v>198.02028876263893</v>
      </c>
      <c r="G17" s="159">
        <v>379.34998080250244</v>
      </c>
      <c r="H17" s="289">
        <v>52.228327605463519</v>
      </c>
      <c r="I17" s="159">
        <v>71.506769252803821</v>
      </c>
      <c r="J17" s="289">
        <v>89.431105997755466</v>
      </c>
      <c r="K17" s="159">
        <v>9.3082174030862586</v>
      </c>
      <c r="L17" s="289">
        <v>40.071474704018968</v>
      </c>
      <c r="M17" s="159">
        <v>7.0814671191582956</v>
      </c>
      <c r="N17" s="289">
        <v>3.2498517657327022</v>
      </c>
      <c r="O17"/>
    </row>
    <row r="18" spans="1:17" ht="20" customHeight="1" thickBot="1">
      <c r="A18" s="280">
        <v>2006</v>
      </c>
      <c r="B18" s="289">
        <v>1876.16</v>
      </c>
      <c r="C18" s="309">
        <v>3.9140143563494156E-3</v>
      </c>
      <c r="D18" s="289">
        <v>619.30999999999995</v>
      </c>
      <c r="E18" s="159">
        <v>353.68</v>
      </c>
      <c r="F18" s="289">
        <v>196.88</v>
      </c>
      <c r="G18" s="159">
        <v>378.01</v>
      </c>
      <c r="H18" s="289">
        <v>55.74</v>
      </c>
      <c r="I18" s="159">
        <v>72.13</v>
      </c>
      <c r="J18" s="289">
        <v>83.65</v>
      </c>
      <c r="K18" s="159">
        <v>9.15</v>
      </c>
      <c r="L18" s="289">
        <v>44.98</v>
      </c>
      <c r="M18" s="159">
        <v>8.26</v>
      </c>
      <c r="N18" s="289">
        <v>1.57</v>
      </c>
      <c r="O18"/>
    </row>
    <row r="19" spans="1:17" ht="20" customHeight="1" thickBot="1">
      <c r="A19" s="280">
        <v>2007</v>
      </c>
      <c r="B19" s="289">
        <v>1946.99</v>
      </c>
      <c r="C19" s="309">
        <v>3.7752643697765542E-2</v>
      </c>
      <c r="D19" s="289">
        <v>641.54999999999995</v>
      </c>
      <c r="E19" s="159">
        <v>374.75</v>
      </c>
      <c r="F19" s="289">
        <v>201.51</v>
      </c>
      <c r="G19" s="159">
        <v>383.11</v>
      </c>
      <c r="H19" s="289">
        <v>60.51</v>
      </c>
      <c r="I19" s="159">
        <v>73.489999999999995</v>
      </c>
      <c r="J19" s="289">
        <v>83.98</v>
      </c>
      <c r="K19" s="159">
        <v>9.4499999999999993</v>
      </c>
      <c r="L19" s="289">
        <v>49.59</v>
      </c>
      <c r="M19" s="159">
        <v>8.51</v>
      </c>
      <c r="N19" s="289">
        <v>1.3</v>
      </c>
      <c r="O19"/>
    </row>
    <row r="20" spans="1:17" ht="20" customHeight="1" thickBot="1">
      <c r="A20" s="280">
        <v>2008</v>
      </c>
      <c r="B20" s="289">
        <v>2050.5</v>
      </c>
      <c r="C20" s="309">
        <v>5.3164114864483025E-2</v>
      </c>
      <c r="D20" s="289">
        <v>670.19</v>
      </c>
      <c r="E20" s="159">
        <v>427.46</v>
      </c>
      <c r="F20" s="289">
        <v>212.65</v>
      </c>
      <c r="G20" s="159">
        <v>396.5</v>
      </c>
      <c r="H20" s="289">
        <v>65.150000000000006</v>
      </c>
      <c r="I20" s="159">
        <v>75.2</v>
      </c>
      <c r="J20" s="289">
        <v>90.16</v>
      </c>
      <c r="K20" s="159">
        <v>9.41</v>
      </c>
      <c r="L20" s="289">
        <v>49.18</v>
      </c>
      <c r="M20" s="159">
        <v>7.29</v>
      </c>
      <c r="N20" s="289">
        <v>1.42</v>
      </c>
      <c r="O20"/>
    </row>
    <row r="21" spans="1:17" ht="20" customHeight="1" thickBot="1">
      <c r="A21" s="280">
        <v>2009</v>
      </c>
      <c r="B21" s="289">
        <v>2108.4899999999998</v>
      </c>
      <c r="C21" s="309">
        <v>2.8280907095830088E-2</v>
      </c>
      <c r="D21" s="289">
        <v>678.09</v>
      </c>
      <c r="E21" s="159">
        <v>450.61</v>
      </c>
      <c r="F21" s="289">
        <v>220.2</v>
      </c>
      <c r="G21" s="159">
        <v>406.84</v>
      </c>
      <c r="H21" s="289">
        <v>68.92</v>
      </c>
      <c r="I21" s="159">
        <v>76.819999999999993</v>
      </c>
      <c r="J21" s="289">
        <v>89.74</v>
      </c>
      <c r="K21" s="159">
        <v>9.42</v>
      </c>
      <c r="L21" s="289">
        <v>50.87</v>
      </c>
      <c r="M21" s="159">
        <v>8.0500000000000007</v>
      </c>
      <c r="N21" s="289">
        <v>1.25</v>
      </c>
      <c r="O21"/>
    </row>
    <row r="22" spans="1:17" ht="20" customHeight="1" thickBot="1">
      <c r="A22" s="280">
        <v>2010</v>
      </c>
      <c r="B22" s="289">
        <v>2155.41</v>
      </c>
      <c r="C22" s="309">
        <v>2.2252891879970926E-2</v>
      </c>
      <c r="D22" s="289">
        <v>684.51</v>
      </c>
      <c r="E22" s="159">
        <v>491.64</v>
      </c>
      <c r="F22" s="289">
        <v>208.21</v>
      </c>
      <c r="G22" s="159">
        <v>406.7</v>
      </c>
      <c r="H22" s="289">
        <v>72.34</v>
      </c>
      <c r="I22" s="159">
        <v>80.02</v>
      </c>
      <c r="J22" s="289">
        <v>89.58</v>
      </c>
      <c r="K22" s="159">
        <v>9.39</v>
      </c>
      <c r="L22" s="289">
        <v>53.72</v>
      </c>
      <c r="M22" s="159">
        <v>8.7899999999999991</v>
      </c>
      <c r="N22" s="289">
        <v>1.01</v>
      </c>
      <c r="O22"/>
    </row>
    <row r="23" spans="1:17" ht="20" customHeight="1" thickBot="1">
      <c r="A23" s="280">
        <v>2011</v>
      </c>
      <c r="B23" s="289">
        <v>2204.27</v>
      </c>
      <c r="C23" s="309">
        <v>2.2668541020038013E-2</v>
      </c>
      <c r="D23" s="289">
        <v>707.92</v>
      </c>
      <c r="E23" s="159">
        <v>522.91999999999996</v>
      </c>
      <c r="F23" s="289">
        <v>206.13</v>
      </c>
      <c r="G23" s="159">
        <v>403.05</v>
      </c>
      <c r="H23" s="289">
        <v>74.14</v>
      </c>
      <c r="I23" s="159">
        <v>80.92</v>
      </c>
      <c r="J23" s="289">
        <v>95.26</v>
      </c>
      <c r="K23" s="159">
        <v>9.41</v>
      </c>
      <c r="L23" s="289">
        <v>48.63</v>
      </c>
      <c r="M23" s="159">
        <v>10.96</v>
      </c>
      <c r="N23" s="289">
        <v>0.97</v>
      </c>
      <c r="O23"/>
    </row>
    <row r="24" spans="1:17" ht="20" customHeight="1" thickBot="1">
      <c r="A24" s="280">
        <v>2012</v>
      </c>
      <c r="B24" s="289">
        <v>2273.2299999999996</v>
      </c>
      <c r="C24" s="309">
        <v>3.1284733721367974E-2</v>
      </c>
      <c r="D24" s="289">
        <v>729.99</v>
      </c>
      <c r="E24" s="159">
        <v>553.70000000000005</v>
      </c>
      <c r="F24" s="289">
        <v>209.14</v>
      </c>
      <c r="G24" s="159">
        <v>409.01</v>
      </c>
      <c r="H24" s="289">
        <v>78.930000000000007</v>
      </c>
      <c r="I24" s="159">
        <v>82.3</v>
      </c>
      <c r="J24" s="289">
        <v>99.89</v>
      </c>
      <c r="K24" s="159">
        <v>9.51</v>
      </c>
      <c r="L24" s="289">
        <v>47.36</v>
      </c>
      <c r="M24" s="282">
        <v>0.23</v>
      </c>
      <c r="N24" s="289">
        <v>2.84</v>
      </c>
      <c r="O24"/>
    </row>
    <row r="25" spans="1:17" s="410" customFormat="1" ht="27" customHeight="1">
      <c r="A25" s="283">
        <v>2013</v>
      </c>
      <c r="B25" s="290">
        <v>2390.19</v>
      </c>
      <c r="C25" s="474">
        <v>5.1451019034589818E-2</v>
      </c>
      <c r="D25" s="290">
        <v>775.76</v>
      </c>
      <c r="E25" s="475">
        <v>596.91999999999996</v>
      </c>
      <c r="F25" s="290">
        <v>214.61</v>
      </c>
      <c r="G25" s="475">
        <v>409.97</v>
      </c>
      <c r="H25" s="476">
        <v>83.39</v>
      </c>
      <c r="I25" s="475">
        <v>86.8</v>
      </c>
      <c r="J25" s="476">
        <v>105.15</v>
      </c>
      <c r="K25" s="475">
        <v>9.5399999999999991</v>
      </c>
      <c r="L25" s="476">
        <v>54.54</v>
      </c>
      <c r="M25" s="477">
        <v>0</v>
      </c>
      <c r="N25" s="476">
        <v>1.92</v>
      </c>
      <c r="O25"/>
      <c r="P25" s="478"/>
      <c r="Q25" s="479"/>
    </row>
    <row r="26" spans="1:17" ht="19.5" customHeight="1" thickBot="1">
      <c r="A26" s="367"/>
      <c r="B26" s="480"/>
      <c r="C26" s="481"/>
      <c r="D26" s="480"/>
      <c r="E26" s="482"/>
      <c r="F26" s="480"/>
      <c r="G26" s="482"/>
      <c r="P26" s="17"/>
      <c r="Q26" s="17"/>
    </row>
    <row r="27" spans="1:17" ht="54" customHeight="1" thickBot="1">
      <c r="A27" s="483" t="s">
        <v>691</v>
      </c>
      <c r="B27" s="484">
        <v>3.671542274901296E-2</v>
      </c>
      <c r="C27" s="485" t="s">
        <v>153</v>
      </c>
      <c r="D27" s="484">
        <v>3.204699678141032E-2</v>
      </c>
      <c r="E27" s="486">
        <v>7.4691569159020199E-2</v>
      </c>
      <c r="F27" s="484">
        <v>1.6154962710999365E-2</v>
      </c>
      <c r="G27" s="486">
        <v>1.5091133840907212E-2</v>
      </c>
      <c r="H27" s="438">
        <v>6.7435308651578874E-2</v>
      </c>
      <c r="I27" s="486">
        <v>2.6768300925273936E-2</v>
      </c>
      <c r="J27" s="438">
        <v>4.8996862167744792E-2</v>
      </c>
      <c r="K27" s="486">
        <v>7.9063847696658751E-3</v>
      </c>
      <c r="L27" s="438">
        <v>6.4844856973862219E-2</v>
      </c>
      <c r="M27" s="486" t="s">
        <v>153</v>
      </c>
      <c r="N27" s="438">
        <v>-7.3377640223690643E-2</v>
      </c>
    </row>
    <row r="28" spans="1:17" ht="39.75" customHeight="1">
      <c r="A28" s="367"/>
      <c r="B28" s="487"/>
      <c r="C28" s="482"/>
      <c r="D28" s="480"/>
      <c r="E28" s="482"/>
      <c r="F28" s="480"/>
      <c r="G28" s="482"/>
      <c r="P28" s="17"/>
      <c r="Q28" s="17"/>
    </row>
    <row r="29" spans="1:17" ht="19.5" customHeight="1">
      <c r="A29" s="224" t="s">
        <v>460</v>
      </c>
      <c r="B29" s="129" t="s">
        <v>692</v>
      </c>
      <c r="C29" s="305" t="s">
        <v>475</v>
      </c>
      <c r="D29" s="267"/>
      <c r="E29" s="466"/>
      <c r="F29"/>
      <c r="G29" s="3"/>
      <c r="H29" s="465" t="s">
        <v>381</v>
      </c>
      <c r="I29" s="305" t="s">
        <v>475</v>
      </c>
    </row>
    <row r="30" spans="1:17" ht="16.5" customHeight="1">
      <c r="A30" s="269"/>
      <c r="B30" s="129" t="s">
        <v>678</v>
      </c>
      <c r="C30" s="306" t="s">
        <v>476</v>
      </c>
      <c r="D30" s="467" t="s">
        <v>679</v>
      </c>
      <c r="E30" s="468" t="s">
        <v>679</v>
      </c>
      <c r="F30"/>
      <c r="G30" s="3"/>
      <c r="H30" s="129" t="s">
        <v>693</v>
      </c>
      <c r="I30" s="306" t="s">
        <v>476</v>
      </c>
    </row>
    <row r="31" spans="1:17" ht="16.5" customHeight="1">
      <c r="A31" s="269"/>
      <c r="B31" s="270"/>
      <c r="C31" s="306" t="s">
        <v>477</v>
      </c>
      <c r="D31" s="467" t="s">
        <v>694</v>
      </c>
      <c r="E31" s="468" t="s">
        <v>695</v>
      </c>
      <c r="F31"/>
      <c r="G31" s="3"/>
      <c r="H31" s="270"/>
      <c r="I31" s="306" t="s">
        <v>477</v>
      </c>
    </row>
    <row r="32" spans="1:17" ht="15.75" customHeight="1">
      <c r="A32" s="469"/>
      <c r="B32" s="315"/>
      <c r="C32" s="470"/>
      <c r="D32" s="467" t="s">
        <v>696</v>
      </c>
      <c r="E32" s="468"/>
      <c r="F32"/>
      <c r="G32" s="3"/>
      <c r="H32" s="315"/>
      <c r="I32" s="470"/>
    </row>
    <row r="33" spans="1:9" ht="12" customHeight="1">
      <c r="A33" s="273"/>
      <c r="B33" s="274"/>
      <c r="C33" s="471"/>
      <c r="D33" s="488"/>
      <c r="E33" s="489"/>
      <c r="F33"/>
      <c r="G33" s="3"/>
      <c r="H33" s="274"/>
      <c r="I33" s="471"/>
    </row>
    <row r="34" spans="1:9" ht="1.25" customHeight="1" thickBot="1">
      <c r="A34" s="277">
        <v>1996</v>
      </c>
      <c r="B34" s="287">
        <v>586.83678759613247</v>
      </c>
      <c r="C34" s="308">
        <v>7.9400703813924001E-2</v>
      </c>
      <c r="D34" s="352" t="s">
        <v>153</v>
      </c>
      <c r="E34" s="353" t="s">
        <v>153</v>
      </c>
      <c r="F34"/>
      <c r="G34" s="3"/>
      <c r="H34" s="287">
        <v>1722.6034667433191</v>
      </c>
      <c r="I34" s="308">
        <v>9.7018358352515099E-2</v>
      </c>
    </row>
    <row r="35" spans="1:9" ht="0.75" hidden="1" customHeight="1" thickBot="1">
      <c r="A35" s="280">
        <v>1997</v>
      </c>
      <c r="B35" s="289">
        <v>608.42125188692751</v>
      </c>
      <c r="C35" s="309">
        <v>3.678103477324892E-2</v>
      </c>
      <c r="D35" s="289" t="s">
        <v>153</v>
      </c>
      <c r="E35" s="159" t="s">
        <v>153</v>
      </c>
      <c r="F35"/>
      <c r="G35" s="3"/>
      <c r="H35" s="289">
        <v>1815.5918174756728</v>
      </c>
      <c r="I35" s="309">
        <v>5.3981286191275034E-2</v>
      </c>
    </row>
    <row r="36" spans="1:9" ht="19.5" hidden="1" customHeight="1" thickBot="1">
      <c r="A36" s="280">
        <v>1998</v>
      </c>
      <c r="B36" s="289">
        <v>647.39263733582663</v>
      </c>
      <c r="C36" s="309">
        <v>6.4053294206990977E-2</v>
      </c>
      <c r="D36" s="289">
        <v>492.71135658354189</v>
      </c>
      <c r="E36" s="159">
        <v>150.64686744819926</v>
      </c>
      <c r="F36"/>
      <c r="G36" s="3"/>
      <c r="H36" s="289">
        <v>1935.2609068839854</v>
      </c>
      <c r="I36" s="309">
        <v>6.5911890688456515E-2</v>
      </c>
    </row>
    <row r="37" spans="1:9" ht="19.25" hidden="1" customHeight="1" thickBot="1">
      <c r="A37" s="280">
        <v>1999</v>
      </c>
      <c r="B37" s="289">
        <v>659.34783816072627</v>
      </c>
      <c r="C37" s="309">
        <v>1.8466692599560762E-2</v>
      </c>
      <c r="D37" s="289">
        <v>496.69748609522117</v>
      </c>
      <c r="E37" s="159">
        <v>160.88253360625276</v>
      </c>
      <c r="F37"/>
      <c r="G37" s="3"/>
      <c r="H37" s="289">
        <v>2010.9299604622606</v>
      </c>
      <c r="I37" s="309">
        <v>3.9100181949167756E-2</v>
      </c>
    </row>
    <row r="38" spans="1:9" ht="0.5" customHeight="1" thickBot="1">
      <c r="A38" s="280">
        <v>2000</v>
      </c>
      <c r="B38" s="289">
        <v>679.34395321862166</v>
      </c>
      <c r="C38" s="309">
        <v>3.0327110973284228E-2</v>
      </c>
      <c r="D38" s="289">
        <v>508.80015768509037</v>
      </c>
      <c r="E38" s="159">
        <v>167.22954109591964</v>
      </c>
      <c r="F38"/>
      <c r="G38" s="3"/>
      <c r="H38" s="289">
        <v>2130.500577485856</v>
      </c>
      <c r="I38" s="309">
        <v>5.946035882627615E-2</v>
      </c>
    </row>
    <row r="39" spans="1:9" ht="19.5" hidden="1" customHeight="1" thickBot="1">
      <c r="A39" s="280">
        <v>2001</v>
      </c>
      <c r="B39" s="289">
        <v>695.57285390457537</v>
      </c>
      <c r="C39" s="309">
        <v>2.388907799806534E-2</v>
      </c>
      <c r="D39" s="289">
        <v>520.22845878332566</v>
      </c>
      <c r="E39" s="159">
        <v>172.28381767006115</v>
      </c>
      <c r="F39"/>
      <c r="G39" s="3"/>
      <c r="H39" s="289">
        <v>2244.3978355168092</v>
      </c>
      <c r="I39" s="309">
        <v>5.3460327227585272E-2</v>
      </c>
    </row>
    <row r="40" spans="1:9" ht="19.5" hidden="1" customHeight="1" thickBot="1">
      <c r="A40" s="280">
        <v>2002</v>
      </c>
      <c r="B40" s="289">
        <v>712.19782148377215</v>
      </c>
      <c r="C40" s="309">
        <v>2.3901116160403715E-2</v>
      </c>
      <c r="D40" s="289">
        <v>515.19747034296608</v>
      </c>
      <c r="E40" s="159">
        <v>189.57472804627923</v>
      </c>
      <c r="F40"/>
      <c r="G40" s="3"/>
      <c r="H40" s="289">
        <v>2327.6302215005462</v>
      </c>
      <c r="I40" s="309">
        <v>3.7084506439372583E-2</v>
      </c>
    </row>
    <row r="41" spans="1:9" ht="19.5" customHeight="1" thickBot="1">
      <c r="A41" s="280">
        <v>2003</v>
      </c>
      <c r="B41" s="289">
        <v>764.59062760893357</v>
      </c>
      <c r="C41" s="309">
        <v>7.3564962633566877E-2</v>
      </c>
      <c r="D41" s="289">
        <v>557.73124969057335</v>
      </c>
      <c r="E41" s="159">
        <v>200.44409586700854</v>
      </c>
      <c r="F41"/>
      <c r="G41" s="3"/>
      <c r="H41" s="289">
        <v>2431.2115563163402</v>
      </c>
      <c r="I41" s="309">
        <v>4.4500769004888807E-2</v>
      </c>
    </row>
    <row r="42" spans="1:9" ht="19.5" customHeight="1" thickBot="1">
      <c r="A42" s="280">
        <v>2004</v>
      </c>
      <c r="B42" s="289">
        <v>840.90429336795432</v>
      </c>
      <c r="C42" s="309">
        <v>9.9809836798121235E-2</v>
      </c>
      <c r="D42" s="289">
        <v>618.810128536668</v>
      </c>
      <c r="E42" s="159">
        <v>213.02590534069273</v>
      </c>
      <c r="F42"/>
      <c r="G42" s="3"/>
      <c r="H42" s="289">
        <v>2592.2163089311489</v>
      </c>
      <c r="I42" s="309">
        <v>6.622408165036682E-2</v>
      </c>
    </row>
    <row r="43" spans="1:9" ht="19.5" customHeight="1" thickBot="1">
      <c r="A43" s="280">
        <v>2005</v>
      </c>
      <c r="B43" s="289">
        <v>867.58002616373483</v>
      </c>
      <c r="C43" s="309">
        <v>3.1722674038135765E-2</v>
      </c>
      <c r="D43" s="289">
        <v>645.948160066112</v>
      </c>
      <c r="E43" s="159">
        <v>213.44705424318488</v>
      </c>
      <c r="F43"/>
      <c r="G43" s="3"/>
      <c r="H43" s="289">
        <v>2736.4253387803569</v>
      </c>
      <c r="I43" s="309">
        <v>5.5631557193878578E-2</v>
      </c>
    </row>
    <row r="44" spans="1:9" ht="19.5" customHeight="1" thickBot="1">
      <c r="A44" s="280">
        <v>2006</v>
      </c>
      <c r="B44" s="289">
        <v>878.78</v>
      </c>
      <c r="C44" s="309">
        <v>1.2909441778862885E-2</v>
      </c>
      <c r="D44" s="289">
        <v>654.29</v>
      </c>
      <c r="E44" s="159">
        <v>217.58</v>
      </c>
      <c r="F44"/>
      <c r="G44" s="3"/>
      <c r="H44" s="289">
        <v>2754.94</v>
      </c>
      <c r="I44" s="309">
        <v>6.7660026960192354E-3</v>
      </c>
    </row>
    <row r="45" spans="1:9" ht="19.5" customHeight="1" thickBot="1">
      <c r="A45" s="280">
        <v>2007</v>
      </c>
      <c r="B45" s="289">
        <v>915.82</v>
      </c>
      <c r="C45" s="309">
        <v>4.2149343407906548E-2</v>
      </c>
      <c r="D45" s="289">
        <v>681.54</v>
      </c>
      <c r="E45" s="159">
        <v>226.41</v>
      </c>
      <c r="F45"/>
      <c r="G45" s="3"/>
      <c r="H45" s="289">
        <v>2862.81</v>
      </c>
      <c r="I45" s="309">
        <v>3.915511771581226E-2</v>
      </c>
    </row>
    <row r="46" spans="1:9" ht="19.5" customHeight="1" thickBot="1">
      <c r="A46" s="280">
        <v>2008</v>
      </c>
      <c r="B46" s="289">
        <v>933.12</v>
      </c>
      <c r="C46" s="309">
        <v>1.8890174925203507E-2</v>
      </c>
      <c r="D46" s="289">
        <v>690.44</v>
      </c>
      <c r="E46" s="159">
        <v>234.3</v>
      </c>
      <c r="F46"/>
      <c r="G46" s="3"/>
      <c r="H46" s="289">
        <v>2983.62</v>
      </c>
      <c r="I46" s="309">
        <v>4.2199796703239034E-2</v>
      </c>
    </row>
    <row r="47" spans="1:9" ht="19.5" customHeight="1" thickBot="1">
      <c r="A47" s="280">
        <v>2009</v>
      </c>
      <c r="B47" s="289">
        <v>960.23</v>
      </c>
      <c r="C47" s="309">
        <v>2.9053069272976684E-2</v>
      </c>
      <c r="D47" s="289">
        <v>711.06</v>
      </c>
      <c r="E47" s="159">
        <v>241.04</v>
      </c>
      <c r="F47"/>
      <c r="G47" s="3"/>
      <c r="H47" s="289">
        <v>3068.72</v>
      </c>
      <c r="I47" s="309">
        <v>2.8522398965015627E-2</v>
      </c>
    </row>
    <row r="48" spans="1:9" ht="19.5" customHeight="1" thickBot="1">
      <c r="A48" s="280">
        <v>2010</v>
      </c>
      <c r="B48" s="289">
        <v>967.15000000000009</v>
      </c>
      <c r="C48" s="309">
        <v>7.206606750466138E-3</v>
      </c>
      <c r="D48" s="289">
        <v>718.88</v>
      </c>
      <c r="E48" s="159">
        <v>243.45</v>
      </c>
      <c r="F48"/>
      <c r="G48" s="3"/>
      <c r="H48" s="289">
        <v>3122.56</v>
      </c>
      <c r="I48" s="309">
        <v>1.7544774368466465E-2</v>
      </c>
    </row>
    <row r="49" spans="1:9" ht="19.5" customHeight="1" thickBot="1">
      <c r="A49" s="280">
        <v>2011</v>
      </c>
      <c r="B49" s="289">
        <v>966.56</v>
      </c>
      <c r="C49" s="309">
        <v>-6.1003980768248312E-4</v>
      </c>
      <c r="D49" s="289">
        <v>724.38</v>
      </c>
      <c r="E49" s="159">
        <v>234.89</v>
      </c>
      <c r="F49"/>
      <c r="G49" s="3"/>
      <c r="H49" s="289">
        <v>3170.83</v>
      </c>
      <c r="I49" s="309">
        <v>1.5458469973355093E-2</v>
      </c>
    </row>
    <row r="50" spans="1:9" ht="19.5" customHeight="1" thickBot="1">
      <c r="A50" s="280">
        <v>2012</v>
      </c>
      <c r="B50" s="289">
        <v>983.41000000000008</v>
      </c>
      <c r="C50" s="309">
        <v>1.7432958119516728E-2</v>
      </c>
      <c r="D50" s="289">
        <v>746.51</v>
      </c>
      <c r="E50" s="159">
        <v>232.08</v>
      </c>
      <c r="F50"/>
      <c r="G50" s="3"/>
      <c r="H50" s="289">
        <v>3256.64</v>
      </c>
      <c r="I50" s="309">
        <v>2.7062314914391594E-2</v>
      </c>
    </row>
    <row r="51" spans="1:9" ht="27" customHeight="1">
      <c r="A51" s="283">
        <v>2013</v>
      </c>
      <c r="B51" s="476">
        <v>1080.69</v>
      </c>
      <c r="C51" s="474">
        <v>9.8921101066696382E-2</v>
      </c>
      <c r="D51" s="476">
        <v>847.09</v>
      </c>
      <c r="E51" s="475">
        <v>228.4</v>
      </c>
      <c r="F51" s="364"/>
      <c r="G51" s="219"/>
      <c r="H51" s="476">
        <v>3470.88</v>
      </c>
      <c r="I51" s="474">
        <v>6.5785594969048011E-2</v>
      </c>
    </row>
    <row r="52" spans="1:9" ht="19.5" customHeight="1" thickBot="1">
      <c r="A52" s="219"/>
      <c r="B52" s="480"/>
      <c r="C52" s="481"/>
      <c r="D52" s="480"/>
      <c r="E52" s="482"/>
      <c r="F52" s="480"/>
      <c r="G52" s="482"/>
      <c r="I52" s="245"/>
    </row>
    <row r="53" spans="1:9" ht="51" customHeight="1" thickBot="1">
      <c r="A53" s="483" t="s">
        <v>691</v>
      </c>
      <c r="B53" s="438">
        <v>3.5207038770398658E-2</v>
      </c>
      <c r="C53" s="485" t="s">
        <v>153</v>
      </c>
      <c r="D53" s="438">
        <v>4.2678593929824427E-2</v>
      </c>
      <c r="E53" s="486">
        <v>1.3141915118327185E-2</v>
      </c>
      <c r="F53" s="490"/>
      <c r="G53" s="3"/>
      <c r="H53" s="438">
        <v>3.6243178750495098E-2</v>
      </c>
      <c r="I53" s="485" t="s">
        <v>153</v>
      </c>
    </row>
    <row r="54" spans="1:9" ht="17.25" customHeight="1">
      <c r="A54" s="189" t="s">
        <v>346</v>
      </c>
      <c r="B54" s="480"/>
      <c r="C54" s="482"/>
      <c r="D54" s="480"/>
      <c r="E54" s="482"/>
      <c r="F54" s="480"/>
      <c r="G54" s="482"/>
    </row>
    <row r="55" spans="1:9" ht="14">
      <c r="A55" s="367"/>
      <c r="B55" s="480"/>
      <c r="C55" s="482"/>
      <c r="D55" s="480"/>
      <c r="E55" s="482"/>
      <c r="F55" s="480"/>
      <c r="G55" s="482"/>
    </row>
    <row r="56" spans="1:9" ht="14">
      <c r="A56" s="219" t="s">
        <v>542</v>
      </c>
      <c r="B56" s="480"/>
      <c r="C56" s="482"/>
      <c r="D56" s="480"/>
      <c r="E56" s="482"/>
      <c r="F56" s="480"/>
      <c r="G56" s="482"/>
    </row>
    <row r="57" spans="1:9" ht="14">
      <c r="A57" s="219" t="s">
        <v>697</v>
      </c>
      <c r="B57" s="480"/>
      <c r="C57" s="482"/>
      <c r="D57" s="480"/>
      <c r="E57" s="482"/>
      <c r="F57" s="480"/>
      <c r="G57" s="482"/>
    </row>
    <row r="58" spans="1:9" ht="14">
      <c r="A58" s="219" t="s">
        <v>2206</v>
      </c>
      <c r="B58" s="480"/>
      <c r="C58" s="482"/>
      <c r="D58" s="480"/>
      <c r="E58" s="482"/>
      <c r="F58" s="480"/>
      <c r="G58" s="482"/>
    </row>
    <row r="59" spans="1:9" ht="14">
      <c r="B59" s="480"/>
      <c r="C59" s="482"/>
      <c r="D59" s="480"/>
      <c r="E59" s="482"/>
      <c r="F59" s="480"/>
      <c r="G59" s="482"/>
    </row>
    <row r="60" spans="1:9">
      <c r="A60" s="3" t="s">
        <v>698</v>
      </c>
      <c r="B60" s="17"/>
      <c r="C60" s="491"/>
      <c r="D60" s="17"/>
      <c r="E60" s="491"/>
      <c r="F60" s="17"/>
      <c r="G60" s="491"/>
    </row>
    <row r="61" spans="1:9">
      <c r="A61" s="17"/>
      <c r="B61" s="17"/>
      <c r="C61" s="491"/>
      <c r="D61" s="17"/>
      <c r="E61" s="491"/>
      <c r="F61" s="17"/>
      <c r="G61" s="491"/>
    </row>
    <row r="63" spans="1:9">
      <c r="A63" s="3" t="s">
        <v>302</v>
      </c>
    </row>
    <row r="66" spans="2:5">
      <c r="B66"/>
      <c r="C66"/>
      <c r="D66"/>
      <c r="E66"/>
    </row>
    <row r="67" spans="2:5">
      <c r="B67"/>
      <c r="C67"/>
      <c r="D67"/>
      <c r="E67"/>
    </row>
    <row r="68" spans="2:5">
      <c r="B68"/>
      <c r="C68"/>
      <c r="D68"/>
      <c r="E68"/>
    </row>
    <row r="69" spans="2:5">
      <c r="B69"/>
      <c r="C69"/>
      <c r="D69"/>
      <c r="E69"/>
    </row>
    <row r="70" spans="2:5">
      <c r="B70"/>
      <c r="C70"/>
      <c r="D70"/>
      <c r="E70"/>
    </row>
  </sheetData>
  <pageMargins left="0.52" right="0.37" top="0.55000000000000004" bottom="0.49" header="0.42" footer="0.4921259845"/>
  <pageSetup paperSize="9" scale="54" orientation="landscape" horizontalDpi="4294967292" verticalDpi="4294967292"/>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A32CD-79B5-8E4B-9CB3-286E1CEBCB51}">
  <sheetPr>
    <pageSetUpPr fitToPage="1"/>
  </sheetPr>
  <dimension ref="A1:H43"/>
  <sheetViews>
    <sheetView topLeftCell="A20" zoomScaleNormal="100" workbookViewId="0">
      <selection activeCell="H42" sqref="H42"/>
    </sheetView>
  </sheetViews>
  <sheetFormatPr baseColWidth="10" defaultColWidth="11.3984375" defaultRowHeight="13"/>
  <cols>
    <col min="1" max="1" width="41.3984375" style="3" customWidth="1"/>
    <col min="2" max="4" width="15.19921875" style="3" customWidth="1"/>
    <col min="5" max="5" width="15.19921875" style="200" customWidth="1"/>
    <col min="6" max="6" width="15.19921875" style="3" customWidth="1"/>
    <col min="7" max="7" width="15.3984375" style="3" customWidth="1"/>
    <col min="8" max="8" width="16.3984375" style="3" customWidth="1"/>
    <col min="9" max="16384" width="11.3984375" style="3"/>
  </cols>
  <sheetData>
    <row r="1" spans="1:8" s="1" customFormat="1" ht="14" customHeight="1">
      <c r="E1" s="194"/>
    </row>
    <row r="2" spans="1:8" s="1" customFormat="1" ht="26.5" customHeight="1">
      <c r="A2" s="125" t="s">
        <v>643</v>
      </c>
      <c r="B2" s="360"/>
      <c r="C2" s="360"/>
      <c r="D2" s="360"/>
      <c r="E2" s="360"/>
      <c r="H2" s="311">
        <v>2013</v>
      </c>
    </row>
    <row r="3" spans="1:8" ht="21" customHeight="1">
      <c r="A3" s="224" t="s">
        <v>69</v>
      </c>
      <c r="B3" s="267" t="s">
        <v>644</v>
      </c>
      <c r="C3" s="268" t="s">
        <v>645</v>
      </c>
      <c r="D3" s="267" t="s">
        <v>495</v>
      </c>
      <c r="E3" s="414" t="s">
        <v>381</v>
      </c>
      <c r="F3" s="267" t="s">
        <v>646</v>
      </c>
      <c r="G3" s="268" t="s">
        <v>475</v>
      </c>
      <c r="H3" s="225" t="s">
        <v>475</v>
      </c>
    </row>
    <row r="4" spans="1:8" ht="18" customHeight="1">
      <c r="A4" s="269"/>
      <c r="B4" s="270"/>
      <c r="C4" s="271"/>
      <c r="D4" s="270"/>
      <c r="E4" s="415"/>
      <c r="F4" s="270" t="s">
        <v>597</v>
      </c>
      <c r="G4" s="271" t="s">
        <v>476</v>
      </c>
      <c r="H4" s="332" t="s">
        <v>476</v>
      </c>
    </row>
    <row r="5" spans="1:8" ht="18.5" customHeight="1">
      <c r="A5" s="269"/>
      <c r="B5" s="270"/>
      <c r="C5" s="271"/>
      <c r="D5" s="270"/>
      <c r="E5" s="415"/>
      <c r="F5" s="270" t="s">
        <v>647</v>
      </c>
      <c r="G5" s="271" t="s">
        <v>477</v>
      </c>
      <c r="H5" s="332" t="s">
        <v>477</v>
      </c>
    </row>
    <row r="6" spans="1:8" s="185" customFormat="1" ht="20.5" customHeight="1">
      <c r="A6" s="416"/>
      <c r="B6" s="417"/>
      <c r="C6" s="418"/>
      <c r="D6" s="417"/>
      <c r="E6" s="419"/>
      <c r="F6" s="417"/>
      <c r="G6" s="418" t="s">
        <v>382</v>
      </c>
      <c r="H6" s="420" t="s">
        <v>648</v>
      </c>
    </row>
    <row r="7" spans="1:8" ht="30" customHeight="1" thickBot="1">
      <c r="A7" s="421" t="s">
        <v>649</v>
      </c>
      <c r="B7" s="335">
        <v>675.96</v>
      </c>
      <c r="C7" s="353">
        <v>1040.04</v>
      </c>
      <c r="D7" s="352">
        <v>405.38</v>
      </c>
      <c r="E7" s="422">
        <v>775.76</v>
      </c>
      <c r="F7" s="423">
        <v>0.22350527820034111</v>
      </c>
      <c r="G7" s="353">
        <v>45.769999999999982</v>
      </c>
      <c r="H7" s="337">
        <v>6.269948903409639E-2</v>
      </c>
    </row>
    <row r="8" spans="1:8" ht="20" customHeight="1" thickBot="1">
      <c r="A8" s="280" t="s">
        <v>650</v>
      </c>
      <c r="B8" s="349">
        <v>934.87</v>
      </c>
      <c r="C8" s="159">
        <v>1054.71</v>
      </c>
      <c r="D8" s="289">
        <v>205.62</v>
      </c>
      <c r="E8" s="424">
        <v>847.09</v>
      </c>
      <c r="F8" s="423">
        <v>0.24405626238878902</v>
      </c>
      <c r="G8" s="159">
        <v>100.58000000000004</v>
      </c>
      <c r="H8" s="337">
        <v>0.13473362714498127</v>
      </c>
    </row>
    <row r="9" spans="1:8" ht="20" customHeight="1" thickBot="1">
      <c r="A9" s="280" t="s">
        <v>651</v>
      </c>
      <c r="B9" s="289">
        <v>639.58000000000004</v>
      </c>
      <c r="C9" s="159">
        <v>718.13</v>
      </c>
      <c r="D9" s="289">
        <v>240.55</v>
      </c>
      <c r="E9" s="425">
        <v>596.91999999999996</v>
      </c>
      <c r="F9" s="426">
        <v>0.17197944037247037</v>
      </c>
      <c r="G9" s="427">
        <v>43.219999999999914</v>
      </c>
      <c r="H9" s="343">
        <v>7.8056709409427327E-2</v>
      </c>
    </row>
    <row r="10" spans="1:8" ht="20" customHeight="1" thickBot="1">
      <c r="A10" s="280" t="s">
        <v>652</v>
      </c>
      <c r="B10" s="289">
        <v>221.39</v>
      </c>
      <c r="C10" s="159">
        <v>278.58999999999997</v>
      </c>
      <c r="D10" s="289">
        <v>59.67</v>
      </c>
      <c r="E10" s="428">
        <v>214.61</v>
      </c>
      <c r="F10" s="429">
        <v>6.1831581616189554E-2</v>
      </c>
      <c r="G10" s="430">
        <v>5.4700000000000273</v>
      </c>
      <c r="H10" s="347">
        <v>2.6154728889739021E-2</v>
      </c>
    </row>
    <row r="11" spans="1:8" ht="20" customHeight="1" thickBot="1">
      <c r="A11" s="280" t="s">
        <v>653</v>
      </c>
      <c r="B11" s="289">
        <v>445.32</v>
      </c>
      <c r="C11" s="159">
        <v>529.12</v>
      </c>
      <c r="D11" s="289">
        <v>73.52</v>
      </c>
      <c r="E11" s="428">
        <v>409.97</v>
      </c>
      <c r="F11" s="429">
        <v>0.1181170193149864</v>
      </c>
      <c r="G11" s="431">
        <v>0.96000000000003638</v>
      </c>
      <c r="H11" s="347">
        <v>2.3471308769957844E-3</v>
      </c>
    </row>
    <row r="12" spans="1:8" ht="20" customHeight="1" thickBot="1">
      <c r="A12" s="280" t="s">
        <v>654</v>
      </c>
      <c r="B12" s="289">
        <v>166.53</v>
      </c>
      <c r="C12" s="159">
        <v>388.35</v>
      </c>
      <c r="D12" s="289">
        <v>7.34</v>
      </c>
      <c r="E12" s="428">
        <v>228.4</v>
      </c>
      <c r="F12" s="429">
        <v>6.5804637440649058E-2</v>
      </c>
      <c r="G12" s="430">
        <v>-3.6800000000000068</v>
      </c>
      <c r="H12" s="347">
        <v>-1.585660117200971E-2</v>
      </c>
    </row>
    <row r="13" spans="1:8" ht="20" customHeight="1" thickBot="1">
      <c r="A13" s="280" t="s">
        <v>655</v>
      </c>
      <c r="B13" s="289">
        <v>73.33</v>
      </c>
      <c r="C13" s="159">
        <v>128.76</v>
      </c>
      <c r="D13" s="289">
        <v>4.9000000000000004</v>
      </c>
      <c r="E13" s="428">
        <v>83.39</v>
      </c>
      <c r="F13" s="429">
        <v>2.4025607338772875E-2</v>
      </c>
      <c r="G13" s="430">
        <v>4.4599999999999937</v>
      </c>
      <c r="H13" s="347">
        <v>5.650576460154566E-2</v>
      </c>
    </row>
    <row r="14" spans="1:8" ht="20" customHeight="1" thickBot="1">
      <c r="A14" s="280" t="s">
        <v>656</v>
      </c>
      <c r="B14" s="289">
        <v>74.02</v>
      </c>
      <c r="C14" s="159">
        <v>128.88</v>
      </c>
      <c r="D14" s="289">
        <v>21.24</v>
      </c>
      <c r="E14" s="428">
        <v>86.8</v>
      </c>
      <c r="F14" s="429">
        <v>2.5008067118425296E-2</v>
      </c>
      <c r="G14" s="430">
        <v>4.5</v>
      </c>
      <c r="H14" s="347">
        <v>5.4678007290400954E-2</v>
      </c>
    </row>
    <row r="15" spans="1:8" ht="20" customHeight="1" thickBot="1">
      <c r="A15" s="280" t="s">
        <v>657</v>
      </c>
      <c r="B15" s="289">
        <v>87.68</v>
      </c>
      <c r="C15" s="159">
        <v>153.66</v>
      </c>
      <c r="D15" s="289">
        <v>35.369999999999997</v>
      </c>
      <c r="E15" s="428">
        <v>105.15</v>
      </c>
      <c r="F15" s="429">
        <v>3.0294910800719128E-2</v>
      </c>
      <c r="G15" s="430">
        <v>5.2600000000000051</v>
      </c>
      <c r="H15" s="347">
        <v>5.2657923716087796E-2</v>
      </c>
    </row>
    <row r="16" spans="1:8" ht="20" customHeight="1" thickBot="1">
      <c r="A16" s="280" t="s">
        <v>658</v>
      </c>
      <c r="B16" s="289">
        <v>8.94</v>
      </c>
      <c r="C16" s="159">
        <v>13.35</v>
      </c>
      <c r="D16" s="289">
        <v>2.41</v>
      </c>
      <c r="E16" s="428">
        <v>9.5399999999999991</v>
      </c>
      <c r="F16" s="429">
        <v>2.7485824920481256E-3</v>
      </c>
      <c r="G16" s="431">
        <v>2.9999999999999361E-2</v>
      </c>
      <c r="H16" s="347">
        <v>3.154574132492094E-3</v>
      </c>
    </row>
    <row r="17" spans="1:8" ht="20" customHeight="1" thickBot="1">
      <c r="A17" s="280" t="s">
        <v>659</v>
      </c>
      <c r="B17" s="289">
        <v>66.77</v>
      </c>
      <c r="C17" s="159">
        <v>58.97</v>
      </c>
      <c r="D17" s="289">
        <v>18.989999999999998</v>
      </c>
      <c r="E17" s="428">
        <v>54.54</v>
      </c>
      <c r="F17" s="429">
        <v>1.5713594246992115E-2</v>
      </c>
      <c r="G17" s="430">
        <v>7.18</v>
      </c>
      <c r="H17" s="347">
        <v>0.15160472972972983</v>
      </c>
    </row>
    <row r="18" spans="1:8" ht="20" customHeight="1" thickBot="1">
      <c r="A18" s="280" t="s">
        <v>660</v>
      </c>
      <c r="B18" s="289">
        <v>0</v>
      </c>
      <c r="C18" s="159">
        <v>0</v>
      </c>
      <c r="D18" s="289">
        <v>0</v>
      </c>
      <c r="E18" s="428">
        <v>0</v>
      </c>
      <c r="F18" s="429">
        <v>0</v>
      </c>
      <c r="G18" s="431">
        <v>-0.23</v>
      </c>
      <c r="H18" s="347">
        <v>-1</v>
      </c>
    </row>
    <row r="19" spans="1:8" ht="20" customHeight="1" thickBot="1">
      <c r="A19" s="339" t="s">
        <v>661</v>
      </c>
      <c r="B19" s="289">
        <v>1.1200000000000001</v>
      </c>
      <c r="C19" s="159">
        <v>3.13</v>
      </c>
      <c r="D19" s="289">
        <v>0.92</v>
      </c>
      <c r="E19" s="428">
        <v>1.92</v>
      </c>
      <c r="F19" s="429">
        <v>5.531738348776102E-4</v>
      </c>
      <c r="G19" s="431">
        <v>-0.91999999999999993</v>
      </c>
      <c r="H19" s="347">
        <v>-0.323943661971831</v>
      </c>
    </row>
    <row r="20" spans="1:8" ht="20" customHeight="1" thickBot="1">
      <c r="A20" s="280" t="s">
        <v>662</v>
      </c>
      <c r="B20" s="289">
        <v>45.81</v>
      </c>
      <c r="C20" s="159">
        <v>63.23</v>
      </c>
      <c r="D20" s="289">
        <v>38.200000000000003</v>
      </c>
      <c r="E20" s="428">
        <v>51.59</v>
      </c>
      <c r="F20" s="429">
        <v>1.4863665698612456E-2</v>
      </c>
      <c r="G20" s="431">
        <v>1.2600000000000051</v>
      </c>
      <c r="H20" s="347">
        <v>2.5034770514603677E-2</v>
      </c>
    </row>
    <row r="21" spans="1:8" ht="20" customHeight="1" thickBot="1">
      <c r="A21" s="280" t="s">
        <v>663</v>
      </c>
      <c r="B21" s="289">
        <v>6.71</v>
      </c>
      <c r="C21" s="159">
        <v>5.4</v>
      </c>
      <c r="D21" s="289">
        <v>1.57</v>
      </c>
      <c r="E21" s="432">
        <v>5.2</v>
      </c>
      <c r="F21" s="433">
        <v>1.4981791361268612E-3</v>
      </c>
      <c r="G21" s="434">
        <v>0.37999999999999989</v>
      </c>
      <c r="H21" s="351">
        <v>7.8838174273858863E-2</v>
      </c>
    </row>
    <row r="22" spans="1:8" ht="30" customHeight="1" thickBot="1">
      <c r="A22" s="435" t="s">
        <v>664</v>
      </c>
      <c r="B22" s="436">
        <v>3448.04</v>
      </c>
      <c r="C22" s="437">
        <v>4564.3500000000004</v>
      </c>
      <c r="D22" s="436">
        <v>1115.68</v>
      </c>
      <c r="E22" s="244">
        <v>3470.88</v>
      </c>
      <c r="F22" s="438">
        <v>1</v>
      </c>
      <c r="G22" s="437">
        <v>214.24000000000024</v>
      </c>
      <c r="H22" s="439">
        <v>6.5785594969048011E-2</v>
      </c>
    </row>
    <row r="23" spans="1:8" ht="15" customHeight="1">
      <c r="A23" s="440"/>
      <c r="B23" s="388"/>
      <c r="C23" s="388"/>
      <c r="D23" s="388"/>
      <c r="E23" s="252"/>
      <c r="F23" s="441"/>
      <c r="G23" s="388"/>
      <c r="H23" s="442"/>
    </row>
    <row r="24" spans="1:8" ht="30" customHeight="1" thickBot="1">
      <c r="A24" s="443" t="s">
        <v>665</v>
      </c>
      <c r="B24" s="444" t="s">
        <v>153</v>
      </c>
      <c r="C24" s="445">
        <v>206.78</v>
      </c>
      <c r="D24" s="444">
        <v>1.9</v>
      </c>
      <c r="E24" s="446" t="s">
        <v>153</v>
      </c>
      <c r="F24" s="447" t="s">
        <v>153</v>
      </c>
      <c r="G24" s="445" t="s">
        <v>153</v>
      </c>
      <c r="H24" s="448" t="s">
        <v>153</v>
      </c>
    </row>
    <row r="25" spans="1:8" ht="30.75" customHeight="1" thickBot="1">
      <c r="A25" s="449" t="s">
        <v>666</v>
      </c>
      <c r="B25" s="450">
        <v>118.62</v>
      </c>
      <c r="C25" s="451">
        <v>120.55</v>
      </c>
      <c r="D25" s="450">
        <v>12.22</v>
      </c>
      <c r="E25" s="452">
        <v>99.37</v>
      </c>
      <c r="F25" s="453">
        <v>2.8629627068639654E-2</v>
      </c>
      <c r="G25" s="451">
        <v>7.2900000000000063</v>
      </c>
      <c r="H25" s="454">
        <v>7.9170286707211268E-2</v>
      </c>
    </row>
    <row r="26" spans="1:8" ht="15" customHeight="1">
      <c r="A26" s="440"/>
      <c r="B26" s="388"/>
      <c r="C26" s="388"/>
      <c r="D26" s="388"/>
      <c r="E26" s="252"/>
      <c r="F26" s="441"/>
      <c r="G26" s="388"/>
      <c r="H26" s="441"/>
    </row>
    <row r="27" spans="1:8" ht="30" customHeight="1" thickBot="1">
      <c r="A27" s="443" t="s">
        <v>667</v>
      </c>
      <c r="B27" s="444">
        <v>7.34</v>
      </c>
      <c r="C27" s="445">
        <v>8.0500000000000007</v>
      </c>
      <c r="D27" s="444">
        <v>14.96</v>
      </c>
      <c r="E27" s="446">
        <v>9.07</v>
      </c>
      <c r="F27" s="447">
        <v>2.6131701470520443E-3</v>
      </c>
      <c r="G27" s="455">
        <v>0.28000000000000114</v>
      </c>
      <c r="H27" s="448">
        <v>3.1854379977247049E-2</v>
      </c>
    </row>
    <row r="28" spans="1:8" ht="30.75" customHeight="1" thickBot="1">
      <c r="A28" s="449" t="s">
        <v>668</v>
      </c>
      <c r="B28" s="450">
        <v>9.4499999999999993</v>
      </c>
      <c r="C28" s="451">
        <v>9.85</v>
      </c>
      <c r="D28" s="450">
        <v>3.98</v>
      </c>
      <c r="E28" s="452">
        <v>8.58</v>
      </c>
      <c r="F28" s="453">
        <v>2.4719955746093209E-3</v>
      </c>
      <c r="G28" s="456">
        <v>0.29000000000000092</v>
      </c>
      <c r="H28" s="454">
        <v>3.4981905910735911E-2</v>
      </c>
    </row>
    <row r="29" spans="1:8" ht="20" customHeight="1">
      <c r="A29" s="189" t="s">
        <v>346</v>
      </c>
      <c r="B29" s="457"/>
      <c r="C29" s="457"/>
      <c r="D29" s="457"/>
      <c r="E29" s="458"/>
      <c r="F29" s="457"/>
    </row>
    <row r="30" spans="1:8" ht="12.75" customHeight="1">
      <c r="A30" s="219"/>
      <c r="B30" s="459"/>
      <c r="C30" s="459"/>
      <c r="D30" s="459"/>
      <c r="E30" s="460"/>
      <c r="F30" s="459"/>
    </row>
    <row r="31" spans="1:8">
      <c r="A31" s="219" t="s">
        <v>669</v>
      </c>
    </row>
    <row r="32" spans="1:8">
      <c r="A32" s="501" t="s">
        <v>713</v>
      </c>
    </row>
    <row r="33" spans="1:1">
      <c r="A33" s="1292" t="s">
        <v>2207</v>
      </c>
    </row>
    <row r="34" spans="1:1">
      <c r="A34" s="461" t="s">
        <v>671</v>
      </c>
    </row>
    <row r="35" spans="1:1">
      <c r="A35" s="461" t="s">
        <v>672</v>
      </c>
    </row>
    <row r="36" spans="1:1">
      <c r="A36" s="461" t="s">
        <v>673</v>
      </c>
    </row>
    <row r="37" spans="1:1">
      <c r="A37" s="461" t="s">
        <v>674</v>
      </c>
    </row>
    <row r="38" spans="1:1">
      <c r="A38" s="461" t="s">
        <v>675</v>
      </c>
    </row>
    <row r="40" spans="1:1">
      <c r="A40" s="3" t="s">
        <v>676</v>
      </c>
    </row>
    <row r="43" spans="1:1">
      <c r="A43" s="3" t="s">
        <v>302</v>
      </c>
    </row>
  </sheetData>
  <pageMargins left="0.59055118110236227" right="0.51181102362204722" top="0.47244094488188981" bottom="0.37" header="0.31496062992125984" footer="0.25"/>
  <pageSetup paperSize="9" scale="70" orientation="landscape" horizontalDpi="1200" verticalDpi="1200"/>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58293-FEF5-5D43-A72B-F8D5462CEFFE}">
  <sheetPr>
    <pageSetUpPr fitToPage="1"/>
  </sheetPr>
  <dimension ref="A1:J38"/>
  <sheetViews>
    <sheetView zoomScaleNormal="100" workbookViewId="0"/>
  </sheetViews>
  <sheetFormatPr baseColWidth="10" defaultColWidth="11.3984375" defaultRowHeight="13"/>
  <cols>
    <col min="1" max="1" width="19.3984375" style="3" customWidth="1"/>
    <col min="2" max="2" width="16.59765625" style="3" customWidth="1"/>
    <col min="3" max="3" width="17.3984375" style="3" customWidth="1"/>
    <col min="4" max="5" width="15.3984375" style="3" customWidth="1"/>
    <col min="6" max="6" width="16.796875" style="3" customWidth="1"/>
    <col min="7" max="7" width="15.59765625" style="3" customWidth="1"/>
    <col min="8" max="16384" width="11.3984375" style="3"/>
  </cols>
  <sheetData>
    <row r="1" spans="1:10" s="1" customFormat="1" ht="14" customHeight="1"/>
    <row r="2" spans="1:10" s="1" customFormat="1" ht="24" customHeight="1">
      <c r="A2" s="311" t="s">
        <v>489</v>
      </c>
      <c r="G2" s="327"/>
    </row>
    <row r="3" spans="1:10" ht="24" customHeight="1">
      <c r="A3" s="224" t="s">
        <v>460</v>
      </c>
      <c r="B3" s="267" t="s">
        <v>446</v>
      </c>
      <c r="C3" s="268" t="s">
        <v>447</v>
      </c>
      <c r="D3" s="267" t="s">
        <v>448</v>
      </c>
      <c r="E3" s="268" t="s">
        <v>449</v>
      </c>
      <c r="F3" s="267" t="s">
        <v>381</v>
      </c>
      <c r="G3" s="305" t="s">
        <v>475</v>
      </c>
    </row>
    <row r="4" spans="1:10" ht="15" customHeight="1">
      <c r="A4" s="269"/>
      <c r="B4" s="270" t="s">
        <v>450</v>
      </c>
      <c r="C4" s="271" t="s">
        <v>451</v>
      </c>
      <c r="D4" s="270" t="s">
        <v>452</v>
      </c>
      <c r="E4" s="272" t="s">
        <v>453</v>
      </c>
      <c r="F4" s="270"/>
      <c r="G4" s="306" t="s">
        <v>476</v>
      </c>
    </row>
    <row r="5" spans="1:10" ht="15" customHeight="1">
      <c r="A5" s="269"/>
      <c r="B5" s="270" t="s">
        <v>454</v>
      </c>
      <c r="C5" s="271" t="s">
        <v>455</v>
      </c>
      <c r="D5" s="270"/>
      <c r="E5" s="272" t="s">
        <v>456</v>
      </c>
      <c r="F5" s="270"/>
      <c r="G5" s="306" t="s">
        <v>477</v>
      </c>
    </row>
    <row r="6" spans="1:10" ht="24" customHeight="1">
      <c r="A6" s="273"/>
      <c r="B6" s="274"/>
      <c r="C6" s="275"/>
      <c r="D6" s="274"/>
      <c r="E6" s="276" t="s">
        <v>2226</v>
      </c>
      <c r="F6" s="274"/>
      <c r="G6" s="307"/>
    </row>
    <row r="7" spans="1:10" ht="1.25" customHeight="1" thickBot="1">
      <c r="A7" s="277">
        <v>1996</v>
      </c>
      <c r="B7" s="278">
        <v>8068.747832</v>
      </c>
      <c r="C7" s="279">
        <v>2578.7974989999998</v>
      </c>
      <c r="D7" s="278">
        <v>25.416930000000001</v>
      </c>
      <c r="E7" s="279">
        <v>107.523248</v>
      </c>
      <c r="F7" s="278">
        <v>10780.485509</v>
      </c>
      <c r="G7" s="308" t="s">
        <v>153</v>
      </c>
    </row>
    <row r="8" spans="1:10" ht="0.75" hidden="1" customHeight="1" thickBot="1">
      <c r="A8" s="280">
        <v>1997</v>
      </c>
      <c r="B8" s="281">
        <v>7130.3436650000003</v>
      </c>
      <c r="C8" s="282">
        <v>3864.390214</v>
      </c>
      <c r="D8" s="281">
        <v>13.596114</v>
      </c>
      <c r="E8" s="282">
        <v>352.16520000000003</v>
      </c>
      <c r="F8" s="281">
        <v>11360.495192</v>
      </c>
      <c r="G8" s="309">
        <v>5.3801814632168828E-2</v>
      </c>
      <c r="H8" s="8"/>
      <c r="I8" s="8"/>
      <c r="J8" s="8"/>
    </row>
    <row r="9" spans="1:10" ht="19.5" hidden="1" customHeight="1" thickBot="1">
      <c r="A9" s="280">
        <v>1998</v>
      </c>
      <c r="B9" s="281">
        <v>7021.0225700000001</v>
      </c>
      <c r="C9" s="282">
        <v>4312.7338319999999</v>
      </c>
      <c r="D9" s="281">
        <v>6.4190870000000002</v>
      </c>
      <c r="E9" s="282">
        <v>586.68436299999996</v>
      </c>
      <c r="F9" s="281">
        <v>11926.859852</v>
      </c>
      <c r="G9" s="309">
        <v>4.9853870841724421E-2</v>
      </c>
    </row>
    <row r="10" spans="1:10" ht="19.75" hidden="1" customHeight="1" thickBot="1">
      <c r="A10" s="280">
        <v>1999</v>
      </c>
      <c r="B10" s="281">
        <v>7777.7143260000003</v>
      </c>
      <c r="C10" s="282">
        <v>3929.1822109999998</v>
      </c>
      <c r="D10" s="281">
        <v>6.4800399999999998</v>
      </c>
      <c r="E10" s="282">
        <v>717.23275599999999</v>
      </c>
      <c r="F10" s="281">
        <v>12430.609334000001</v>
      </c>
      <c r="G10" s="309">
        <v>4.2236555828693498E-2</v>
      </c>
    </row>
    <row r="11" spans="1:10" ht="0.5" hidden="1" customHeight="1" thickBot="1">
      <c r="A11" s="280">
        <v>2000</v>
      </c>
      <c r="B11" s="281">
        <v>8082.7115553000003</v>
      </c>
      <c r="C11" s="282">
        <v>4300.2223146999995</v>
      </c>
      <c r="D11" s="281">
        <v>6.28484658</v>
      </c>
      <c r="E11" s="282">
        <v>801.09118021000006</v>
      </c>
      <c r="F11" s="281">
        <v>13190.30989679</v>
      </c>
      <c r="G11" s="309">
        <v>6.111531159716195E-2</v>
      </c>
    </row>
    <row r="12" spans="1:10" ht="20" hidden="1" customHeight="1" thickBot="1">
      <c r="A12" s="280">
        <v>2001</v>
      </c>
      <c r="B12" s="281">
        <v>8576.2604756000001</v>
      </c>
      <c r="C12" s="282">
        <v>4525.6886304</v>
      </c>
      <c r="D12" s="281">
        <v>7.0934559400000001</v>
      </c>
      <c r="E12" s="282">
        <v>877.22872129999996</v>
      </c>
      <c r="F12" s="281">
        <v>13986.271283239999</v>
      </c>
      <c r="G12" s="309">
        <v>6.0344403784152512E-2</v>
      </c>
    </row>
    <row r="13" spans="1:10" ht="20" hidden="1" customHeight="1" thickBot="1">
      <c r="A13" s="280">
        <v>2002</v>
      </c>
      <c r="B13" s="281">
        <v>8890.6642347999987</v>
      </c>
      <c r="C13" s="282">
        <v>4785.7639721999994</v>
      </c>
      <c r="D13" s="281">
        <v>6.6999405400000001</v>
      </c>
      <c r="E13" s="282">
        <v>909.62889640999992</v>
      </c>
      <c r="F13" s="281">
        <v>14592.757043950001</v>
      </c>
      <c r="G13" s="309">
        <v>4.3362934153634278E-2</v>
      </c>
    </row>
    <row r="14" spans="1:10" ht="20" customHeight="1" thickBot="1">
      <c r="A14" s="280">
        <v>2003</v>
      </c>
      <c r="B14" s="281">
        <v>9320.4810839999991</v>
      </c>
      <c r="C14" s="282">
        <v>5132.6037123000006</v>
      </c>
      <c r="D14" s="281">
        <v>7.0683550799999999</v>
      </c>
      <c r="E14" s="282">
        <v>875.46655299999998</v>
      </c>
      <c r="F14" s="281">
        <v>15335.619704379998</v>
      </c>
      <c r="G14" s="309">
        <v>5.0906258371373338E-2</v>
      </c>
    </row>
    <row r="15" spans="1:10" ht="20" customHeight="1" thickBot="1">
      <c r="A15" s="280">
        <v>2004</v>
      </c>
      <c r="B15" s="281">
        <v>9988.6658920000009</v>
      </c>
      <c r="C15" s="282">
        <v>5289.8342951999994</v>
      </c>
      <c r="D15" s="281">
        <v>7.2944575399999998</v>
      </c>
      <c r="E15" s="282">
        <v>1021.7139006</v>
      </c>
      <c r="F15" s="281">
        <v>16307.508545340002</v>
      </c>
      <c r="G15" s="309">
        <v>6.3374604984656954E-2</v>
      </c>
    </row>
    <row r="16" spans="1:10" ht="20" customHeight="1" thickBot="1">
      <c r="A16" s="280">
        <v>2005</v>
      </c>
      <c r="B16" s="281">
        <v>10948.37887789</v>
      </c>
      <c r="C16" s="282">
        <v>5106.1971250400002</v>
      </c>
      <c r="D16" s="281">
        <v>7.7069186199999997</v>
      </c>
      <c r="E16" s="282">
        <v>1290.43711553</v>
      </c>
      <c r="F16" s="281">
        <v>17352.720037080002</v>
      </c>
      <c r="G16" s="309">
        <v>6.4093879750789812E-2</v>
      </c>
    </row>
    <row r="17" spans="1:7" ht="20" customHeight="1" thickBot="1">
      <c r="A17" s="280">
        <v>2006</v>
      </c>
      <c r="B17" s="281">
        <v>10882.30509285</v>
      </c>
      <c r="C17" s="282">
        <v>4819.3397623999999</v>
      </c>
      <c r="D17" s="281">
        <v>7.6050231300000002</v>
      </c>
      <c r="E17" s="282">
        <v>1854.6657244100002</v>
      </c>
      <c r="F17" s="281">
        <v>17563.915602789999</v>
      </c>
      <c r="G17" s="309">
        <v>1.2170747021717962E-2</v>
      </c>
    </row>
    <row r="18" spans="1:7" ht="20" customHeight="1" thickBot="1">
      <c r="A18" s="280">
        <v>2007</v>
      </c>
      <c r="B18" s="281">
        <v>10974.96309465</v>
      </c>
      <c r="C18" s="282">
        <v>4774.9719946599998</v>
      </c>
      <c r="D18" s="281">
        <v>7.66488031</v>
      </c>
      <c r="E18" s="282">
        <v>2666.0220249899999</v>
      </c>
      <c r="F18" s="281">
        <v>18423.621994609999</v>
      </c>
      <c r="G18" s="309">
        <v>4.8947308291747725E-2</v>
      </c>
    </row>
    <row r="19" spans="1:7" ht="20" customHeight="1" thickBot="1">
      <c r="A19" s="280">
        <v>2008</v>
      </c>
      <c r="B19" s="281">
        <v>11138.471106950001</v>
      </c>
      <c r="C19" s="282">
        <v>4743.4199530100004</v>
      </c>
      <c r="D19" s="281">
        <v>8.7684434000000007</v>
      </c>
      <c r="E19" s="282">
        <v>3540.7977514200002</v>
      </c>
      <c r="F19" s="281">
        <v>19431.457254780002</v>
      </c>
      <c r="G19" s="309">
        <v>5.470342696267072E-2</v>
      </c>
    </row>
    <row r="20" spans="1:7" ht="20" customHeight="1" thickBot="1">
      <c r="A20" s="280">
        <v>2009</v>
      </c>
      <c r="B20" s="281">
        <v>11053.462400930001</v>
      </c>
      <c r="C20" s="282">
        <v>4569.8885413900007</v>
      </c>
      <c r="D20" s="281">
        <v>8.6721991899999988</v>
      </c>
      <c r="E20" s="282">
        <v>4641.8274524099998</v>
      </c>
      <c r="F20" s="281">
        <v>20273.85059392</v>
      </c>
      <c r="G20" s="309">
        <v>4.3352041388083462E-2</v>
      </c>
    </row>
    <row r="21" spans="1:7" ht="20" customHeight="1" thickBot="1">
      <c r="A21" s="280">
        <v>2010</v>
      </c>
      <c r="B21" s="281">
        <v>10500.479477049999</v>
      </c>
      <c r="C21" s="282">
        <v>4179.16763292</v>
      </c>
      <c r="D21" s="281">
        <v>7.3919347100000001</v>
      </c>
      <c r="E21" s="282">
        <v>6196.7078858500008</v>
      </c>
      <c r="F21" s="281">
        <v>20883.74693053</v>
      </c>
      <c r="G21" s="309">
        <v>3.0082905750173694E-2</v>
      </c>
    </row>
    <row r="22" spans="1:7" ht="20" customHeight="1" thickBot="1">
      <c r="A22" s="280">
        <v>2011</v>
      </c>
      <c r="B22" s="281">
        <v>9989.2136328300003</v>
      </c>
      <c r="C22" s="282">
        <v>3809.5485399200002</v>
      </c>
      <c r="D22" s="281">
        <v>7.0775843399999996</v>
      </c>
      <c r="E22" s="282">
        <v>7550.5660808599996</v>
      </c>
      <c r="F22" s="281">
        <v>21356.405837950002</v>
      </c>
      <c r="G22" s="309">
        <v>2.2632859371084502E-2</v>
      </c>
    </row>
    <row r="23" spans="1:7" ht="20" customHeight="1" thickBot="1">
      <c r="A23" s="280">
        <v>2012</v>
      </c>
      <c r="B23" s="281" vm="135">
        <v>9732.7677297289374</v>
      </c>
      <c r="C23" s="282" vm="135">
        <v>3654.07364425689</v>
      </c>
      <c r="D23" s="281" vm="134">
        <v>7.105422459999998</v>
      </c>
      <c r="E23" s="282" vm="134">
        <v>8802.0442917541623</v>
      </c>
      <c r="F23" s="281">
        <v>22195.991088199989</v>
      </c>
      <c r="G23" s="309">
        <v>3.9313040622128259E-2</v>
      </c>
    </row>
    <row r="24" spans="1:7" ht="30" customHeight="1" thickBot="1">
      <c r="A24" s="283">
        <v>2013</v>
      </c>
      <c r="B24" s="284" vm="30">
        <v>9999.2828711700022</v>
      </c>
      <c r="C24" s="285" vm="30">
        <v>3733.3097647199988</v>
      </c>
      <c r="D24" s="284" vm="133">
        <v>7.8925786899999997</v>
      </c>
      <c r="E24" s="285" vm="133">
        <v>10290.937022190003</v>
      </c>
      <c r="F24" s="284">
        <v>24031.422236770006</v>
      </c>
      <c r="G24" s="310">
        <v>8.2692011421187761E-2</v>
      </c>
    </row>
    <row r="25" spans="1:7" ht="20" customHeight="1">
      <c r="A25" s="189" t="s">
        <v>346</v>
      </c>
      <c r="B25" s="189"/>
      <c r="C25" s="189"/>
      <c r="D25" s="189"/>
      <c r="E25" s="189"/>
      <c r="F25" s="189"/>
      <c r="G25" s="189"/>
    </row>
    <row r="26" spans="1:7" ht="16.5" customHeight="1">
      <c r="A26" s="219"/>
      <c r="B26" s="219"/>
      <c r="C26" s="219"/>
      <c r="D26" s="219"/>
      <c r="E26" s="219"/>
      <c r="F26" s="219"/>
      <c r="G26" s="219"/>
    </row>
    <row r="27" spans="1:7">
      <c r="A27" s="219" t="s">
        <v>490</v>
      </c>
    </row>
    <row r="28" spans="1:7">
      <c r="A28" s="1520" t="s">
        <v>2224</v>
      </c>
    </row>
    <row r="30" spans="1:7">
      <c r="A30" s="328" t="s">
        <v>491</v>
      </c>
    </row>
    <row r="31" spans="1:7">
      <c r="A31" s="328" t="s">
        <v>492</v>
      </c>
    </row>
    <row r="32" spans="1:7">
      <c r="A32" s="329" t="s">
        <v>493</v>
      </c>
    </row>
    <row r="35" spans="1:6">
      <c r="A35" s="3" t="s">
        <v>302</v>
      </c>
    </row>
    <row r="37" spans="1:6" ht="14">
      <c r="F37" s="330"/>
    </row>
    <row r="38" spans="1:6" ht="14">
      <c r="F38" s="331"/>
    </row>
  </sheetData>
  <pageMargins left="0.57999999999999996" right="0.61" top="1.01" bottom="0.49" header="0.57999999999999996" footer="0.4921259845"/>
  <pageSetup paperSize="9" scale="77" orientation="portrait" horizontalDpi="4294967292" verticalDpi="4294967292"/>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139CA-4C5B-254D-9FC0-8D9A8B7201BA}">
  <sheetPr>
    <pageSetUpPr fitToPage="1"/>
  </sheetPr>
  <dimension ref="A1:J64"/>
  <sheetViews>
    <sheetView zoomScaleNormal="100" workbookViewId="0"/>
  </sheetViews>
  <sheetFormatPr baseColWidth="10" defaultColWidth="11.3984375" defaultRowHeight="13"/>
  <cols>
    <col min="1" max="1" width="24.19921875" style="3" customWidth="1"/>
    <col min="2" max="2" width="17" style="3" customWidth="1"/>
    <col min="3" max="3" width="16.59765625" style="3" customWidth="1"/>
    <col min="4" max="4" width="19.19921875" style="3" customWidth="1"/>
    <col min="5" max="5" width="16.3984375" style="3" customWidth="1"/>
    <col min="6" max="6" width="20" style="3" customWidth="1"/>
    <col min="7" max="7" width="16.3984375" style="3" customWidth="1"/>
    <col min="8" max="8" width="14.19921875" style="3" customWidth="1"/>
    <col min="9" max="10" width="13.3984375" style="3" customWidth="1"/>
    <col min="11" max="16384" width="11.3984375" style="3"/>
  </cols>
  <sheetData>
    <row r="1" spans="1:10" s="1" customFormat="1" ht="14" customHeight="1"/>
    <row r="2" spans="1:10" s="1" customFormat="1" ht="24.5" customHeight="1">
      <c r="A2" s="2010" t="s">
        <v>2227</v>
      </c>
      <c r="B2" s="2011"/>
      <c r="C2" s="2011"/>
      <c r="D2" s="2011"/>
      <c r="E2" s="2011"/>
      <c r="F2" s="2011"/>
      <c r="G2" s="311"/>
    </row>
    <row r="3" spans="1:10" ht="24" customHeight="1">
      <c r="A3" s="224" t="s">
        <v>1872</v>
      </c>
      <c r="B3" s="267" t="s">
        <v>446</v>
      </c>
      <c r="C3" s="268" t="s">
        <v>447</v>
      </c>
      <c r="D3" s="267" t="s">
        <v>448</v>
      </c>
      <c r="E3" s="268" t="s">
        <v>449</v>
      </c>
      <c r="F3" s="267" t="s">
        <v>498</v>
      </c>
      <c r="G3" s="305" t="s">
        <v>475</v>
      </c>
    </row>
    <row r="4" spans="1:10" ht="15" customHeight="1">
      <c r="A4" s="269"/>
      <c r="B4" s="270" t="s">
        <v>450</v>
      </c>
      <c r="C4" s="271" t="s">
        <v>451</v>
      </c>
      <c r="D4" s="270" t="s">
        <v>452</v>
      </c>
      <c r="E4" s="272" t="s">
        <v>453</v>
      </c>
      <c r="F4" s="270"/>
      <c r="G4" s="306" t="s">
        <v>476</v>
      </c>
    </row>
    <row r="5" spans="1:10" ht="15" customHeight="1">
      <c r="A5" s="269"/>
      <c r="B5" s="270" t="s">
        <v>454</v>
      </c>
      <c r="C5" s="271" t="s">
        <v>455</v>
      </c>
      <c r="D5" s="270"/>
      <c r="E5" s="272" t="s">
        <v>456</v>
      </c>
      <c r="F5" s="270"/>
      <c r="G5" s="306" t="s">
        <v>477</v>
      </c>
    </row>
    <row r="6" spans="1:10" ht="24" customHeight="1">
      <c r="A6" s="227" t="s">
        <v>537</v>
      </c>
      <c r="B6" s="274"/>
      <c r="C6" s="275"/>
      <c r="D6" s="274"/>
      <c r="E6" s="276" t="s">
        <v>2219</v>
      </c>
      <c r="F6" s="274"/>
      <c r="G6" s="405"/>
    </row>
    <row r="7" spans="1:10" ht="1.25" customHeight="1" thickBot="1">
      <c r="A7" s="277">
        <v>1996</v>
      </c>
      <c r="B7" s="287">
        <v>1693.472957927004</v>
      </c>
      <c r="C7" s="288">
        <v>1112.5875100399426</v>
      </c>
      <c r="D7" s="287">
        <v>908.57038606702895</v>
      </c>
      <c r="E7" s="288">
        <v>879.61661091952851</v>
      </c>
      <c r="F7" s="287">
        <v>1490.5270087783663</v>
      </c>
      <c r="G7" s="308" t="s">
        <v>153</v>
      </c>
    </row>
    <row r="8" spans="1:10" ht="0.75" hidden="1" customHeight="1" thickBot="1">
      <c r="A8" s="280">
        <v>1997</v>
      </c>
      <c r="B8" s="289">
        <v>1740.7565036180117</v>
      </c>
      <c r="C8" s="159">
        <v>1408.0072046657929</v>
      </c>
      <c r="D8" s="289">
        <v>1179.3463740854293</v>
      </c>
      <c r="E8" s="159">
        <v>916.51587762677957</v>
      </c>
      <c r="F8" s="289">
        <v>1569.8943852604398</v>
      </c>
      <c r="G8" s="309">
        <v>5.3247862007628349E-2</v>
      </c>
      <c r="H8" s="8"/>
      <c r="I8" s="8"/>
      <c r="J8" s="8"/>
    </row>
    <row r="9" spans="1:10" ht="19.5" hidden="1" customHeight="1" thickBot="1">
      <c r="A9" s="280">
        <v>1998</v>
      </c>
      <c r="B9" s="289">
        <v>1748.6257046580097</v>
      </c>
      <c r="C9" s="159">
        <v>1582.236200997007</v>
      </c>
      <c r="D9" s="289">
        <v>542.85146212992356</v>
      </c>
      <c r="E9" s="159">
        <v>1187.8496276871122</v>
      </c>
      <c r="F9" s="289">
        <v>1645.8523332821831</v>
      </c>
      <c r="G9" s="309">
        <v>4.8384113437759779E-2</v>
      </c>
    </row>
    <row r="10" spans="1:10" ht="22.25" hidden="1" customHeight="1" thickBot="1">
      <c r="A10" s="280">
        <v>1999</v>
      </c>
      <c r="B10" s="289">
        <v>1943.9724380280036</v>
      </c>
      <c r="C10" s="159">
        <v>1446.076835760324</v>
      </c>
      <c r="D10" s="289">
        <v>631.35948452726836</v>
      </c>
      <c r="E10" s="159">
        <v>1322.850287189882</v>
      </c>
      <c r="F10" s="289">
        <v>1709.7272154599079</v>
      </c>
      <c r="G10" s="309">
        <v>3.880960696537377E-2</v>
      </c>
    </row>
    <row r="11" spans="1:10" ht="22.25" hidden="1" customHeight="1" thickBot="1">
      <c r="A11" s="280">
        <v>2000</v>
      </c>
      <c r="B11" s="289">
        <v>2061.7572370412531</v>
      </c>
      <c r="C11" s="159">
        <v>1559.5200327769257</v>
      </c>
      <c r="D11" s="289">
        <v>640.85618858059308</v>
      </c>
      <c r="E11" s="159">
        <v>1386.9243548352326</v>
      </c>
      <c r="F11" s="289">
        <v>1815.5684428845086</v>
      </c>
      <c r="G11" s="309">
        <v>6.1905329965827281E-2</v>
      </c>
    </row>
    <row r="12" spans="1:10" ht="22.5" hidden="1" customHeight="1" thickBot="1">
      <c r="A12" s="280">
        <v>2001</v>
      </c>
      <c r="B12" s="289">
        <v>2215.2521849633595</v>
      </c>
      <c r="C12" s="159">
        <v>1601.456447034876</v>
      </c>
      <c r="D12" s="289">
        <v>761.4942224833801</v>
      </c>
      <c r="E12" s="159">
        <v>1476.0910392091953</v>
      </c>
      <c r="F12" s="289">
        <v>1915.6520340553755</v>
      </c>
      <c r="G12" s="309">
        <v>5.5125209717711163E-2</v>
      </c>
    </row>
    <row r="13" spans="1:10" ht="22.5" hidden="1" customHeight="1" thickBot="1">
      <c r="A13" s="280">
        <v>2002</v>
      </c>
      <c r="B13" s="289">
        <v>2336.5480943488155</v>
      </c>
      <c r="C13" s="159">
        <v>1608.7398764542932</v>
      </c>
      <c r="D13" s="289">
        <v>759.86194884606937</v>
      </c>
      <c r="E13" s="159">
        <v>1636.2590696884934</v>
      </c>
      <c r="F13" s="289">
        <v>1986.8602053785678</v>
      </c>
      <c r="G13" s="309">
        <v>3.7171767135833575E-2</v>
      </c>
    </row>
    <row r="14" spans="1:10" ht="22.5" customHeight="1" thickBot="1">
      <c r="A14" s="280">
        <v>2003</v>
      </c>
      <c r="B14" s="289">
        <v>2543.8057035018146</v>
      </c>
      <c r="C14" s="159">
        <v>1656.5311093343439</v>
      </c>
      <c r="D14" s="289">
        <v>852.25259235500948</v>
      </c>
      <c r="E14" s="159">
        <v>1454.7088463142236</v>
      </c>
      <c r="F14" s="289">
        <v>2080.1097733239922</v>
      </c>
      <c r="G14" s="309">
        <v>4.6933129816074295E-2</v>
      </c>
    </row>
    <row r="15" spans="1:10" ht="22.5" customHeight="1" thickBot="1">
      <c r="A15" s="280">
        <v>2004</v>
      </c>
      <c r="B15" s="289">
        <v>2758.2074827327442</v>
      </c>
      <c r="C15" s="159">
        <v>1757.4292603708973</v>
      </c>
      <c r="D15" s="289">
        <v>905.21341172647249</v>
      </c>
      <c r="E15" s="159">
        <v>1373.0910592494565</v>
      </c>
      <c r="F15" s="289">
        <v>2208.6199102683881</v>
      </c>
      <c r="G15" s="309">
        <v>6.1780459181747037E-2</v>
      </c>
    </row>
    <row r="16" spans="1:10" ht="22.5" customHeight="1" thickBot="1">
      <c r="A16" s="280">
        <v>2005</v>
      </c>
      <c r="B16" s="289">
        <v>3045.7444736931438</v>
      </c>
      <c r="C16" s="159">
        <v>1742.6322440668202</v>
      </c>
      <c r="D16" s="289">
        <v>1002.5097658133579</v>
      </c>
      <c r="E16" s="159">
        <v>1428.4762573055013</v>
      </c>
      <c r="F16" s="289">
        <v>2333.6518397093009</v>
      </c>
      <c r="G16" s="309">
        <v>5.6610885766088748E-2</v>
      </c>
    </row>
    <row r="17" spans="1:7" ht="22.5" customHeight="1" thickBot="1">
      <c r="A17" s="280">
        <v>2006</v>
      </c>
      <c r="B17" s="289">
        <v>3255.1789461574645</v>
      </c>
      <c r="C17" s="159">
        <v>1735.686558346925</v>
      </c>
      <c r="D17" s="289">
        <v>1057.4282552437587</v>
      </c>
      <c r="E17" s="159">
        <v>1372.2570154496282</v>
      </c>
      <c r="F17" s="289">
        <v>2348.6103301629255</v>
      </c>
      <c r="G17" s="309">
        <v>6.409906653208397E-3</v>
      </c>
    </row>
    <row r="18" spans="1:7" ht="22.5" customHeight="1" thickBot="1">
      <c r="A18" s="280">
        <v>2007</v>
      </c>
      <c r="B18" s="289">
        <v>3503.0279381745177</v>
      </c>
      <c r="C18" s="159">
        <v>1860.6542092302925</v>
      </c>
      <c r="D18" s="289">
        <v>1116.1951590251049</v>
      </c>
      <c r="E18" s="159">
        <v>1455.6986782891856</v>
      </c>
      <c r="F18" s="289">
        <v>2444.2340609903572</v>
      </c>
      <c r="G18" s="309">
        <v>4.071502607280042E-2</v>
      </c>
    </row>
    <row r="19" spans="1:7" ht="22.5" customHeight="1" thickBot="1">
      <c r="A19" s="280">
        <v>2008</v>
      </c>
      <c r="B19" s="289">
        <v>3779.2804890017851</v>
      </c>
      <c r="C19" s="159">
        <v>1995.0917014086594</v>
      </c>
      <c r="D19" s="289">
        <v>1346.7554924819322</v>
      </c>
      <c r="E19" s="159">
        <v>1550.0860006459327</v>
      </c>
      <c r="F19" s="289">
        <v>2551.5464001640853</v>
      </c>
      <c r="G19" s="309">
        <v>4.3904281053283034E-2</v>
      </c>
    </row>
    <row r="20" spans="1:7" ht="22.5" customHeight="1" thickBot="1">
      <c r="A20" s="280">
        <v>2009</v>
      </c>
      <c r="B20" s="289">
        <v>4022.2406746329993</v>
      </c>
      <c r="C20" s="159">
        <v>2093.8863767697767</v>
      </c>
      <c r="D20" s="289">
        <v>1408.5627057694212</v>
      </c>
      <c r="E20" s="159">
        <v>1674.5944131607669</v>
      </c>
      <c r="F20" s="289">
        <v>2629.9453520972111</v>
      </c>
      <c r="G20" s="309">
        <v>3.0726053787649699E-2</v>
      </c>
    </row>
    <row r="21" spans="1:7" ht="22.5" customHeight="1" thickBot="1">
      <c r="A21" s="280">
        <v>2010</v>
      </c>
      <c r="B21" s="289">
        <v>4355.9418749750675</v>
      </c>
      <c r="C21" s="159">
        <v>2365.6789656687006</v>
      </c>
      <c r="D21" s="289">
        <v>1299.9711091531651</v>
      </c>
      <c r="E21" s="159">
        <v>1721.2284164085715</v>
      </c>
      <c r="F21" s="289">
        <v>2684.4029573344997</v>
      </c>
      <c r="G21" s="309">
        <v>2.0706744037043201E-2</v>
      </c>
    </row>
    <row r="22" spans="1:7" ht="22.5" customHeight="1" thickBot="1">
      <c r="A22" s="280">
        <v>2011</v>
      </c>
      <c r="B22" s="289">
        <v>4581.455604693796</v>
      </c>
      <c r="C22" s="159">
        <v>2469.5726932898706</v>
      </c>
      <c r="D22" s="289">
        <v>1343.7160852234513</v>
      </c>
      <c r="E22" s="159">
        <v>1826.3512923944886</v>
      </c>
      <c r="F22" s="289">
        <v>2716.1425185588296</v>
      </c>
      <c r="G22" s="309">
        <v>1.1823694776378124E-2</v>
      </c>
    </row>
    <row r="23" spans="1:7" ht="22.5" customHeight="1" thickBot="1">
      <c r="A23" s="280">
        <v>2012</v>
      </c>
      <c r="B23" s="289">
        <v>4815.298597139511</v>
      </c>
      <c r="C23" s="159">
        <v>2629.0668436364158</v>
      </c>
      <c r="D23" s="289">
        <v>1416.5078899082569</v>
      </c>
      <c r="E23" s="159">
        <v>1939.9618307915507</v>
      </c>
      <c r="F23" s="289">
        <v>2790.7698661682102</v>
      </c>
      <c r="G23" s="309">
        <v>2.7475490368958022E-2</v>
      </c>
    </row>
    <row r="24" spans="1:7" ht="22.5" customHeight="1" thickBot="1">
      <c r="A24" s="283">
        <v>2013</v>
      </c>
      <c r="B24" s="290">
        <v>5237.0140819410281</v>
      </c>
      <c r="C24" s="291">
        <v>2887.1164268811067</v>
      </c>
      <c r="D24" s="290">
        <v>1633.811922588872</v>
      </c>
      <c r="E24" s="291">
        <v>2125.9771485180941</v>
      </c>
      <c r="F24" s="290">
        <v>2986.7805605153108</v>
      </c>
      <c r="G24" s="648">
        <v>7.0235348576494383E-2</v>
      </c>
    </row>
    <row r="25" spans="1:7" ht="20" customHeight="1">
      <c r="A25" s="189" t="s">
        <v>346</v>
      </c>
      <c r="B25" s="189"/>
      <c r="C25" s="189"/>
      <c r="D25" s="189"/>
      <c r="E25" s="189"/>
      <c r="F25" s="189"/>
      <c r="G25" s="529"/>
    </row>
    <row r="26" spans="1:7">
      <c r="G26" s="530"/>
    </row>
    <row r="27" spans="1:7">
      <c r="A27" s="3" t="s">
        <v>1889</v>
      </c>
      <c r="G27" s="530"/>
    </row>
    <row r="28" spans="1:7">
      <c r="G28" s="530"/>
    </row>
    <row r="29" spans="1:7">
      <c r="G29" s="530"/>
    </row>
    <row r="30" spans="1:7" ht="18">
      <c r="A30" s="649" t="s">
        <v>1874</v>
      </c>
      <c r="G30" s="530"/>
    </row>
    <row r="31" spans="1:7" ht="9.5" customHeight="1">
      <c r="G31" s="530"/>
    </row>
    <row r="32" spans="1:7" ht="18" customHeight="1">
      <c r="A32" s="224" t="s">
        <v>460</v>
      </c>
      <c r="B32" s="267" t="s">
        <v>495</v>
      </c>
      <c r="C32" s="305" t="s">
        <v>475</v>
      </c>
      <c r="D32" s="267" t="s">
        <v>496</v>
      </c>
      <c r="E32" s="305" t="s">
        <v>475</v>
      </c>
      <c r="F32" s="267" t="s">
        <v>1082</v>
      </c>
      <c r="G32" s="305" t="s">
        <v>475</v>
      </c>
    </row>
    <row r="33" spans="1:7" ht="18" customHeight="1">
      <c r="A33" s="650"/>
      <c r="B33" s="270" t="s">
        <v>499</v>
      </c>
      <c r="C33" s="306" t="s">
        <v>476</v>
      </c>
      <c r="D33" s="270" t="s">
        <v>500</v>
      </c>
      <c r="E33" s="306" t="s">
        <v>476</v>
      </c>
      <c r="F33" s="270" t="s">
        <v>1083</v>
      </c>
      <c r="G33" s="306" t="s">
        <v>476</v>
      </c>
    </row>
    <row r="34" spans="1:7" ht="18" customHeight="1">
      <c r="A34" s="269"/>
      <c r="B34" s="270"/>
      <c r="C34" s="521" t="s">
        <v>477</v>
      </c>
      <c r="D34" s="270"/>
      <c r="E34" s="521" t="s">
        <v>477</v>
      </c>
      <c r="F34" s="270"/>
      <c r="G34" s="521" t="s">
        <v>477</v>
      </c>
    </row>
    <row r="35" spans="1:7" ht="18" customHeight="1">
      <c r="A35" s="273"/>
      <c r="B35" s="274"/>
      <c r="C35" s="275"/>
      <c r="D35" s="274"/>
      <c r="E35" s="276"/>
      <c r="F35" s="274"/>
      <c r="G35" s="471"/>
    </row>
    <row r="36" spans="1:7" ht="1.5" customHeight="1" thickBot="1">
      <c r="A36" s="277">
        <v>1996</v>
      </c>
      <c r="B36" s="287" t="s">
        <v>153</v>
      </c>
      <c r="C36" s="651" t="s">
        <v>153</v>
      </c>
      <c r="D36" s="287" t="s">
        <v>153</v>
      </c>
      <c r="E36" s="651" t="s">
        <v>153</v>
      </c>
      <c r="F36" s="287" t="s">
        <v>153</v>
      </c>
      <c r="G36" s="308" t="s">
        <v>153</v>
      </c>
    </row>
    <row r="37" spans="1:7" ht="0.75" hidden="1" customHeight="1" thickBot="1">
      <c r="A37" s="280">
        <v>1997</v>
      </c>
      <c r="B37" s="289">
        <v>516.05999999999995</v>
      </c>
      <c r="C37" s="309" t="s">
        <v>153</v>
      </c>
      <c r="D37" s="289">
        <v>711.18</v>
      </c>
      <c r="E37" s="309" t="s">
        <v>153</v>
      </c>
      <c r="F37" s="289">
        <v>1971.55</v>
      </c>
      <c r="G37" s="309" t="s">
        <v>153</v>
      </c>
    </row>
    <row r="38" spans="1:7" ht="18" hidden="1" customHeight="1" thickBot="1">
      <c r="A38" s="280">
        <v>1998</v>
      </c>
      <c r="B38" s="289">
        <v>553.5</v>
      </c>
      <c r="C38" s="309">
        <v>7.2549703522846398E-2</v>
      </c>
      <c r="D38" s="289">
        <v>719.91</v>
      </c>
      <c r="E38" s="309">
        <v>1.2275373323209271E-2</v>
      </c>
      <c r="F38" s="289">
        <v>2088.35</v>
      </c>
      <c r="G38" s="309">
        <v>5.9242727802997663E-2</v>
      </c>
    </row>
    <row r="39" spans="1:7" ht="21.5" hidden="1" customHeight="1" thickBot="1">
      <c r="A39" s="280">
        <v>1999</v>
      </c>
      <c r="B39" s="289">
        <v>567.59</v>
      </c>
      <c r="C39" s="309">
        <v>2.5456187895212423E-2</v>
      </c>
      <c r="D39" s="289">
        <v>736.92</v>
      </c>
      <c r="E39" s="309">
        <v>2.3627953494186782E-2</v>
      </c>
      <c r="F39" s="289">
        <v>2180.6999999999998</v>
      </c>
      <c r="G39" s="309">
        <v>4.4221514592860389E-2</v>
      </c>
    </row>
    <row r="40" spans="1:7" ht="0.5" customHeight="1" thickBot="1">
      <c r="A40" s="280">
        <v>2000</v>
      </c>
      <c r="B40" s="289">
        <v>598.9</v>
      </c>
      <c r="C40" s="309">
        <v>5.5163057841047136E-2</v>
      </c>
      <c r="D40" s="289">
        <v>785.84</v>
      </c>
      <c r="E40" s="309">
        <v>6.6384410790859327E-2</v>
      </c>
      <c r="F40" s="289">
        <v>2342.63</v>
      </c>
      <c r="G40" s="309">
        <v>7.4255972852753871E-2</v>
      </c>
    </row>
    <row r="41" spans="1:7" ht="21.75" hidden="1" customHeight="1" thickBot="1">
      <c r="A41" s="280">
        <v>2001</v>
      </c>
      <c r="B41" s="289">
        <v>627.54</v>
      </c>
      <c r="C41" s="309">
        <v>4.7821005176156284E-2</v>
      </c>
      <c r="D41" s="289">
        <v>819.13</v>
      </c>
      <c r="E41" s="309">
        <v>4.2362312939020708E-2</v>
      </c>
      <c r="F41" s="289">
        <v>2469.7199999999998</v>
      </c>
      <c r="G41" s="309">
        <v>5.4250991407093663E-2</v>
      </c>
    </row>
    <row r="42" spans="1:7" ht="21.75" hidden="1" customHeight="1" thickBot="1">
      <c r="A42" s="280">
        <v>2002</v>
      </c>
      <c r="B42" s="289">
        <v>640.73</v>
      </c>
      <c r="C42" s="309">
        <v>2.1018580488893157E-2</v>
      </c>
      <c r="D42" s="289">
        <v>830.8</v>
      </c>
      <c r="E42" s="309">
        <v>1.4246822848632101E-2</v>
      </c>
      <c r="F42" s="289">
        <v>2555.94</v>
      </c>
      <c r="G42" s="309">
        <v>3.4910840095233597E-2</v>
      </c>
    </row>
    <row r="43" spans="1:7" ht="21.75" customHeight="1" thickBot="1">
      <c r="A43" s="280">
        <v>2003</v>
      </c>
      <c r="B43" s="289">
        <v>664.49</v>
      </c>
      <c r="C43" s="309">
        <v>3.7082702542412527E-2</v>
      </c>
      <c r="D43" s="289">
        <v>853.63</v>
      </c>
      <c r="E43" s="309">
        <v>2.7479537794896647E-2</v>
      </c>
      <c r="F43" s="289">
        <v>2671.32</v>
      </c>
      <c r="G43" s="309">
        <v>4.5141904739547822E-2</v>
      </c>
    </row>
    <row r="44" spans="1:7" ht="21.75" customHeight="1" thickBot="1">
      <c r="A44" s="280">
        <v>2004</v>
      </c>
      <c r="B44" s="289">
        <v>701.49</v>
      </c>
      <c r="C44" s="309">
        <v>5.5681801080528004E-2</v>
      </c>
      <c r="D44" s="289">
        <v>875.13</v>
      </c>
      <c r="E44" s="309">
        <v>2.5186556236308499E-2</v>
      </c>
      <c r="F44" s="289">
        <v>2808.86</v>
      </c>
      <c r="G44" s="309">
        <v>5.1487654043693709E-2</v>
      </c>
    </row>
    <row r="45" spans="1:7" ht="21.75" customHeight="1" thickBot="1">
      <c r="A45" s="280">
        <v>2005</v>
      </c>
      <c r="B45" s="289">
        <v>753.97</v>
      </c>
      <c r="C45" s="309">
        <v>7.4812185490883643E-2</v>
      </c>
      <c r="D45" s="289">
        <v>895.43</v>
      </c>
      <c r="E45" s="309">
        <v>2.3196553654885488E-2</v>
      </c>
      <c r="F45" s="289">
        <v>2958.62</v>
      </c>
      <c r="G45" s="309">
        <v>5.3317004051465666E-2</v>
      </c>
    </row>
    <row r="46" spans="1:7" ht="21.75" customHeight="1" thickBot="1">
      <c r="A46" s="280">
        <v>2006</v>
      </c>
      <c r="B46" s="289">
        <v>762.7</v>
      </c>
      <c r="C46" s="309">
        <v>1.1578710028250505E-2</v>
      </c>
      <c r="D46" s="289">
        <v>867.56</v>
      </c>
      <c r="E46" s="309">
        <v>-3.1124711032688213E-2</v>
      </c>
      <c r="F46" s="289">
        <v>2975.82</v>
      </c>
      <c r="G46" s="309">
        <v>5.8135211686529686E-3</v>
      </c>
    </row>
    <row r="47" spans="1:7" ht="21.75" customHeight="1" thickBot="1">
      <c r="A47" s="280">
        <v>2007</v>
      </c>
      <c r="B47" s="289">
        <v>809.38</v>
      </c>
      <c r="C47" s="309">
        <v>6.1203618722957875E-2</v>
      </c>
      <c r="D47" s="289">
        <v>881.58</v>
      </c>
      <c r="E47" s="309">
        <v>1.6160265572410015E-2</v>
      </c>
      <c r="F47" s="289">
        <v>3081.72</v>
      </c>
      <c r="G47" s="309">
        <v>3.5586829848579526E-2</v>
      </c>
    </row>
    <row r="48" spans="1:7" ht="21.75" customHeight="1" thickBot="1">
      <c r="A48" s="280">
        <v>2008</v>
      </c>
      <c r="B48" s="289">
        <v>835.51</v>
      </c>
      <c r="C48" s="309">
        <v>3.2283970446514543E-2</v>
      </c>
      <c r="D48" s="289">
        <v>915.3</v>
      </c>
      <c r="E48" s="309">
        <v>3.8249506567753278E-2</v>
      </c>
      <c r="F48" s="289">
        <v>3203.6</v>
      </c>
      <c r="G48" s="309">
        <v>3.9549342574925817E-2</v>
      </c>
    </row>
    <row r="49" spans="1:7" ht="21.75" customHeight="1" thickBot="1">
      <c r="A49" s="280">
        <v>2009</v>
      </c>
      <c r="B49" s="289">
        <v>865.61555000898773</v>
      </c>
      <c r="C49" s="309">
        <v>3.603254300844716E-2</v>
      </c>
      <c r="D49" s="289">
        <v>949.75755898656007</v>
      </c>
      <c r="E49" s="309">
        <v>3.7646191397967987E-2</v>
      </c>
      <c r="F49" s="289">
        <v>3306.4958915508864</v>
      </c>
      <c r="G49" s="309">
        <v>3.2118832423176036E-2</v>
      </c>
    </row>
    <row r="50" spans="1:7" ht="21.75" customHeight="1" thickBot="1">
      <c r="A50" s="280">
        <v>2010</v>
      </c>
      <c r="B50" s="289">
        <v>868.29367891662014</v>
      </c>
      <c r="C50" s="309">
        <v>3.0939011061026367E-3</v>
      </c>
      <c r="D50" s="289">
        <v>1007.5237667050255</v>
      </c>
      <c r="E50" s="309">
        <v>6.0822056294139948E-2</v>
      </c>
      <c r="F50" s="289">
        <v>3366.6352662663126</v>
      </c>
      <c r="G50" s="309">
        <v>1.8188250246764515E-2</v>
      </c>
    </row>
    <row r="51" spans="1:7" ht="21.75" customHeight="1" thickBot="1">
      <c r="A51" s="280">
        <v>2011</v>
      </c>
      <c r="B51" s="289">
        <v>888.07828191465956</v>
      </c>
      <c r="C51" s="309">
        <v>2.2785612147637524E-2</v>
      </c>
      <c r="D51" s="289">
        <v>968.30193982533649</v>
      </c>
      <c r="E51" s="309">
        <v>-3.8928934657252667E-2</v>
      </c>
      <c r="F51" s="289">
        <v>3403.1378773997608</v>
      </c>
      <c r="G51" s="309">
        <v>1.084246086863172E-2</v>
      </c>
    </row>
    <row r="52" spans="1:7" ht="21.75" customHeight="1" thickBot="1">
      <c r="A52" s="280">
        <v>2012</v>
      </c>
      <c r="B52" s="289">
        <v>931.31378309197351</v>
      </c>
      <c r="C52" s="309">
        <v>4.8684335669261003E-2</v>
      </c>
      <c r="D52" s="289">
        <v>1025.5098035210483</v>
      </c>
      <c r="E52" s="309">
        <v>5.908060424420003E-2</v>
      </c>
      <c r="F52" s="289">
        <v>3480.935299527302</v>
      </c>
      <c r="G52" s="309">
        <v>2.2860496674023789E-2</v>
      </c>
    </row>
    <row r="53" spans="1:7" ht="24.5" customHeight="1" thickBot="1">
      <c r="A53" s="652">
        <v>2013</v>
      </c>
      <c r="B53" s="619">
        <v>1015.0984010650361</v>
      </c>
      <c r="C53" s="648">
        <v>8.9963897769124168E-2</v>
      </c>
      <c r="D53" s="619">
        <v>1107.6824754299328</v>
      </c>
      <c r="E53" s="648">
        <v>8.0128606890687681E-2</v>
      </c>
      <c r="F53" s="619">
        <v>3711.816288540565</v>
      </c>
      <c r="G53" s="648">
        <v>6.6327285383504853E-2</v>
      </c>
    </row>
    <row r="54" spans="1:7" ht="15" customHeight="1">
      <c r="A54" s="189" t="s">
        <v>346</v>
      </c>
    </row>
    <row r="56" spans="1:7">
      <c r="A56" s="219" t="s">
        <v>1890</v>
      </c>
    </row>
    <row r="58" spans="1:7">
      <c r="A58" s="219" t="s">
        <v>490</v>
      </c>
    </row>
    <row r="59" spans="1:7">
      <c r="A59" s="3" t="s">
        <v>1891</v>
      </c>
    </row>
    <row r="60" spans="1:7">
      <c r="A60" s="3" t="s">
        <v>1892</v>
      </c>
    </row>
    <row r="61" spans="1:7">
      <c r="A61" s="247" t="s">
        <v>2221</v>
      </c>
    </row>
    <row r="64" spans="1:7">
      <c r="A64" s="3" t="s">
        <v>302</v>
      </c>
    </row>
  </sheetData>
  <mergeCells count="1">
    <mergeCell ref="A2:F2"/>
  </mergeCells>
  <pageMargins left="0.37" right="0.31" top="0.47244094488188981" bottom="0.47244094488188981" header="0.35433070866141736" footer="0.51181102362204722"/>
  <pageSetup paperSize="9" scale="68" orientation="portrait" horizontalDpi="1200" verticalDpi="1200"/>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BDF5A-1348-DC4E-9681-240D14F0FD82}">
  <sheetPr>
    <pageSetUpPr fitToPage="1"/>
  </sheetPr>
  <dimension ref="A1:I20"/>
  <sheetViews>
    <sheetView zoomScaleNormal="100" workbookViewId="0"/>
  </sheetViews>
  <sheetFormatPr baseColWidth="10" defaultColWidth="11.3984375" defaultRowHeight="13"/>
  <cols>
    <col min="1" max="1" width="32.3984375" style="3" customWidth="1"/>
    <col min="2" max="2" width="16.3984375" style="3" customWidth="1"/>
    <col min="3" max="3" width="17.3984375" style="3" customWidth="1"/>
    <col min="4" max="4" width="17.19921875" style="3" customWidth="1"/>
    <col min="5" max="5" width="18.19921875" style="3" customWidth="1"/>
    <col min="6" max="6" width="14.796875" style="3" customWidth="1"/>
    <col min="7" max="7" width="15.796875" style="3" customWidth="1"/>
    <col min="8" max="8" width="11.3984375" style="3"/>
    <col min="9" max="9" width="15.796875" style="3" hidden="1" customWidth="1"/>
    <col min="10" max="16384" width="11.3984375" style="3"/>
  </cols>
  <sheetData>
    <row r="1" spans="1:9" ht="14" customHeight="1">
      <c r="A1" s="198"/>
      <c r="B1" s="219"/>
      <c r="C1" s="219"/>
      <c r="D1" s="219"/>
      <c r="E1" s="219"/>
      <c r="F1" s="219"/>
      <c r="G1" s="219"/>
      <c r="I1" s="219"/>
    </row>
    <row r="2" spans="1:9" ht="24" customHeight="1">
      <c r="A2" s="125" t="s">
        <v>2229</v>
      </c>
      <c r="B2" s="360"/>
      <c r="C2" s="360"/>
      <c r="D2" s="360"/>
      <c r="E2" s="360"/>
      <c r="F2" s="360"/>
      <c r="G2" s="327">
        <v>2013</v>
      </c>
      <c r="I2" s="219"/>
    </row>
    <row r="3" spans="1:9" ht="24" customHeight="1">
      <c r="A3" s="224" t="s">
        <v>2228</v>
      </c>
      <c r="B3" s="267" t="s">
        <v>644</v>
      </c>
      <c r="C3" s="268" t="s">
        <v>645</v>
      </c>
      <c r="D3" s="267" t="s">
        <v>495</v>
      </c>
      <c r="E3" s="268" t="s">
        <v>381</v>
      </c>
      <c r="F3" s="267" t="s">
        <v>646</v>
      </c>
      <c r="G3" s="305" t="s">
        <v>475</v>
      </c>
      <c r="I3" s="268" t="s">
        <v>381</v>
      </c>
    </row>
    <row r="4" spans="1:9" ht="15" customHeight="1">
      <c r="A4" s="269"/>
      <c r="B4" s="270"/>
      <c r="C4" s="271"/>
      <c r="D4" s="270"/>
      <c r="E4" s="272"/>
      <c r="F4" s="270" t="s">
        <v>597</v>
      </c>
      <c r="G4" s="306" t="s">
        <v>476</v>
      </c>
      <c r="I4" s="272">
        <v>1999</v>
      </c>
    </row>
    <row r="5" spans="1:9" ht="15" customHeight="1">
      <c r="A5" s="306"/>
      <c r="B5" s="270"/>
      <c r="C5" s="271"/>
      <c r="D5" s="270"/>
      <c r="E5" s="271"/>
      <c r="F5" s="270" t="s">
        <v>647</v>
      </c>
      <c r="G5" s="306" t="s">
        <v>477</v>
      </c>
      <c r="I5" s="271"/>
    </row>
    <row r="6" spans="1:9" ht="24" customHeight="1">
      <c r="A6" s="228"/>
      <c r="B6" s="544"/>
      <c r="C6" s="545"/>
      <c r="D6" s="544"/>
      <c r="E6" s="545"/>
      <c r="F6" s="274"/>
      <c r="G6" s="307"/>
      <c r="I6" s="545"/>
    </row>
    <row r="7" spans="1:9" ht="36" customHeight="1" thickBot="1">
      <c r="A7" s="560" t="s">
        <v>986</v>
      </c>
      <c r="B7" s="370">
        <v>4268128359.9499998</v>
      </c>
      <c r="C7" s="371">
        <v>6023639057.0600004</v>
      </c>
      <c r="D7" s="370">
        <v>655687297.02999997</v>
      </c>
      <c r="E7" s="371">
        <v>10947454714.040001</v>
      </c>
      <c r="F7" s="547">
        <v>0.39200969222324772</v>
      </c>
      <c r="G7" s="308">
        <v>2.3679980985795483E-2</v>
      </c>
      <c r="I7" s="565">
        <v>6794064715</v>
      </c>
    </row>
    <row r="8" spans="1:9" ht="31.5" customHeight="1" thickBot="1">
      <c r="A8" s="560" t="s">
        <v>987</v>
      </c>
      <c r="B8" s="370">
        <v>2035481302.0899999</v>
      </c>
      <c r="C8" s="371">
        <v>2489199162.8800001</v>
      </c>
      <c r="D8" s="370">
        <v>47379004.939999998</v>
      </c>
      <c r="E8" s="371">
        <v>4572059469.9099998</v>
      </c>
      <c r="F8" s="547">
        <v>0.16371765606184316</v>
      </c>
      <c r="G8" s="308">
        <v>1.2174896255300582E-2</v>
      </c>
      <c r="I8" s="565">
        <v>5396193285</v>
      </c>
    </row>
    <row r="9" spans="1:9" ht="33" customHeight="1" thickBot="1">
      <c r="A9" s="560" t="s">
        <v>988</v>
      </c>
      <c r="B9" s="370">
        <v>5283207.75</v>
      </c>
      <c r="C9" s="371">
        <v>3836315.47</v>
      </c>
      <c r="D9" s="370">
        <v>7328.3</v>
      </c>
      <c r="E9" s="371">
        <v>9126851.5200000014</v>
      </c>
      <c r="F9" s="547">
        <v>3.2681699525406309E-4</v>
      </c>
      <c r="G9" s="308">
        <v>9.8488496641596424E-2</v>
      </c>
      <c r="I9" s="565">
        <v>15330070</v>
      </c>
    </row>
    <row r="10" spans="1:9" ht="34.5" customHeight="1" thickBot="1">
      <c r="A10" s="560" t="s">
        <v>1005</v>
      </c>
      <c r="B10" s="370">
        <v>4716670620.5500002</v>
      </c>
      <c r="C10" s="371">
        <v>6692808684.5799999</v>
      </c>
      <c r="D10" s="370">
        <v>988369568.27999997</v>
      </c>
      <c r="E10" s="371">
        <v>12397848873.410002</v>
      </c>
      <c r="F10" s="547">
        <v>0.44394583472108762</v>
      </c>
      <c r="G10" s="308">
        <v>0.16066913226469529</v>
      </c>
      <c r="I10" s="565">
        <v>828254703</v>
      </c>
    </row>
    <row r="11" spans="1:9" s="185" customFormat="1" ht="38.25" customHeight="1" thickBot="1">
      <c r="A11" s="554" t="s">
        <v>381</v>
      </c>
      <c r="B11" s="555">
        <v>11025563490.309999</v>
      </c>
      <c r="C11" s="556">
        <v>15209483219.959999</v>
      </c>
      <c r="D11" s="555">
        <v>1691443198.5699999</v>
      </c>
      <c r="E11" s="556">
        <v>27926489908.839996</v>
      </c>
      <c r="F11" s="1282">
        <v>1</v>
      </c>
      <c r="G11" s="567">
        <v>7.8191721037285417E-2</v>
      </c>
      <c r="I11" s="568">
        <v>13033842773</v>
      </c>
    </row>
    <row r="12" spans="1:9" ht="19.5" customHeight="1">
      <c r="A12" s="189" t="s">
        <v>346</v>
      </c>
      <c r="B12" s="189"/>
      <c r="C12" s="189"/>
      <c r="D12" s="189"/>
      <c r="E12" s="189"/>
      <c r="F12" s="189"/>
      <c r="G12" s="189"/>
      <c r="I12" s="189"/>
    </row>
    <row r="14" spans="1:9">
      <c r="A14" s="3" t="s">
        <v>1893</v>
      </c>
    </row>
    <row r="16" spans="1:9">
      <c r="A16" s="219" t="s">
        <v>542</v>
      </c>
    </row>
    <row r="17" spans="1:1">
      <c r="A17" s="247" t="s">
        <v>2224</v>
      </c>
    </row>
    <row r="20" spans="1:1">
      <c r="A20" s="3" t="s">
        <v>302</v>
      </c>
    </row>
  </sheetData>
  <pageMargins left="0.59055118110236227" right="0.62992125984251968" top="1.0236220472440944" bottom="0.47244094488188981" header="0.59055118110236227" footer="0.51181102362204722"/>
  <pageSetup paperSize="9" scale="67" orientation="portrait" horizontalDpi="4294967292" verticalDpi="4294967292"/>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8695-6527-6640-92ED-D105DAC380A4}">
  <sheetPr>
    <pageSetUpPr fitToPage="1"/>
  </sheetPr>
  <dimension ref="A1:G52"/>
  <sheetViews>
    <sheetView zoomScaleNormal="100" workbookViewId="0">
      <selection activeCell="A19" sqref="A19"/>
    </sheetView>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1" customFormat="1" ht="14" customHeight="1">
      <c r="A1" s="191"/>
      <c r="B1" s="191"/>
      <c r="C1" s="191"/>
      <c r="D1" s="191"/>
      <c r="E1" s="191"/>
      <c r="F1" s="191"/>
    </row>
    <row r="2" spans="1:7" s="1" customFormat="1" ht="20.25" customHeight="1">
      <c r="A2" s="464" t="s">
        <v>1616</v>
      </c>
      <c r="B2" s="464"/>
      <c r="C2" s="191"/>
      <c r="D2" s="191"/>
      <c r="E2" s="191"/>
      <c r="F2" s="569">
        <v>2013</v>
      </c>
      <c r="G2" s="569"/>
    </row>
    <row r="3" spans="1:7" s="1" customFormat="1" ht="6" customHeight="1">
      <c r="A3" s="570"/>
      <c r="B3" s="570"/>
      <c r="C3" s="571"/>
      <c r="D3" s="571"/>
      <c r="E3" s="571"/>
      <c r="F3" s="571"/>
      <c r="G3" s="198"/>
    </row>
    <row r="4" spans="1:7" s="1" customFormat="1" ht="81.75" customHeight="1">
      <c r="A4" s="572" t="s">
        <v>1008</v>
      </c>
      <c r="B4" s="573"/>
      <c r="C4" s="1088" t="s">
        <v>1009</v>
      </c>
      <c r="D4" s="576" t="s">
        <v>1010</v>
      </c>
      <c r="E4" s="1088" t="s">
        <v>1011</v>
      </c>
      <c r="F4" s="576" t="s">
        <v>498</v>
      </c>
    </row>
    <row r="5" spans="1:7" ht="8.25" customHeight="1">
      <c r="A5" s="577"/>
      <c r="B5" s="578"/>
      <c r="C5" s="545"/>
      <c r="D5" s="544"/>
      <c r="E5" s="545"/>
      <c r="F5" s="544"/>
    </row>
    <row r="6" spans="1:7" ht="47.25" customHeight="1" thickBot="1">
      <c r="A6" s="579" t="s">
        <v>1012</v>
      </c>
      <c r="B6" s="580" t="s">
        <v>1013</v>
      </c>
      <c r="C6" s="581">
        <v>95.928449445652902</v>
      </c>
      <c r="D6" s="389">
        <v>364.42810116167772</v>
      </c>
      <c r="E6" s="581">
        <v>664.2447520672381</v>
      </c>
      <c r="F6" s="389">
        <v>491.76886053952586</v>
      </c>
    </row>
    <row r="7" spans="1:7" ht="19.5" customHeight="1" thickBot="1">
      <c r="A7" s="234"/>
      <c r="B7" s="582"/>
      <c r="C7" s="583"/>
      <c r="D7" s="584"/>
      <c r="E7" s="583"/>
      <c r="F7" s="584"/>
    </row>
    <row r="8" spans="1:7" ht="21" customHeight="1" thickBot="1">
      <c r="A8" s="585" t="s">
        <v>1014</v>
      </c>
      <c r="B8" s="586" t="s">
        <v>1015</v>
      </c>
      <c r="C8" s="583">
        <v>172.72526540657185</v>
      </c>
      <c r="D8" s="584">
        <v>422.81736469357406</v>
      </c>
      <c r="E8" s="583">
        <v>735.62243196936436</v>
      </c>
      <c r="F8" s="584">
        <v>726.80034320971504</v>
      </c>
    </row>
    <row r="9" spans="1:7" ht="20" customHeight="1" thickBot="1">
      <c r="A9" s="587" t="s">
        <v>1016</v>
      </c>
      <c r="B9" s="586" t="s">
        <v>1017</v>
      </c>
      <c r="C9" s="583">
        <v>231.47394050772584</v>
      </c>
      <c r="D9" s="584">
        <v>476.54849239466955</v>
      </c>
      <c r="E9" s="583">
        <v>721.20254864338312</v>
      </c>
      <c r="F9" s="584">
        <v>641.7497969474332</v>
      </c>
    </row>
    <row r="10" spans="1:7" ht="20" customHeight="1" thickBot="1">
      <c r="A10" s="587" t="s">
        <v>1018</v>
      </c>
      <c r="B10" s="586" t="s">
        <v>1019</v>
      </c>
      <c r="C10" s="583">
        <v>268.85582251975768</v>
      </c>
      <c r="D10" s="584">
        <v>424.32853377009519</v>
      </c>
      <c r="E10" s="583">
        <v>677.71970436737956</v>
      </c>
      <c r="F10" s="584">
        <v>651.52725504104774</v>
      </c>
    </row>
    <row r="11" spans="1:7" ht="20" customHeight="1" thickBot="1">
      <c r="A11" s="587"/>
      <c r="B11" s="586" t="s">
        <v>1020</v>
      </c>
      <c r="C11" s="583">
        <v>269.14009889549396</v>
      </c>
      <c r="D11" s="584">
        <v>424.69608683151239</v>
      </c>
      <c r="E11" s="583">
        <v>600.73573156609541</v>
      </c>
      <c r="F11" s="584">
        <v>521.22184846976006</v>
      </c>
    </row>
    <row r="12" spans="1:7" ht="20" customHeight="1" thickBot="1">
      <c r="A12" s="587"/>
      <c r="B12" s="586" t="s">
        <v>1021</v>
      </c>
      <c r="C12" s="583">
        <v>282.0375093101722</v>
      </c>
      <c r="D12" s="584">
        <v>487.72779460450562</v>
      </c>
      <c r="E12" s="583">
        <v>593.90682867479575</v>
      </c>
      <c r="F12" s="584">
        <v>577.77508890500292</v>
      </c>
    </row>
    <row r="13" spans="1:7" ht="20" customHeight="1" thickBot="1">
      <c r="A13" s="587"/>
      <c r="B13" s="586" t="s">
        <v>1022</v>
      </c>
      <c r="C13" s="583">
        <v>256.1864123537764</v>
      </c>
      <c r="D13" s="390" t="s">
        <v>153</v>
      </c>
      <c r="E13" s="588" t="s">
        <v>153</v>
      </c>
      <c r="F13" s="584">
        <v>256.1864123537764</v>
      </c>
    </row>
    <row r="14" spans="1:7" ht="20" customHeight="1" thickBot="1">
      <c r="A14" s="589"/>
      <c r="B14" s="586" t="s">
        <v>381</v>
      </c>
      <c r="C14" s="583">
        <v>252.75401097317197</v>
      </c>
      <c r="D14" s="584">
        <v>457.02484573525345</v>
      </c>
      <c r="E14" s="583">
        <v>682.03490463619084</v>
      </c>
      <c r="F14" s="584">
        <v>653.82336372798909</v>
      </c>
    </row>
    <row r="15" spans="1:7" ht="18.75" customHeight="1" thickBot="1">
      <c r="A15" s="509"/>
      <c r="B15" s="590"/>
      <c r="C15" s="583"/>
      <c r="D15" s="584"/>
      <c r="E15" s="583"/>
      <c r="F15" s="584"/>
    </row>
    <row r="16" spans="1:7" ht="20" customHeight="1" thickBot="1">
      <c r="A16" s="509" t="s">
        <v>988</v>
      </c>
      <c r="B16" s="590"/>
      <c r="C16" s="583">
        <v>39.144444444444446</v>
      </c>
      <c r="D16" s="584">
        <v>238.27123920465957</v>
      </c>
      <c r="E16" s="583">
        <v>256.67049488145125</v>
      </c>
      <c r="F16" s="584">
        <v>255.48070621404605</v>
      </c>
    </row>
    <row r="17" spans="1:6" ht="20.25" customHeight="1" thickBot="1">
      <c r="A17" s="509"/>
      <c r="B17" s="590"/>
      <c r="C17" s="583"/>
      <c r="D17" s="584"/>
      <c r="E17" s="583"/>
      <c r="F17" s="584"/>
    </row>
    <row r="18" spans="1:6" ht="58.5" customHeight="1" thickBot="1">
      <c r="A18" s="585" t="s">
        <v>1157</v>
      </c>
      <c r="B18" s="586" t="s">
        <v>1013</v>
      </c>
      <c r="C18" s="583">
        <v>83.170098312267498</v>
      </c>
      <c r="D18" s="584">
        <v>346.86426767254358</v>
      </c>
      <c r="E18" s="583">
        <v>578.83039726034951</v>
      </c>
      <c r="F18" s="584">
        <v>373.32798798802219</v>
      </c>
    </row>
    <row r="19" spans="1:6" ht="20" customHeight="1" thickBot="1">
      <c r="A19" s="354"/>
      <c r="B19" s="586" t="s">
        <v>1015</v>
      </c>
      <c r="C19" s="583">
        <v>732.17724549568732</v>
      </c>
      <c r="D19" s="584">
        <v>403.97416879928846</v>
      </c>
      <c r="E19" s="583">
        <v>609.57624551931485</v>
      </c>
      <c r="F19" s="584">
        <v>595.85455911220492</v>
      </c>
    </row>
    <row r="20" spans="1:6" ht="20" customHeight="1" thickBot="1">
      <c r="A20" s="354"/>
      <c r="B20" s="586" t="s">
        <v>1017</v>
      </c>
      <c r="C20" s="583">
        <v>205.75281511136276</v>
      </c>
      <c r="D20" s="584">
        <v>408.48411463397946</v>
      </c>
      <c r="E20" s="583">
        <v>581.84084318170483</v>
      </c>
      <c r="F20" s="584">
        <v>537.18890978169361</v>
      </c>
    </row>
    <row r="21" spans="1:6" ht="20" customHeight="1" thickBot="1">
      <c r="A21" s="354"/>
      <c r="B21" s="586" t="s">
        <v>1019</v>
      </c>
      <c r="C21" s="583">
        <v>212.34876679395393</v>
      </c>
      <c r="D21" s="584">
        <v>386.60992642352295</v>
      </c>
      <c r="E21" s="583">
        <v>545.47651991448276</v>
      </c>
      <c r="F21" s="584">
        <v>518.46089946835127</v>
      </c>
    </row>
    <row r="22" spans="1:6" ht="20" customHeight="1" thickBot="1">
      <c r="A22" s="354"/>
      <c r="B22" s="586" t="s">
        <v>1020</v>
      </c>
      <c r="C22" s="583">
        <v>213.44288195574529</v>
      </c>
      <c r="D22" s="584">
        <v>357.17441109480257</v>
      </c>
      <c r="E22" s="583">
        <v>474.96526691363442</v>
      </c>
      <c r="F22" s="584">
        <v>437.765342000614</v>
      </c>
    </row>
    <row r="23" spans="1:6" ht="20" customHeight="1" thickBot="1">
      <c r="A23" s="354"/>
      <c r="B23" s="586" t="s">
        <v>1021</v>
      </c>
      <c r="C23" s="583">
        <v>233.34975788930294</v>
      </c>
      <c r="D23" s="584">
        <v>337.38006512525862</v>
      </c>
      <c r="E23" s="583">
        <v>433.52112710738072</v>
      </c>
      <c r="F23" s="584">
        <v>419.63958295332912</v>
      </c>
    </row>
    <row r="24" spans="1:6" ht="20" customHeight="1" thickBot="1">
      <c r="A24" s="354"/>
      <c r="B24" s="586" t="s">
        <v>1022</v>
      </c>
      <c r="C24" s="583">
        <v>235.90866032341137</v>
      </c>
      <c r="D24" s="390" t="s">
        <v>153</v>
      </c>
      <c r="E24" s="588" t="s">
        <v>153</v>
      </c>
      <c r="F24" s="584">
        <v>235.90866032341137</v>
      </c>
    </row>
    <row r="25" spans="1:6" ht="20" customHeight="1" thickBot="1">
      <c r="A25" s="354"/>
      <c r="B25" s="586" t="s">
        <v>1024</v>
      </c>
      <c r="C25" s="583">
        <v>95.322928297147882</v>
      </c>
      <c r="D25" s="584">
        <v>362.28348076491199</v>
      </c>
      <c r="E25" s="583">
        <v>541.58149180458054</v>
      </c>
      <c r="F25" s="584">
        <v>436.03486312035335</v>
      </c>
    </row>
    <row r="26" spans="1:6" ht="39.75" customHeight="1" thickBot="1">
      <c r="A26" s="591"/>
      <c r="B26" s="592" t="s">
        <v>1025</v>
      </c>
      <c r="C26" s="593">
        <v>104.90497164916574</v>
      </c>
      <c r="D26" s="594">
        <v>394.68690359114999</v>
      </c>
      <c r="E26" s="593">
        <v>532.05180872347148</v>
      </c>
      <c r="F26" s="594">
        <v>432.17336360619964</v>
      </c>
    </row>
    <row r="27" spans="1:6" ht="45" customHeight="1" thickBot="1">
      <c r="A27" s="591"/>
      <c r="B27" s="595" t="s">
        <v>1026</v>
      </c>
      <c r="C27" s="593">
        <v>99.198585229927588</v>
      </c>
      <c r="D27" s="594">
        <v>370.88098623344439</v>
      </c>
      <c r="E27" s="593">
        <v>578.20214052360598</v>
      </c>
      <c r="F27" s="594">
        <v>465.46488606849056</v>
      </c>
    </row>
    <row r="28" spans="1:6" ht="45" customHeight="1" thickBot="1">
      <c r="A28" s="596"/>
      <c r="B28" s="595" t="s">
        <v>1027</v>
      </c>
      <c r="C28" s="593">
        <v>238.65043929063788</v>
      </c>
      <c r="D28" s="594">
        <v>372.6264206860472</v>
      </c>
      <c r="E28" s="593">
        <v>519.60568560025524</v>
      </c>
      <c r="F28" s="594">
        <v>494.50784164167027</v>
      </c>
    </row>
    <row r="29" spans="1:6" ht="15.75" customHeight="1" thickBot="1">
      <c r="A29" s="597"/>
      <c r="B29" s="598"/>
      <c r="C29" s="583"/>
      <c r="D29" s="584"/>
      <c r="E29" s="583"/>
      <c r="F29" s="584"/>
    </row>
    <row r="30" spans="1:6" ht="27.75" customHeight="1" thickBot="1">
      <c r="A30" s="599" t="s">
        <v>1028</v>
      </c>
      <c r="B30" s="600"/>
      <c r="C30" s="601">
        <v>100.58162166395027</v>
      </c>
      <c r="D30" s="602">
        <v>372.41584168949754</v>
      </c>
      <c r="E30" s="601">
        <v>596.10545075594234</v>
      </c>
      <c r="F30" s="602">
        <v>484.10419859321894</v>
      </c>
    </row>
    <row r="31" spans="1:6" ht="15.75" customHeight="1">
      <c r="A31" s="461" t="s">
        <v>346</v>
      </c>
      <c r="B31" s="461"/>
      <c r="C31" s="461"/>
      <c r="D31" s="461"/>
      <c r="E31" s="461"/>
      <c r="F31" s="461"/>
    </row>
    <row r="32" spans="1:6" ht="13.5" customHeight="1">
      <c r="A32" s="367"/>
      <c r="B32" s="367"/>
      <c r="C32" s="461"/>
      <c r="D32" s="461"/>
      <c r="E32" s="461"/>
      <c r="F32" s="461"/>
    </row>
    <row r="33" spans="1:6" ht="13.5" customHeight="1">
      <c r="A33" s="461" t="s">
        <v>1617</v>
      </c>
      <c r="B33" s="461"/>
      <c r="C33" s="461"/>
      <c r="D33" s="461"/>
      <c r="E33" s="461"/>
      <c r="F33" s="461"/>
    </row>
    <row r="34" spans="1:6" ht="16.5" customHeight="1">
      <c r="A34" s="461"/>
      <c r="B34" s="461"/>
      <c r="C34" s="461"/>
      <c r="D34" s="461"/>
      <c r="E34" s="461"/>
      <c r="F34" s="461"/>
    </row>
    <row r="35" spans="1:6" ht="12" customHeight="1">
      <c r="A35" s="461" t="s">
        <v>1030</v>
      </c>
      <c r="B35" s="461"/>
      <c r="C35" s="63"/>
      <c r="D35" s="63"/>
      <c r="E35" s="63"/>
      <c r="F35" s="63"/>
    </row>
    <row r="36" spans="1:6" ht="12" customHeight="1">
      <c r="A36" s="219" t="s">
        <v>1031</v>
      </c>
      <c r="B36" s="219"/>
    </row>
    <row r="37" spans="1:6" ht="12" customHeight="1">
      <c r="A37" s="219" t="s">
        <v>1618</v>
      </c>
      <c r="B37" s="219"/>
    </row>
    <row r="38" spans="1:6" ht="12" customHeight="1">
      <c r="A38" s="219" t="s">
        <v>1033</v>
      </c>
      <c r="B38" s="219"/>
    </row>
    <row r="39" spans="1:6" ht="12" customHeight="1">
      <c r="A39" s="219" t="s">
        <v>1034</v>
      </c>
      <c r="B39" s="219"/>
    </row>
    <row r="40" spans="1:6" ht="12" customHeight="1">
      <c r="A40" s="219" t="s">
        <v>1035</v>
      </c>
      <c r="B40" s="219"/>
    </row>
    <row r="41" spans="1:6" ht="12" customHeight="1">
      <c r="A41" s="3" t="s">
        <v>1614</v>
      </c>
    </row>
    <row r="42" spans="1:6" ht="12" customHeight="1">
      <c r="A42" s="1087" t="s">
        <v>1619</v>
      </c>
    </row>
    <row r="43" spans="1:6" ht="12" customHeight="1"/>
    <row r="44" spans="1:6" ht="12" customHeight="1"/>
    <row r="45" spans="1:6" ht="12" customHeight="1">
      <c r="A45" s="461" t="s">
        <v>302</v>
      </c>
      <c r="B45" s="461"/>
      <c r="C45" s="219"/>
      <c r="D45" s="219"/>
      <c r="E45" s="219"/>
      <c r="F45" s="219"/>
    </row>
    <row r="50" spans="1:7">
      <c r="A50" s="46"/>
      <c r="B50" s="46"/>
      <c r="C50" s="603"/>
      <c r="D50" s="604"/>
      <c r="E50" s="603"/>
      <c r="F50" s="604"/>
      <c r="G50" s="604"/>
    </row>
    <row r="51" spans="1:7">
      <c r="A51" s="605"/>
      <c r="B51" s="605"/>
      <c r="C51" s="605"/>
      <c r="D51" s="606"/>
      <c r="E51" s="605"/>
      <c r="F51" s="607"/>
      <c r="G51" s="17"/>
    </row>
    <row r="52" spans="1:7">
      <c r="A52" s="17"/>
      <c r="B52" s="17"/>
      <c r="C52" s="17"/>
      <c r="D52" s="17"/>
      <c r="E52" s="17"/>
      <c r="F52" s="17"/>
      <c r="G52" s="17"/>
    </row>
  </sheetData>
  <pageMargins left="0.55118110236220474" right="0.45" top="0.59055118110236227" bottom="0.47244094488188981" header="0.43307086614173229" footer="0.31496062992125984"/>
  <pageSetup paperSize="9" scale="67" orientation="portrait"/>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287C-D118-1C4B-B3DF-2AA607B32B5C}">
  <sheetPr>
    <pageSetUpPr fitToPage="1"/>
  </sheetPr>
  <dimension ref="A1:G52"/>
  <sheetViews>
    <sheetView zoomScaleNormal="100" workbookViewId="0"/>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1" customFormat="1" ht="14" customHeight="1">
      <c r="A1" s="191"/>
      <c r="B1" s="191"/>
      <c r="C1" s="191"/>
      <c r="D1" s="191"/>
      <c r="E1" s="191"/>
      <c r="F1" s="191"/>
    </row>
    <row r="2" spans="1:7" s="1" customFormat="1" ht="20.25" customHeight="1">
      <c r="A2" s="464" t="s">
        <v>1612</v>
      </c>
      <c r="B2" s="464"/>
      <c r="C2" s="191"/>
      <c r="D2" s="191"/>
      <c r="E2" s="191"/>
      <c r="F2" s="569">
        <v>2013</v>
      </c>
      <c r="G2" s="569"/>
    </row>
    <row r="3" spans="1:7" s="1" customFormat="1" ht="6" customHeight="1">
      <c r="A3" s="570"/>
      <c r="B3" s="570"/>
      <c r="C3" s="571"/>
      <c r="D3" s="571"/>
      <c r="E3" s="571"/>
      <c r="F3" s="571"/>
      <c r="G3" s="198"/>
    </row>
    <row r="4" spans="1:7" s="1" customFormat="1" ht="81.75" customHeight="1">
      <c r="A4" s="572" t="s">
        <v>1008</v>
      </c>
      <c r="B4" s="573"/>
      <c r="C4" s="1088" t="s">
        <v>1009</v>
      </c>
      <c r="D4" s="576" t="s">
        <v>1010</v>
      </c>
      <c r="E4" s="1088" t="s">
        <v>1011</v>
      </c>
      <c r="F4" s="576" t="s">
        <v>498</v>
      </c>
    </row>
    <row r="5" spans="1:7" ht="8.25" customHeight="1">
      <c r="A5" s="577"/>
      <c r="B5" s="578"/>
      <c r="C5" s="545"/>
      <c r="D5" s="544"/>
      <c r="E5" s="545"/>
      <c r="F5" s="544"/>
    </row>
    <row r="6" spans="1:7" ht="47.25" customHeight="1" thickBot="1">
      <c r="A6" s="579" t="s">
        <v>1012</v>
      </c>
      <c r="B6" s="580" t="s">
        <v>1013</v>
      </c>
      <c r="C6" s="581">
        <v>1275.9556411493777</v>
      </c>
      <c r="D6" s="389">
        <v>2454.1023042917259</v>
      </c>
      <c r="E6" s="581">
        <v>7849.3560874850527</v>
      </c>
      <c r="F6" s="389">
        <v>5728.7829424805541</v>
      </c>
    </row>
    <row r="7" spans="1:7" ht="19.5" customHeight="1" thickBot="1">
      <c r="A7" s="234"/>
      <c r="B7" s="582"/>
      <c r="C7" s="583"/>
      <c r="D7" s="584"/>
      <c r="E7" s="583"/>
      <c r="F7" s="584"/>
    </row>
    <row r="8" spans="1:7" ht="23.25" customHeight="1" thickBot="1">
      <c r="A8" s="585" t="s">
        <v>1014</v>
      </c>
      <c r="B8" s="586" t="s">
        <v>1015</v>
      </c>
      <c r="C8" s="583">
        <v>1188.5265406571837</v>
      </c>
      <c r="D8" s="584">
        <v>1992.9993171199353</v>
      </c>
      <c r="E8" s="583">
        <v>6247.890399207985</v>
      </c>
      <c r="F8" s="584">
        <v>6141.5937690287828</v>
      </c>
    </row>
    <row r="9" spans="1:7" ht="20" customHeight="1" thickBot="1">
      <c r="A9" s="587" t="s">
        <v>1016</v>
      </c>
      <c r="B9" s="586" t="s">
        <v>1017</v>
      </c>
      <c r="C9" s="583">
        <v>1163.1262117408237</v>
      </c>
      <c r="D9" s="584">
        <v>1310.9028074467274</v>
      </c>
      <c r="E9" s="583">
        <v>3274.7338932011107</v>
      </c>
      <c r="F9" s="584">
        <v>2870.7674139066994</v>
      </c>
    </row>
    <row r="10" spans="1:7" ht="20" customHeight="1" thickBot="1">
      <c r="A10" s="587" t="s">
        <v>1018</v>
      </c>
      <c r="B10" s="586" t="s">
        <v>1019</v>
      </c>
      <c r="C10" s="583">
        <v>1157.363674231033</v>
      </c>
      <c r="D10" s="584">
        <v>865.20976879989507</v>
      </c>
      <c r="E10" s="583">
        <v>2172.8483748924941</v>
      </c>
      <c r="F10" s="584">
        <v>2059.8495821210622</v>
      </c>
    </row>
    <row r="11" spans="1:7" ht="20" customHeight="1" thickBot="1">
      <c r="A11" s="587"/>
      <c r="B11" s="586" t="s">
        <v>1020</v>
      </c>
      <c r="C11" s="583">
        <v>946.26027718022613</v>
      </c>
      <c r="D11" s="584">
        <v>759.78925819436461</v>
      </c>
      <c r="E11" s="583">
        <v>1522.7246759600307</v>
      </c>
      <c r="F11" s="584">
        <v>1351.8381059552269</v>
      </c>
    </row>
    <row r="12" spans="1:7" ht="20" customHeight="1" thickBot="1">
      <c r="A12" s="587"/>
      <c r="B12" s="586" t="s">
        <v>1021</v>
      </c>
      <c r="C12" s="583">
        <v>821.662801503737</v>
      </c>
      <c r="D12" s="584">
        <v>841.42859847448733</v>
      </c>
      <c r="E12" s="583">
        <v>1335.3991924987502</v>
      </c>
      <c r="F12" s="584">
        <v>1280.6068101326016</v>
      </c>
    </row>
    <row r="13" spans="1:7" ht="20" customHeight="1" thickBot="1">
      <c r="A13" s="587"/>
      <c r="B13" s="586" t="s">
        <v>1022</v>
      </c>
      <c r="C13" s="583">
        <v>709.89356205255797</v>
      </c>
      <c r="D13" s="390" t="s">
        <v>153</v>
      </c>
      <c r="E13" s="588" t="s">
        <v>153</v>
      </c>
      <c r="F13" s="584">
        <v>709.89356205255797</v>
      </c>
    </row>
    <row r="14" spans="1:7" ht="20" customHeight="1" thickBot="1">
      <c r="A14" s="589"/>
      <c r="B14" s="586" t="s">
        <v>381</v>
      </c>
      <c r="C14" s="583">
        <v>972.1080491501782</v>
      </c>
      <c r="D14" s="584">
        <v>1054.3012371622419</v>
      </c>
      <c r="E14" s="583">
        <v>3793.7341818455029</v>
      </c>
      <c r="F14" s="584">
        <v>3540.9397906090958</v>
      </c>
    </row>
    <row r="15" spans="1:7" ht="18.75" customHeight="1" thickBot="1">
      <c r="A15" s="509"/>
      <c r="B15" s="590"/>
      <c r="C15" s="583"/>
      <c r="D15" s="584"/>
      <c r="E15" s="583"/>
      <c r="F15" s="584"/>
    </row>
    <row r="16" spans="1:7" ht="20" customHeight="1" thickBot="1">
      <c r="A16" s="509" t="s">
        <v>988</v>
      </c>
      <c r="B16" s="590"/>
      <c r="C16" s="583">
        <v>407.12777777777779</v>
      </c>
      <c r="D16" s="584">
        <v>1516.8177344848364</v>
      </c>
      <c r="E16" s="583">
        <v>1902.8225746565533</v>
      </c>
      <c r="F16" s="584">
        <v>1889.292628802918</v>
      </c>
    </row>
    <row r="17" spans="1:6" ht="20.25" customHeight="1" thickBot="1">
      <c r="A17" s="509"/>
      <c r="B17" s="590"/>
      <c r="C17" s="583"/>
      <c r="D17" s="584"/>
      <c r="E17" s="583"/>
      <c r="F17" s="584"/>
    </row>
    <row r="18" spans="1:6" ht="58.5" customHeight="1" thickBot="1">
      <c r="A18" s="585" t="s">
        <v>1157</v>
      </c>
      <c r="B18" s="586" t="s">
        <v>1013</v>
      </c>
      <c r="C18" s="583">
        <v>1064.6516651021482</v>
      </c>
      <c r="D18" s="584">
        <v>2022.0054132096618</v>
      </c>
      <c r="E18" s="583">
        <v>5474.2620845885267</v>
      </c>
      <c r="F18" s="584">
        <v>3532.2594380157489</v>
      </c>
    </row>
    <row r="19" spans="1:6" ht="20" customHeight="1" thickBot="1">
      <c r="A19" s="354"/>
      <c r="B19" s="586" t="s">
        <v>1015</v>
      </c>
      <c r="C19" s="583">
        <v>969.81972757649646</v>
      </c>
      <c r="D19" s="584">
        <v>1668.8431682003511</v>
      </c>
      <c r="E19" s="583">
        <v>3856.1046573833905</v>
      </c>
      <c r="F19" s="584">
        <v>3688.412557868588</v>
      </c>
    </row>
    <row r="20" spans="1:6" ht="20" customHeight="1" thickBot="1">
      <c r="A20" s="354"/>
      <c r="B20" s="586" t="s">
        <v>1017</v>
      </c>
      <c r="C20" s="583">
        <v>933.28291968055078</v>
      </c>
      <c r="D20" s="584">
        <v>947.82940423003504</v>
      </c>
      <c r="E20" s="583">
        <v>1971.8030024855127</v>
      </c>
      <c r="F20" s="584">
        <v>1767.5923099397166</v>
      </c>
    </row>
    <row r="21" spans="1:6" ht="20" customHeight="1" thickBot="1">
      <c r="A21" s="354"/>
      <c r="B21" s="586" t="s">
        <v>1019</v>
      </c>
      <c r="C21" s="583">
        <v>759.8588250628793</v>
      </c>
      <c r="D21" s="584">
        <v>721.03143406752599</v>
      </c>
      <c r="E21" s="583">
        <v>1406.4834885019413</v>
      </c>
      <c r="F21" s="584">
        <v>1302.4932171169364</v>
      </c>
    </row>
    <row r="22" spans="1:6" ht="20" customHeight="1" thickBot="1">
      <c r="A22" s="354"/>
      <c r="B22" s="586" t="s">
        <v>1020</v>
      </c>
      <c r="C22" s="583">
        <v>664.82165915601252</v>
      </c>
      <c r="D22" s="584">
        <v>571.36930419259272</v>
      </c>
      <c r="E22" s="583">
        <v>1030.8770779635288</v>
      </c>
      <c r="F22" s="584">
        <v>942.79915985492789</v>
      </c>
    </row>
    <row r="23" spans="1:6" ht="20" customHeight="1" thickBot="1">
      <c r="A23" s="354"/>
      <c r="B23" s="586" t="s">
        <v>1021</v>
      </c>
      <c r="C23" s="583">
        <v>619.41505540965841</v>
      </c>
      <c r="D23" s="584">
        <v>530.23710635205271</v>
      </c>
      <c r="E23" s="583">
        <v>892.22950447953986</v>
      </c>
      <c r="F23" s="584">
        <v>847.25458345868731</v>
      </c>
    </row>
    <row r="24" spans="1:6" ht="20" customHeight="1" thickBot="1">
      <c r="A24" s="354"/>
      <c r="B24" s="586" t="s">
        <v>1022</v>
      </c>
      <c r="C24" s="583">
        <v>554.86363712117623</v>
      </c>
      <c r="D24" s="390" t="s">
        <v>153</v>
      </c>
      <c r="E24" s="588" t="s">
        <v>153</v>
      </c>
      <c r="F24" s="584">
        <v>554.86363712117623</v>
      </c>
    </row>
    <row r="25" spans="1:6" ht="20" customHeight="1" thickBot="1">
      <c r="A25" s="354"/>
      <c r="B25" s="586" t="s">
        <v>1024</v>
      </c>
      <c r="C25" s="583">
        <v>1036.535761569274</v>
      </c>
      <c r="D25" s="584">
        <v>1287.0735338988748</v>
      </c>
      <c r="E25" s="583">
        <v>3166.6075264364326</v>
      </c>
      <c r="F25" s="584">
        <v>2562.0120116384473</v>
      </c>
    </row>
    <row r="26" spans="1:6" ht="39.75" customHeight="1" thickBot="1">
      <c r="A26" s="591"/>
      <c r="B26" s="592" t="s">
        <v>1025</v>
      </c>
      <c r="C26" s="593">
        <v>1101.5450244448639</v>
      </c>
      <c r="D26" s="594">
        <v>1301.187991551117</v>
      </c>
      <c r="E26" s="593">
        <v>2681.6025575352514</v>
      </c>
      <c r="F26" s="594">
        <v>2221.0947749728293</v>
      </c>
    </row>
    <row r="27" spans="1:6" ht="45" customHeight="1" thickBot="1">
      <c r="A27" s="591"/>
      <c r="B27" s="595" t="s">
        <v>1026</v>
      </c>
      <c r="C27" s="593">
        <v>1061.6924865175704</v>
      </c>
      <c r="D27" s="594">
        <v>1295.2834468824753</v>
      </c>
      <c r="E27" s="593">
        <v>3493.3748390451474</v>
      </c>
      <c r="F27" s="594">
        <v>2814.149083555978</v>
      </c>
    </row>
    <row r="28" spans="1:6" ht="45" customHeight="1" thickBot="1">
      <c r="A28" s="596"/>
      <c r="B28" s="595" t="s">
        <v>1027</v>
      </c>
      <c r="C28" s="593">
        <v>704.94365615993536</v>
      </c>
      <c r="D28" s="594">
        <v>794.09467077055126</v>
      </c>
      <c r="E28" s="593">
        <v>1805.1562648935781</v>
      </c>
      <c r="F28" s="594">
        <v>1657.2748806201967</v>
      </c>
    </row>
    <row r="29" spans="1:6" ht="15.75" customHeight="1" thickBot="1">
      <c r="A29" s="597"/>
      <c r="B29" s="598"/>
      <c r="C29" s="583"/>
      <c r="D29" s="584"/>
      <c r="E29" s="583"/>
      <c r="F29" s="584"/>
    </row>
    <row r="30" spans="1:6" ht="27.75" customHeight="1" thickBot="1">
      <c r="A30" s="599" t="s">
        <v>1028</v>
      </c>
      <c r="B30" s="600"/>
      <c r="C30" s="601">
        <v>1115.6800294246</v>
      </c>
      <c r="D30" s="602">
        <v>1480.0983013368927</v>
      </c>
      <c r="E30" s="601">
        <v>4307.9216950319587</v>
      </c>
      <c r="F30" s="602">
        <v>3470.8847591085296</v>
      </c>
    </row>
    <row r="31" spans="1:6" ht="15.75" customHeight="1">
      <c r="A31" s="461" t="s">
        <v>346</v>
      </c>
      <c r="B31" s="461"/>
      <c r="C31" s="461"/>
      <c r="D31" s="461"/>
      <c r="E31" s="461"/>
      <c r="F31" s="461"/>
    </row>
    <row r="32" spans="1:6" ht="13.5" customHeight="1">
      <c r="A32" s="367"/>
      <c r="B32" s="367"/>
      <c r="C32" s="461"/>
      <c r="D32" s="461"/>
      <c r="E32" s="461"/>
      <c r="F32" s="461"/>
    </row>
    <row r="33" spans="1:6" ht="13.5" customHeight="1">
      <c r="A33" s="461" t="s">
        <v>1613</v>
      </c>
      <c r="B33" s="461"/>
      <c r="C33" s="461"/>
      <c r="D33" s="461"/>
      <c r="E33" s="461"/>
      <c r="F33" s="461"/>
    </row>
    <row r="34" spans="1:6" ht="16.5" customHeight="1">
      <c r="A34" s="461"/>
      <c r="B34" s="461"/>
      <c r="C34" s="461"/>
      <c r="D34" s="461"/>
      <c r="E34" s="461"/>
      <c r="F34" s="461"/>
    </row>
    <row r="35" spans="1:6" ht="12" customHeight="1">
      <c r="A35" s="461" t="s">
        <v>1030</v>
      </c>
      <c r="B35" s="461"/>
      <c r="C35" s="63"/>
      <c r="D35" s="63"/>
      <c r="E35" s="63"/>
      <c r="F35" s="63"/>
    </row>
    <row r="36" spans="1:6" ht="12" customHeight="1">
      <c r="A36" s="219" t="s">
        <v>1031</v>
      </c>
      <c r="B36" s="219"/>
    </row>
    <row r="37" spans="1:6" ht="12" customHeight="1">
      <c r="A37" s="219" t="s">
        <v>1032</v>
      </c>
      <c r="B37" s="219"/>
    </row>
    <row r="38" spans="1:6" ht="12" customHeight="1">
      <c r="A38" s="219" t="s">
        <v>1033</v>
      </c>
      <c r="B38" s="219"/>
    </row>
    <row r="39" spans="1:6" ht="12" customHeight="1">
      <c r="A39" s="219" t="s">
        <v>1034</v>
      </c>
      <c r="B39" s="219"/>
    </row>
    <row r="40" spans="1:6" ht="12" customHeight="1">
      <c r="A40" s="219" t="s">
        <v>1035</v>
      </c>
      <c r="B40" s="219"/>
    </row>
    <row r="41" spans="1:6" ht="12" customHeight="1">
      <c r="A41" s="3" t="s">
        <v>1614</v>
      </c>
    </row>
    <row r="42" spans="1:6" ht="12" customHeight="1">
      <c r="A42" s="219" t="s">
        <v>1615</v>
      </c>
    </row>
    <row r="43" spans="1:6" ht="12" customHeight="1"/>
    <row r="44" spans="1:6" ht="12" customHeight="1"/>
    <row r="45" spans="1:6" ht="12" customHeight="1">
      <c r="A45" s="461" t="s">
        <v>302</v>
      </c>
      <c r="B45" s="461"/>
      <c r="C45" s="219"/>
      <c r="D45" s="219"/>
      <c r="E45" s="219"/>
      <c r="F45" s="219"/>
    </row>
    <row r="50" spans="1:7">
      <c r="A50" s="46"/>
      <c r="B50" s="46"/>
      <c r="C50" s="603"/>
      <c r="D50" s="604"/>
      <c r="E50" s="603"/>
      <c r="F50" s="604"/>
      <c r="G50" s="604"/>
    </row>
    <row r="51" spans="1:7">
      <c r="A51" s="605"/>
      <c r="B51" s="605"/>
      <c r="C51" s="605"/>
      <c r="D51" s="606"/>
      <c r="E51" s="605"/>
      <c r="F51" s="607"/>
      <c r="G51" s="17"/>
    </row>
    <row r="52" spans="1:7">
      <c r="A52" s="17"/>
      <c r="B52" s="17"/>
      <c r="C52" s="17"/>
      <c r="D52" s="17"/>
      <c r="E52" s="17"/>
      <c r="F52" s="17"/>
      <c r="G52" s="17"/>
    </row>
  </sheetData>
  <pageMargins left="0.55118110236220474" right="0.45" top="0.59055118110236227" bottom="0.47244094488188981" header="0.43307086614173229" footer="0.31496062992125984"/>
  <pageSetup paperSize="9" scale="67" orientation="portrait"/>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F0281-B358-304C-8153-B0941EAB92EF}">
  <sheetPr>
    <pageSetUpPr fitToPage="1"/>
  </sheetPr>
  <dimension ref="A1:S42"/>
  <sheetViews>
    <sheetView zoomScaleNormal="100" workbookViewId="0"/>
  </sheetViews>
  <sheetFormatPr baseColWidth="10" defaultColWidth="11.3984375" defaultRowHeight="13"/>
  <cols>
    <col min="1" max="1" width="15.796875" style="3" customWidth="1"/>
    <col min="2" max="17" width="12" style="3" customWidth="1"/>
    <col min="18" max="16384" width="11.3984375" style="3"/>
  </cols>
  <sheetData>
    <row r="1" spans="1:19" s="1" customFormat="1" ht="14" customHeight="1"/>
    <row r="2" spans="1:19" s="1" customFormat="1" ht="27" customHeight="1">
      <c r="A2" s="125" t="s">
        <v>1608</v>
      </c>
      <c r="B2" s="360"/>
      <c r="C2" s="360"/>
      <c r="D2" s="360"/>
      <c r="E2" s="360"/>
      <c r="F2" s="360"/>
      <c r="G2" s="360"/>
      <c r="H2" s="360"/>
      <c r="I2" s="125"/>
      <c r="J2" s="125"/>
      <c r="K2" s="125"/>
      <c r="L2" s="125"/>
      <c r="M2" s="125"/>
      <c r="N2" s="125"/>
      <c r="O2" s="125"/>
      <c r="P2" s="125"/>
      <c r="Q2" s="125"/>
      <c r="R2" s="125"/>
      <c r="S2" s="125"/>
    </row>
    <row r="3" spans="1:19" ht="24" customHeight="1">
      <c r="A3" s="612" t="s">
        <v>67</v>
      </c>
      <c r="B3" s="271">
        <v>1996</v>
      </c>
      <c r="C3" s="270">
        <v>1997</v>
      </c>
      <c r="D3" s="271">
        <v>1998</v>
      </c>
      <c r="E3" s="743">
        <v>1999</v>
      </c>
      <c r="F3" s="744">
        <v>2000</v>
      </c>
      <c r="G3" s="270">
        <v>2001</v>
      </c>
      <c r="H3" s="271">
        <v>2002</v>
      </c>
      <c r="I3" s="270">
        <v>2003</v>
      </c>
      <c r="J3" s="271">
        <v>2004</v>
      </c>
      <c r="K3" s="270">
        <v>2005</v>
      </c>
      <c r="L3" s="271">
        <v>2006</v>
      </c>
      <c r="M3" s="270">
        <v>2007</v>
      </c>
      <c r="N3" s="271">
        <v>2008</v>
      </c>
      <c r="O3" s="270">
        <v>2009</v>
      </c>
      <c r="P3" s="271">
        <v>2010</v>
      </c>
      <c r="Q3" s="270">
        <v>2011</v>
      </c>
      <c r="R3" s="271">
        <v>2012</v>
      </c>
      <c r="S3" s="270">
        <v>2013</v>
      </c>
    </row>
    <row r="4" spans="1:19" ht="15" customHeight="1">
      <c r="A4" s="613"/>
      <c r="B4" s="271"/>
      <c r="C4" s="270"/>
      <c r="D4" s="271"/>
      <c r="E4" s="614"/>
      <c r="F4" s="272"/>
      <c r="G4" s="270"/>
      <c r="H4" s="271"/>
      <c r="I4" s="270"/>
      <c r="J4" s="271"/>
      <c r="K4" s="270"/>
      <c r="L4" s="271"/>
      <c r="M4" s="270"/>
      <c r="N4" s="271"/>
      <c r="O4" s="270"/>
      <c r="P4" s="271"/>
      <c r="Q4" s="270"/>
      <c r="R4" s="271"/>
      <c r="S4" s="270"/>
    </row>
    <row r="5" spans="1:19" ht="16" customHeight="1">
      <c r="A5" s="615"/>
      <c r="B5" s="275"/>
      <c r="C5" s="274"/>
      <c r="D5" s="275"/>
      <c r="E5" s="362"/>
      <c r="F5" s="276"/>
      <c r="G5" s="274"/>
      <c r="H5" s="275"/>
      <c r="I5" s="274"/>
      <c r="J5" s="275"/>
      <c r="K5" s="274"/>
      <c r="L5" s="275"/>
      <c r="M5" s="274"/>
      <c r="N5" s="275"/>
      <c r="O5" s="274"/>
      <c r="P5" s="275"/>
      <c r="Q5" s="274"/>
      <c r="R5" s="275"/>
      <c r="S5" s="274"/>
    </row>
    <row r="6" spans="1:19" ht="30" customHeight="1" thickBot="1">
      <c r="A6" s="616" t="s">
        <v>502</v>
      </c>
      <c r="B6" s="353">
        <v>1764.7891593009206</v>
      </c>
      <c r="C6" s="352">
        <v>1833.2666140835515</v>
      </c>
      <c r="D6" s="353">
        <v>2004.0536087867604</v>
      </c>
      <c r="E6" s="352">
        <v>2071.8255537815062</v>
      </c>
      <c r="F6" s="353">
        <v>2147.6958422845059</v>
      </c>
      <c r="G6" s="352">
        <v>2257.0911041054319</v>
      </c>
      <c r="H6" s="288">
        <v>2336.8675136098163</v>
      </c>
      <c r="I6" s="287">
        <v>2384.1286100622524</v>
      </c>
      <c r="J6" s="288">
        <v>2585.8685115983717</v>
      </c>
      <c r="K6" s="287">
        <v>2682.8669516214177</v>
      </c>
      <c r="L6" s="288">
        <v>2685.9971326628015</v>
      </c>
      <c r="M6" s="287">
        <v>2804.6840157324332</v>
      </c>
      <c r="N6" s="288">
        <v>2933.3671790687717</v>
      </c>
      <c r="O6" s="287">
        <v>3046.8018739153263</v>
      </c>
      <c r="P6" s="288">
        <v>3105.1162817873551</v>
      </c>
      <c r="Q6" s="287">
        <v>3125.6378415801637</v>
      </c>
      <c r="R6" s="288">
        <v>3228.8354748267552</v>
      </c>
      <c r="S6" s="287">
        <v>3512.9236887294142</v>
      </c>
    </row>
    <row r="7" spans="1:19" ht="20" customHeight="1" thickBot="1">
      <c r="A7" s="617" t="s">
        <v>503</v>
      </c>
      <c r="B7" s="159">
        <v>1667.1256409042089</v>
      </c>
      <c r="C7" s="289">
        <v>1815.2747869586308</v>
      </c>
      <c r="D7" s="159">
        <v>1839.7260174575008</v>
      </c>
      <c r="E7" s="289">
        <v>1935.3573535232781</v>
      </c>
      <c r="F7" s="159">
        <v>2103.3250055370208</v>
      </c>
      <c r="G7" s="289">
        <v>2175.5125309022833</v>
      </c>
      <c r="H7" s="288">
        <v>2260.0641819083248</v>
      </c>
      <c r="I7" s="287">
        <v>2409.9035236479958</v>
      </c>
      <c r="J7" s="288">
        <v>2729.9312091019838</v>
      </c>
      <c r="K7" s="287">
        <v>2891.5575879145185</v>
      </c>
      <c r="L7" s="288">
        <v>2959.0491349857143</v>
      </c>
      <c r="M7" s="287">
        <v>3106.5378674967187</v>
      </c>
      <c r="N7" s="288">
        <v>3241.0945015719262</v>
      </c>
      <c r="O7" s="287">
        <v>3300.4971014282719</v>
      </c>
      <c r="P7" s="288">
        <v>3341.560866737178</v>
      </c>
      <c r="Q7" s="287">
        <v>3447.4233523177322</v>
      </c>
      <c r="R7" s="288">
        <v>3420.6265636187181</v>
      </c>
      <c r="S7" s="287">
        <v>3533.0662734447219</v>
      </c>
    </row>
    <row r="8" spans="1:19" ht="20" customHeight="1" thickBot="1">
      <c r="A8" s="617" t="s">
        <v>504</v>
      </c>
      <c r="B8" s="159">
        <v>1313.0777938742947</v>
      </c>
      <c r="C8" s="289">
        <v>1349.6077744679262</v>
      </c>
      <c r="D8" s="159">
        <v>1478.8539933073373</v>
      </c>
      <c r="E8" s="289">
        <v>1550.0308937947714</v>
      </c>
      <c r="F8" s="159">
        <v>1662.1694480450008</v>
      </c>
      <c r="G8" s="289">
        <v>1783.2815978377855</v>
      </c>
      <c r="H8" s="288">
        <v>1837.2939614239938</v>
      </c>
      <c r="I8" s="287">
        <v>1946.4094699967836</v>
      </c>
      <c r="J8" s="288">
        <v>2120.2163432752677</v>
      </c>
      <c r="K8" s="287">
        <v>2280.5558878801321</v>
      </c>
      <c r="L8" s="288">
        <v>2267.5402295653716</v>
      </c>
      <c r="M8" s="287">
        <v>2373.7104855953066</v>
      </c>
      <c r="N8" s="288">
        <v>2479.7994255544868</v>
      </c>
      <c r="O8" s="287">
        <v>2612.4136778482543</v>
      </c>
      <c r="P8" s="288">
        <v>2672.2238768692082</v>
      </c>
      <c r="Q8" s="287">
        <v>2704.1415946049869</v>
      </c>
      <c r="R8" s="288">
        <v>2849.8509017103243</v>
      </c>
      <c r="S8" s="287">
        <v>3039.0679307891583</v>
      </c>
    </row>
    <row r="9" spans="1:19" ht="20" customHeight="1" thickBot="1">
      <c r="A9" s="617" t="s">
        <v>505</v>
      </c>
      <c r="B9" s="159">
        <v>1360.164764767984</v>
      </c>
      <c r="C9" s="289">
        <v>1388.4535112380079</v>
      </c>
      <c r="D9" s="159">
        <v>1415.8049440959276</v>
      </c>
      <c r="E9" s="289">
        <v>1523.7132765014937</v>
      </c>
      <c r="F9" s="159">
        <v>1629.5395510727981</v>
      </c>
      <c r="G9" s="289">
        <v>1797.5126486685865</v>
      </c>
      <c r="H9" s="288">
        <v>1720.5769299215417</v>
      </c>
      <c r="I9" s="287">
        <v>1856.3827644953262</v>
      </c>
      <c r="J9" s="288">
        <v>1985.8355082717899</v>
      </c>
      <c r="K9" s="287">
        <v>2200.9559775431248</v>
      </c>
      <c r="L9" s="288">
        <v>2215.1758351301783</v>
      </c>
      <c r="M9" s="287">
        <v>2384.9353436420333</v>
      </c>
      <c r="N9" s="288">
        <v>2446.5913350274182</v>
      </c>
      <c r="O9" s="287">
        <v>2553.06042756323</v>
      </c>
      <c r="P9" s="288">
        <v>2582.5624653117247</v>
      </c>
      <c r="Q9" s="287">
        <v>2556.8452366022493</v>
      </c>
      <c r="R9" s="288">
        <v>2667.098427413096</v>
      </c>
      <c r="S9" s="287">
        <v>2800.2344326996372</v>
      </c>
    </row>
    <row r="10" spans="1:19" ht="20" customHeight="1" thickBot="1">
      <c r="A10" s="617" t="s">
        <v>506</v>
      </c>
      <c r="B10" s="159">
        <v>1371.9253611913928</v>
      </c>
      <c r="C10" s="289">
        <v>1372.5298987047629</v>
      </c>
      <c r="D10" s="159">
        <v>1441.35635512423</v>
      </c>
      <c r="E10" s="289">
        <v>1578.1459662769164</v>
      </c>
      <c r="F10" s="159">
        <v>1658.2974792333002</v>
      </c>
      <c r="G10" s="289">
        <v>1842.9405140981062</v>
      </c>
      <c r="H10" s="288">
        <v>1833.0429076328351</v>
      </c>
      <c r="I10" s="287">
        <v>1968.0201058778482</v>
      </c>
      <c r="J10" s="288">
        <v>2116.3513353801436</v>
      </c>
      <c r="K10" s="287">
        <v>2245.1730891404022</v>
      </c>
      <c r="L10" s="288">
        <v>2294.7011656127092</v>
      </c>
      <c r="M10" s="287">
        <v>2397.6143591771793</v>
      </c>
      <c r="N10" s="288">
        <v>2482.2071821133236</v>
      </c>
      <c r="O10" s="287">
        <v>2643.0734277269235</v>
      </c>
      <c r="P10" s="288">
        <v>2637.4815442137851</v>
      </c>
      <c r="Q10" s="287">
        <v>2708.4309327014175</v>
      </c>
      <c r="R10" s="288">
        <v>2872.4567257566941</v>
      </c>
      <c r="S10" s="287">
        <v>3035.4884013065844</v>
      </c>
    </row>
    <row r="11" spans="1:19" ht="20" customHeight="1" thickBot="1">
      <c r="A11" s="617" t="s">
        <v>507</v>
      </c>
      <c r="B11" s="159">
        <v>1312.3038680409452</v>
      </c>
      <c r="C11" s="289">
        <v>1326.6794346179558</v>
      </c>
      <c r="D11" s="159">
        <v>1433.0014611234565</v>
      </c>
      <c r="E11" s="289">
        <v>1521.8418623800551</v>
      </c>
      <c r="F11" s="159">
        <v>1622.8558718243928</v>
      </c>
      <c r="G11" s="289">
        <v>1669.4763841666706</v>
      </c>
      <c r="H11" s="288">
        <v>1688.9872385529304</v>
      </c>
      <c r="I11" s="287">
        <v>1806.181925764178</v>
      </c>
      <c r="J11" s="288">
        <v>1928.9374265271724</v>
      </c>
      <c r="K11" s="287">
        <v>2103.2486917912147</v>
      </c>
      <c r="L11" s="288">
        <v>2160.6136255664719</v>
      </c>
      <c r="M11" s="287">
        <v>2331.9220258634741</v>
      </c>
      <c r="N11" s="288">
        <v>2399.6177246476059</v>
      </c>
      <c r="O11" s="287">
        <v>2462.4760602617575</v>
      </c>
      <c r="P11" s="288">
        <v>2426.232797147286</v>
      </c>
      <c r="Q11" s="287">
        <v>2497.6229119350396</v>
      </c>
      <c r="R11" s="288">
        <v>2687.0220641833321</v>
      </c>
      <c r="S11" s="287">
        <v>2964.6735600213256</v>
      </c>
    </row>
    <row r="12" spans="1:19" ht="20" customHeight="1" thickBot="1">
      <c r="A12" s="617" t="s">
        <v>508</v>
      </c>
      <c r="B12" s="159">
        <v>1261.9811209846498</v>
      </c>
      <c r="C12" s="289">
        <v>1231.4186602765733</v>
      </c>
      <c r="D12" s="159">
        <v>1303.547456755462</v>
      </c>
      <c r="E12" s="289">
        <v>1389.5288833492557</v>
      </c>
      <c r="F12" s="159">
        <v>1528.9877266481972</v>
      </c>
      <c r="G12" s="289">
        <v>1583.7096707217024</v>
      </c>
      <c r="H12" s="288">
        <v>1652.9221015298683</v>
      </c>
      <c r="I12" s="287">
        <v>1743.8144735938365</v>
      </c>
      <c r="J12" s="288">
        <v>1790.6657322854433</v>
      </c>
      <c r="K12" s="287">
        <v>1904.4938524951672</v>
      </c>
      <c r="L12" s="288">
        <v>2030.8040560395414</v>
      </c>
      <c r="M12" s="287">
        <v>2197.0468754026911</v>
      </c>
      <c r="N12" s="288">
        <v>2280.5079428344202</v>
      </c>
      <c r="O12" s="287">
        <v>2360.9095334465687</v>
      </c>
      <c r="P12" s="288">
        <v>2404.2257322113096</v>
      </c>
      <c r="Q12" s="287">
        <v>2417.800003031954</v>
      </c>
      <c r="R12" s="288">
        <v>2698.798039320428</v>
      </c>
      <c r="S12" s="287">
        <v>2939.9531972290151</v>
      </c>
    </row>
    <row r="13" spans="1:19" ht="20" customHeight="1" thickBot="1">
      <c r="A13" s="617" t="s">
        <v>509</v>
      </c>
      <c r="B13" s="159">
        <v>1405.9161429425933</v>
      </c>
      <c r="C13" s="289">
        <v>1469.7801018893024</v>
      </c>
      <c r="D13" s="159">
        <v>1539.5855804433099</v>
      </c>
      <c r="E13" s="289">
        <v>1681.6095306418788</v>
      </c>
      <c r="F13" s="159">
        <v>1791.2462754467747</v>
      </c>
      <c r="G13" s="289">
        <v>1935.0699658593126</v>
      </c>
      <c r="H13" s="288">
        <v>1978.5395888807245</v>
      </c>
      <c r="I13" s="287">
        <v>2028.2984890121379</v>
      </c>
      <c r="J13" s="288">
        <v>2196.5620293145362</v>
      </c>
      <c r="K13" s="287">
        <v>2352.9092514919353</v>
      </c>
      <c r="L13" s="288">
        <v>2347.3104587598168</v>
      </c>
      <c r="M13" s="287">
        <v>2411.1177277226166</v>
      </c>
      <c r="N13" s="288">
        <v>2580.595347071333</v>
      </c>
      <c r="O13" s="287">
        <v>2673.5548664214757</v>
      </c>
      <c r="P13" s="288">
        <v>2752.5398481168463</v>
      </c>
      <c r="Q13" s="287">
        <v>2746.3379549335937</v>
      </c>
      <c r="R13" s="288">
        <v>2939.6130495597954</v>
      </c>
      <c r="S13" s="287">
        <v>3068.1497932016655</v>
      </c>
    </row>
    <row r="14" spans="1:19" ht="20" customHeight="1" thickBot="1">
      <c r="A14" s="617" t="s">
        <v>510</v>
      </c>
      <c r="B14" s="159">
        <v>1280.8423321391788</v>
      </c>
      <c r="C14" s="289">
        <v>1369.8501053345833</v>
      </c>
      <c r="D14" s="159">
        <v>1488.9130137116751</v>
      </c>
      <c r="E14" s="289">
        <v>1580.5480949563857</v>
      </c>
      <c r="F14" s="159">
        <v>1681.441178411276</v>
      </c>
      <c r="G14" s="289">
        <v>1847.2978584832631</v>
      </c>
      <c r="H14" s="288">
        <v>1949.4358904576882</v>
      </c>
      <c r="I14" s="287">
        <v>1999.7701238511841</v>
      </c>
      <c r="J14" s="288">
        <v>2102.8485982237198</v>
      </c>
      <c r="K14" s="287">
        <v>2218.4072786491465</v>
      </c>
      <c r="L14" s="288">
        <v>2237.8223918859167</v>
      </c>
      <c r="M14" s="287">
        <v>2359.354258274011</v>
      </c>
      <c r="N14" s="288">
        <v>2451.1938794280691</v>
      </c>
      <c r="O14" s="287">
        <v>2585.4154392154037</v>
      </c>
      <c r="P14" s="288">
        <v>2620.7546302986038</v>
      </c>
      <c r="Q14" s="287">
        <v>2615.6089723441887</v>
      </c>
      <c r="R14" s="288">
        <v>2735.678627144141</v>
      </c>
      <c r="S14" s="287">
        <v>2903.8638800771987</v>
      </c>
    </row>
    <row r="15" spans="1:19" ht="20" customHeight="1" thickBot="1">
      <c r="A15" s="617" t="s">
        <v>511</v>
      </c>
      <c r="B15" s="159">
        <v>1664.3130318147939</v>
      </c>
      <c r="C15" s="289">
        <v>1693.899908744108</v>
      </c>
      <c r="D15" s="159">
        <v>1877.0189711724497</v>
      </c>
      <c r="E15" s="289">
        <v>1952.8897952725201</v>
      </c>
      <c r="F15" s="159">
        <v>1992.2699090467606</v>
      </c>
      <c r="G15" s="289">
        <v>2131.0799457829739</v>
      </c>
      <c r="H15" s="288">
        <v>2212.4037106510764</v>
      </c>
      <c r="I15" s="287">
        <v>2267.2994025292651</v>
      </c>
      <c r="J15" s="288">
        <v>2374.2489163222604</v>
      </c>
      <c r="K15" s="287">
        <v>2524.8419768627564</v>
      </c>
      <c r="L15" s="288">
        <v>2591.1503244074711</v>
      </c>
      <c r="M15" s="287">
        <v>2693.257124369673</v>
      </c>
      <c r="N15" s="288">
        <v>2774.2239381555355</v>
      </c>
      <c r="O15" s="287">
        <v>2865.1135681024634</v>
      </c>
      <c r="P15" s="288">
        <v>2902.9331697944999</v>
      </c>
      <c r="Q15" s="287">
        <v>2961.8515277070114</v>
      </c>
      <c r="R15" s="288">
        <v>2945.3586806159024</v>
      </c>
      <c r="S15" s="287">
        <v>3298.3306039323452</v>
      </c>
    </row>
    <row r="16" spans="1:19" ht="20" customHeight="1" thickBot="1">
      <c r="A16" s="617" t="s">
        <v>512</v>
      </c>
      <c r="B16" s="159">
        <v>1653.9292986944772</v>
      </c>
      <c r="C16" s="289">
        <v>1692.3675087298018</v>
      </c>
      <c r="D16" s="159">
        <v>1788.5928147900208</v>
      </c>
      <c r="E16" s="289">
        <v>1876.5639473157041</v>
      </c>
      <c r="F16" s="159">
        <v>1979.8511175193896</v>
      </c>
      <c r="G16" s="289">
        <v>2032.3474440058872</v>
      </c>
      <c r="H16" s="288">
        <v>2132.690423641202</v>
      </c>
      <c r="I16" s="287">
        <v>2293.9363324416036</v>
      </c>
      <c r="J16" s="288">
        <v>2430.3377921315732</v>
      </c>
      <c r="K16" s="287">
        <v>2566.5748700876543</v>
      </c>
      <c r="L16" s="288">
        <v>2643.8060660034976</v>
      </c>
      <c r="M16" s="287">
        <v>2774.1482872850943</v>
      </c>
      <c r="N16" s="288">
        <v>2910.9267774027958</v>
      </c>
      <c r="O16" s="287">
        <v>2957.4007826331435</v>
      </c>
      <c r="P16" s="288">
        <v>2966.7614158627234</v>
      </c>
      <c r="Q16" s="287">
        <v>3005.7982702807999</v>
      </c>
      <c r="R16" s="288">
        <v>3178.5328157367521</v>
      </c>
      <c r="S16" s="287">
        <v>3415.1659915672899</v>
      </c>
    </row>
    <row r="17" spans="1:19" ht="20" customHeight="1" thickBot="1">
      <c r="A17" s="617" t="s">
        <v>513</v>
      </c>
      <c r="B17" s="159">
        <v>2453.4506123995247</v>
      </c>
      <c r="C17" s="289">
        <v>2574.7041070457108</v>
      </c>
      <c r="D17" s="159">
        <v>2778.6511176028916</v>
      </c>
      <c r="E17" s="289">
        <v>2900.5480006344451</v>
      </c>
      <c r="F17" s="159">
        <v>3035.7989165036206</v>
      </c>
      <c r="G17" s="289">
        <v>3205.7849330937206</v>
      </c>
      <c r="H17" s="288">
        <v>3293.0214389051375</v>
      </c>
      <c r="I17" s="287">
        <v>3423.1951887932514</v>
      </c>
      <c r="J17" s="288">
        <v>3534.9303970671813</v>
      </c>
      <c r="K17" s="287">
        <v>3836.6418283741455</v>
      </c>
      <c r="L17" s="288">
        <v>3888.2941731247565</v>
      </c>
      <c r="M17" s="287">
        <v>4037.5299003821051</v>
      </c>
      <c r="N17" s="288">
        <v>4224.4735389574053</v>
      </c>
      <c r="O17" s="287">
        <v>4264.2457587352592</v>
      </c>
      <c r="P17" s="288">
        <v>4260.7340994343349</v>
      </c>
      <c r="Q17" s="287">
        <v>4336.9424320852031</v>
      </c>
      <c r="R17" s="288">
        <v>4367.6977785902072</v>
      </c>
      <c r="S17" s="287">
        <v>4567.1543344389411</v>
      </c>
    </row>
    <row r="18" spans="1:19" ht="20" customHeight="1" thickBot="1">
      <c r="A18" s="617" t="s">
        <v>514</v>
      </c>
      <c r="B18" s="159">
        <v>1820.6049206738633</v>
      </c>
      <c r="C18" s="289">
        <v>1894.9830698054327</v>
      </c>
      <c r="D18" s="159">
        <v>1977.9553975094373</v>
      </c>
      <c r="E18" s="289">
        <v>2121.6154554590025</v>
      </c>
      <c r="F18" s="159">
        <v>2251.2901118120703</v>
      </c>
      <c r="G18" s="289">
        <v>2373.2617036964507</v>
      </c>
      <c r="H18" s="288">
        <v>2451.0871621504775</v>
      </c>
      <c r="I18" s="287">
        <v>2536.6270497192859</v>
      </c>
      <c r="J18" s="288">
        <v>2646.6476572497613</v>
      </c>
      <c r="K18" s="287">
        <v>2852.930138987821</v>
      </c>
      <c r="L18" s="288">
        <v>2866.2823454195332</v>
      </c>
      <c r="M18" s="287">
        <v>3026.4431526829344</v>
      </c>
      <c r="N18" s="288">
        <v>3232.6222472961954</v>
      </c>
      <c r="O18" s="287">
        <v>3342.2257627081567</v>
      </c>
      <c r="P18" s="288">
        <v>3394.0744830284352</v>
      </c>
      <c r="Q18" s="287">
        <v>3432.0414896310281</v>
      </c>
      <c r="R18" s="288">
        <v>3569.993726443075</v>
      </c>
      <c r="S18" s="287">
        <v>3851.4615681872278</v>
      </c>
    </row>
    <row r="19" spans="1:19" ht="20" customHeight="1" thickBot="1">
      <c r="A19" s="617" t="s">
        <v>515</v>
      </c>
      <c r="B19" s="159">
        <v>1603.1985072621362</v>
      </c>
      <c r="C19" s="289">
        <v>1702.6493257056502</v>
      </c>
      <c r="D19" s="159">
        <v>1744.8438983588499</v>
      </c>
      <c r="E19" s="289">
        <v>1985.2077609053488</v>
      </c>
      <c r="F19" s="159">
        <v>2094.5287804389732</v>
      </c>
      <c r="G19" s="289">
        <v>2212.8602151266746</v>
      </c>
      <c r="H19" s="288">
        <v>2225.2582168236499</v>
      </c>
      <c r="I19" s="287">
        <v>2269.723821545294</v>
      </c>
      <c r="J19" s="288">
        <v>2502.998869501324</v>
      </c>
      <c r="K19" s="287">
        <v>2596.3526252028255</v>
      </c>
      <c r="L19" s="288">
        <v>2630.3877064360317</v>
      </c>
      <c r="M19" s="287">
        <v>2739.9827637896874</v>
      </c>
      <c r="N19" s="288">
        <v>2845.0252565039837</v>
      </c>
      <c r="O19" s="287">
        <v>2930.8300135912746</v>
      </c>
      <c r="P19" s="288">
        <v>3038.1625052148493</v>
      </c>
      <c r="Q19" s="287">
        <v>3041.2502447088523</v>
      </c>
      <c r="R19" s="288">
        <v>3141.8275099975963</v>
      </c>
      <c r="S19" s="287">
        <v>3337.2312678209519</v>
      </c>
    </row>
    <row r="20" spans="1:19" ht="20" customHeight="1" thickBot="1">
      <c r="A20" s="617" t="s">
        <v>516</v>
      </c>
      <c r="B20" s="159">
        <v>1266.229321216058</v>
      </c>
      <c r="C20" s="289">
        <v>1369.2490486542663</v>
      </c>
      <c r="D20" s="159">
        <v>1366.920355151437</v>
      </c>
      <c r="E20" s="289">
        <v>1502.9802164667458</v>
      </c>
      <c r="F20" s="159">
        <v>1583.6306546590849</v>
      </c>
      <c r="G20" s="289">
        <v>1647.3283385086513</v>
      </c>
      <c r="H20" s="288">
        <v>1699.3836587528899</v>
      </c>
      <c r="I20" s="287">
        <v>1862.6412259161218</v>
      </c>
      <c r="J20" s="288">
        <v>1990.6417878831089</v>
      </c>
      <c r="K20" s="287">
        <v>2102.1692180072532</v>
      </c>
      <c r="L20" s="288">
        <v>2094.9507881415475</v>
      </c>
      <c r="M20" s="287">
        <v>2204.1055945303278</v>
      </c>
      <c r="N20" s="288">
        <v>2315.161685335368</v>
      </c>
      <c r="O20" s="287">
        <v>2442.4814549790062</v>
      </c>
      <c r="P20" s="288">
        <v>2522.3260390107089</v>
      </c>
      <c r="Q20" s="287">
        <v>2553.9406970387963</v>
      </c>
      <c r="R20" s="288">
        <v>2760.0600424989507</v>
      </c>
      <c r="S20" s="287">
        <v>2936.9180929605527</v>
      </c>
    </row>
    <row r="21" spans="1:19" ht="20" customHeight="1" thickBot="1">
      <c r="A21" s="617" t="s">
        <v>517</v>
      </c>
      <c r="B21" s="159">
        <v>1111.970246486788</v>
      </c>
      <c r="C21" s="289">
        <v>1128.6982842819168</v>
      </c>
      <c r="D21" s="159">
        <v>1162.7389791379435</v>
      </c>
      <c r="E21" s="289">
        <v>1314.686475045437</v>
      </c>
      <c r="F21" s="159">
        <v>1394.0297272461971</v>
      </c>
      <c r="G21" s="289">
        <v>1456.6556209568064</v>
      </c>
      <c r="H21" s="288">
        <v>1595.9069827050362</v>
      </c>
      <c r="I21" s="287">
        <v>1655.1191680478576</v>
      </c>
      <c r="J21" s="288">
        <v>1736.2287203020521</v>
      </c>
      <c r="K21" s="287">
        <v>1857.9295026229306</v>
      </c>
      <c r="L21" s="288">
        <v>1836.737234845046</v>
      </c>
      <c r="M21" s="287">
        <v>1868.7722481712538</v>
      </c>
      <c r="N21" s="288">
        <v>2121.9410134076425</v>
      </c>
      <c r="O21" s="287">
        <v>2098.4610120647276</v>
      </c>
      <c r="P21" s="288">
        <v>2150.3556517168563</v>
      </c>
      <c r="Q21" s="287">
        <v>2267.9551239400512</v>
      </c>
      <c r="R21" s="288">
        <v>2369.045579819277</v>
      </c>
      <c r="S21" s="287">
        <v>2472.9599263302566</v>
      </c>
    </row>
    <row r="22" spans="1:19" ht="20" customHeight="1" thickBot="1">
      <c r="A22" s="617" t="s">
        <v>518</v>
      </c>
      <c r="B22" s="159">
        <v>1328.3629652911261</v>
      </c>
      <c r="C22" s="289">
        <v>1426.6549273536687</v>
      </c>
      <c r="D22" s="159">
        <v>1491.8733384007237</v>
      </c>
      <c r="E22" s="289">
        <v>1604.5114328167786</v>
      </c>
      <c r="F22" s="159">
        <v>1668.380920804668</v>
      </c>
      <c r="G22" s="289">
        <v>1747.9960351192121</v>
      </c>
      <c r="H22" s="288">
        <v>1852.6583525780329</v>
      </c>
      <c r="I22" s="287">
        <v>2017.040453297921</v>
      </c>
      <c r="J22" s="288">
        <v>2156.34277241769</v>
      </c>
      <c r="K22" s="287">
        <v>2250.3442807519109</v>
      </c>
      <c r="L22" s="288">
        <v>2259.4908722455143</v>
      </c>
      <c r="M22" s="287">
        <v>2347.4638183876004</v>
      </c>
      <c r="N22" s="288">
        <v>2460.9344112946401</v>
      </c>
      <c r="O22" s="287">
        <v>2588.8900456408364</v>
      </c>
      <c r="P22" s="288">
        <v>2648.8100475702108</v>
      </c>
      <c r="Q22" s="287">
        <v>2679.8308983877241</v>
      </c>
      <c r="R22" s="288">
        <v>2868.5875026811395</v>
      </c>
      <c r="S22" s="287">
        <v>3066.5204964565182</v>
      </c>
    </row>
    <row r="23" spans="1:19" ht="20" customHeight="1" thickBot="1">
      <c r="A23" s="617" t="s">
        <v>519</v>
      </c>
      <c r="B23" s="159">
        <v>1287.3048973703474</v>
      </c>
      <c r="C23" s="289">
        <v>1235.1705388748824</v>
      </c>
      <c r="D23" s="159">
        <v>1374.9634451894976</v>
      </c>
      <c r="E23" s="289">
        <v>1592.7811073384662</v>
      </c>
      <c r="F23" s="159">
        <v>1744.802621453694</v>
      </c>
      <c r="G23" s="289">
        <v>1820.1531532136034</v>
      </c>
      <c r="H23" s="288">
        <v>1892.8087524284656</v>
      </c>
      <c r="I23" s="287">
        <v>2012.6622941161957</v>
      </c>
      <c r="J23" s="288">
        <v>2188.6912303034992</v>
      </c>
      <c r="K23" s="287">
        <v>2280.6123080226821</v>
      </c>
      <c r="L23" s="288">
        <v>2322.2671522768032</v>
      </c>
      <c r="M23" s="287">
        <v>2493.7151956347811</v>
      </c>
      <c r="N23" s="288">
        <v>2579.2236164170772</v>
      </c>
      <c r="O23" s="287">
        <v>2687.4299907425798</v>
      </c>
      <c r="P23" s="288">
        <v>2711.8467238692633</v>
      </c>
      <c r="Q23" s="287">
        <v>2743.9571289717915</v>
      </c>
      <c r="R23" s="288">
        <v>2801.479528222666</v>
      </c>
      <c r="S23" s="287">
        <v>2991.8351996310626</v>
      </c>
    </row>
    <row r="24" spans="1:19" ht="20" customHeight="1" thickBot="1">
      <c r="A24" s="617" t="s">
        <v>520</v>
      </c>
      <c r="B24" s="159">
        <v>1429.4682702806792</v>
      </c>
      <c r="C24" s="289">
        <v>1485.8653554058658</v>
      </c>
      <c r="D24" s="159">
        <v>1639.933354457901</v>
      </c>
      <c r="E24" s="289">
        <v>1738.1777471817395</v>
      </c>
      <c r="F24" s="159">
        <v>1852.0108004551998</v>
      </c>
      <c r="G24" s="289">
        <v>1922.2732444785506</v>
      </c>
      <c r="H24" s="288">
        <v>2012.6510667334403</v>
      </c>
      <c r="I24" s="287">
        <v>2114.4542305938699</v>
      </c>
      <c r="J24" s="288">
        <v>2237.9775523220655</v>
      </c>
      <c r="K24" s="287">
        <v>2393.148719176334</v>
      </c>
      <c r="L24" s="288">
        <v>2460.3605422599139</v>
      </c>
      <c r="M24" s="287">
        <v>2545.4850890291586</v>
      </c>
      <c r="N24" s="288">
        <v>2686.1960767776472</v>
      </c>
      <c r="O24" s="287">
        <v>2770.6436120190019</v>
      </c>
      <c r="P24" s="288">
        <v>2840.7292951121085</v>
      </c>
      <c r="Q24" s="287">
        <v>2884.8375522189335</v>
      </c>
      <c r="R24" s="288">
        <v>3054.6454964552313</v>
      </c>
      <c r="S24" s="287">
        <v>3255.4647332613199</v>
      </c>
    </row>
    <row r="25" spans="1:19" ht="20" customHeight="1" thickBot="1">
      <c r="A25" s="617" t="s">
        <v>521</v>
      </c>
      <c r="B25" s="159">
        <v>1342.7065202674826</v>
      </c>
      <c r="C25" s="289">
        <v>1570.3374919877879</v>
      </c>
      <c r="D25" s="159">
        <v>1652.8766113199713</v>
      </c>
      <c r="E25" s="289">
        <v>1750.8887056472636</v>
      </c>
      <c r="F25" s="159">
        <v>1855.7014022051633</v>
      </c>
      <c r="G25" s="289">
        <v>1940.1143816253782</v>
      </c>
      <c r="H25" s="288">
        <v>2057.2066579469329</v>
      </c>
      <c r="I25" s="287">
        <v>2180.743431865571</v>
      </c>
      <c r="J25" s="288">
        <v>2223.0911545620074</v>
      </c>
      <c r="K25" s="287">
        <v>2312.0825959535628</v>
      </c>
      <c r="L25" s="288">
        <v>2311.7021270214186</v>
      </c>
      <c r="M25" s="287">
        <v>2427.3283603554028</v>
      </c>
      <c r="N25" s="288">
        <v>2562.013551141245</v>
      </c>
      <c r="O25" s="287">
        <v>2632.2536979719862</v>
      </c>
      <c r="P25" s="288">
        <v>2672.8888973418875</v>
      </c>
      <c r="Q25" s="287">
        <v>2722.7529519413197</v>
      </c>
      <c r="R25" s="288">
        <v>2759.6433479744742</v>
      </c>
      <c r="S25" s="287">
        <v>3016.8202267870874</v>
      </c>
    </row>
    <row r="26" spans="1:19" ht="20" customHeight="1" thickBot="1">
      <c r="A26" s="617" t="s">
        <v>522</v>
      </c>
      <c r="B26" s="159">
        <v>2171.4885093364283</v>
      </c>
      <c r="C26" s="289">
        <v>2199.3910586957236</v>
      </c>
      <c r="D26" s="159">
        <v>2327.1740152251377</v>
      </c>
      <c r="E26" s="289">
        <v>2390.0451126756438</v>
      </c>
      <c r="F26" s="159">
        <v>2550.9286155601239</v>
      </c>
      <c r="G26" s="289">
        <v>2710.2819571003133</v>
      </c>
      <c r="H26" s="288">
        <v>2882.1202091901027</v>
      </c>
      <c r="I26" s="287">
        <v>3020.8162217619511</v>
      </c>
      <c r="J26" s="288">
        <v>3050.2880576765479</v>
      </c>
      <c r="K26" s="287">
        <v>3276.4763876393613</v>
      </c>
      <c r="L26" s="288">
        <v>3245.9822850833443</v>
      </c>
      <c r="M26" s="287">
        <v>3336.369455109575</v>
      </c>
      <c r="N26" s="288">
        <v>3340.0329329967103</v>
      </c>
      <c r="O26" s="287">
        <v>3477.2111258161954</v>
      </c>
      <c r="P26" s="288">
        <v>3545.460109774614</v>
      </c>
      <c r="Q26" s="287">
        <v>3609.3718437959019</v>
      </c>
      <c r="R26" s="288">
        <v>3568.6312202795011</v>
      </c>
      <c r="S26" s="287">
        <v>3717.3137447366603</v>
      </c>
    </row>
    <row r="27" spans="1:19" ht="20" customHeight="1" thickBot="1">
      <c r="A27" s="617" t="s">
        <v>523</v>
      </c>
      <c r="B27" s="159">
        <v>2196.0001181427256</v>
      </c>
      <c r="C27" s="289">
        <v>2312.9153985116523</v>
      </c>
      <c r="D27" s="159">
        <v>2379.5547012687334</v>
      </c>
      <c r="E27" s="289">
        <v>2437.7819765844547</v>
      </c>
      <c r="F27" s="159">
        <v>2594.6791528273025</v>
      </c>
      <c r="G27" s="289">
        <v>2747.8435999827625</v>
      </c>
      <c r="H27" s="288">
        <v>2831.9989479288188</v>
      </c>
      <c r="I27" s="287">
        <v>2935.9248909263811</v>
      </c>
      <c r="J27" s="288">
        <v>3069.0220677756661</v>
      </c>
      <c r="K27" s="287">
        <v>3208.854431950394</v>
      </c>
      <c r="L27" s="288">
        <v>3190.9622853292644</v>
      </c>
      <c r="M27" s="287">
        <v>3249.9276698724689</v>
      </c>
      <c r="N27" s="288">
        <v>3349.0148696133601</v>
      </c>
      <c r="O27" s="287">
        <v>3399.4617964424519</v>
      </c>
      <c r="P27" s="288">
        <v>3473.400812699404</v>
      </c>
      <c r="Q27" s="287">
        <v>3504.9561831890187</v>
      </c>
      <c r="R27" s="288">
        <v>3537.6320165717889</v>
      </c>
      <c r="S27" s="287">
        <v>3824.9816786792662</v>
      </c>
    </row>
    <row r="28" spans="1:19" ht="20" customHeight="1" thickBot="1">
      <c r="A28" s="617" t="s">
        <v>524</v>
      </c>
      <c r="B28" s="159">
        <v>1529.2997069405549</v>
      </c>
      <c r="C28" s="289">
        <v>1598.9573470309633</v>
      </c>
      <c r="D28" s="159">
        <v>1649.5762930398494</v>
      </c>
      <c r="E28" s="289">
        <v>1710.1863281875196</v>
      </c>
      <c r="F28" s="159">
        <v>1852.5767623993836</v>
      </c>
      <c r="G28" s="289">
        <v>1962.6067804986258</v>
      </c>
      <c r="H28" s="288">
        <v>2056.3896568427044</v>
      </c>
      <c r="I28" s="287">
        <v>2174.3919070359843</v>
      </c>
      <c r="J28" s="288">
        <v>2221.4019009546096</v>
      </c>
      <c r="K28" s="287">
        <v>2384.5717452383997</v>
      </c>
      <c r="L28" s="288">
        <v>2506.3494831859234</v>
      </c>
      <c r="M28" s="287">
        <v>2601.183630094059</v>
      </c>
      <c r="N28" s="288">
        <v>2685.0130994253459</v>
      </c>
      <c r="O28" s="287">
        <v>2772.6803746341357</v>
      </c>
      <c r="P28" s="288">
        <v>2857.2402468470991</v>
      </c>
      <c r="Q28" s="287">
        <v>2879.208823232093</v>
      </c>
      <c r="R28" s="288">
        <v>3044.2262046893625</v>
      </c>
      <c r="S28" s="287">
        <v>3153.0880778399528</v>
      </c>
    </row>
    <row r="29" spans="1:19" ht="20" customHeight="1" thickBot="1">
      <c r="A29" s="617" t="s">
        <v>525</v>
      </c>
      <c r="B29" s="159">
        <v>2076.9407549335065</v>
      </c>
      <c r="C29" s="289">
        <v>2239.5702695784876</v>
      </c>
      <c r="D29" s="159">
        <v>2352.8812450395053</v>
      </c>
      <c r="E29" s="289">
        <v>2208.6202351022771</v>
      </c>
      <c r="F29" s="159">
        <v>2582.3656434851941</v>
      </c>
      <c r="G29" s="289">
        <v>2681.6386618188403</v>
      </c>
      <c r="H29" s="288">
        <v>2768.6498386638364</v>
      </c>
      <c r="I29" s="287">
        <v>2947.4871467642047</v>
      </c>
      <c r="J29" s="288">
        <v>3089.0427829699011</v>
      </c>
      <c r="K29" s="287">
        <v>3090.594905291804</v>
      </c>
      <c r="L29" s="288">
        <v>2969.3815428561275</v>
      </c>
      <c r="M29" s="287">
        <v>3005.1200689069051</v>
      </c>
      <c r="N29" s="288">
        <v>3133.1891093413942</v>
      </c>
      <c r="O29" s="287">
        <v>3124.3192345399266</v>
      </c>
      <c r="P29" s="288">
        <v>3183.8834861973864</v>
      </c>
      <c r="Q29" s="287">
        <v>3235.2275940259201</v>
      </c>
      <c r="R29" s="288">
        <v>3301.3681614641973</v>
      </c>
      <c r="S29" s="287">
        <v>3582.0594294599014</v>
      </c>
    </row>
    <row r="30" spans="1:19" ht="20" customHeight="1" thickBot="1">
      <c r="A30" s="617" t="s">
        <v>526</v>
      </c>
      <c r="B30" s="159">
        <v>2367.8867616486314</v>
      </c>
      <c r="C30" s="289">
        <v>2588.4460852643429</v>
      </c>
      <c r="D30" s="159">
        <v>2916.0616485222708</v>
      </c>
      <c r="E30" s="289">
        <v>2922.7889453391044</v>
      </c>
      <c r="F30" s="159">
        <v>3007.6568963366376</v>
      </c>
      <c r="G30" s="289">
        <v>3241.8734679181912</v>
      </c>
      <c r="H30" s="288">
        <v>3312.0719892329316</v>
      </c>
      <c r="I30" s="287">
        <v>3345.0817824763403</v>
      </c>
      <c r="J30" s="288">
        <v>3489.8691106706706</v>
      </c>
      <c r="K30" s="287">
        <v>3736.5440264802141</v>
      </c>
      <c r="L30" s="288">
        <v>3656.1251890050253</v>
      </c>
      <c r="M30" s="287">
        <v>3713.3158063285728</v>
      </c>
      <c r="N30" s="288">
        <v>3908.4760970527641</v>
      </c>
      <c r="O30" s="287">
        <v>3903.8897362927628</v>
      </c>
      <c r="P30" s="288">
        <v>3969.8319747555565</v>
      </c>
      <c r="Q30" s="287">
        <v>4070.1311814047353</v>
      </c>
      <c r="R30" s="288">
        <v>4188.939850861897</v>
      </c>
      <c r="S30" s="287">
        <v>4342.0162566869612</v>
      </c>
    </row>
    <row r="31" spans="1:19" ht="20" customHeight="1" thickBot="1">
      <c r="A31" s="617" t="s">
        <v>527</v>
      </c>
      <c r="B31" s="159">
        <v>1956.0836898079381</v>
      </c>
      <c r="C31" s="289">
        <v>2103.4193264962059</v>
      </c>
      <c r="D31" s="159">
        <v>2148.2711078745106</v>
      </c>
      <c r="E31" s="289">
        <v>2397.5427637320863</v>
      </c>
      <c r="F31" s="159">
        <v>2415.5255599055658</v>
      </c>
      <c r="G31" s="289">
        <v>2508.1569315714173</v>
      </c>
      <c r="H31" s="288">
        <v>2589.3093434875859</v>
      </c>
      <c r="I31" s="287">
        <v>2494.2878799690366</v>
      </c>
      <c r="J31" s="288">
        <v>2694.2839102553153</v>
      </c>
      <c r="K31" s="287">
        <v>2916.9959025146595</v>
      </c>
      <c r="L31" s="288">
        <v>2819.9830079575136</v>
      </c>
      <c r="M31" s="287">
        <v>2971.4432956011915</v>
      </c>
      <c r="N31" s="288">
        <v>3094.6149252458663</v>
      </c>
      <c r="O31" s="287">
        <v>3159.7885826584602</v>
      </c>
      <c r="P31" s="288">
        <v>3281.9554548860724</v>
      </c>
      <c r="Q31" s="287">
        <v>3293.5016910460072</v>
      </c>
      <c r="R31" s="288">
        <v>3270.9864242509298</v>
      </c>
      <c r="S31" s="287">
        <v>3533.9336922375837</v>
      </c>
    </row>
    <row r="32" spans="1:19" ht="30" customHeight="1" thickBot="1">
      <c r="A32" s="618" t="s">
        <v>530</v>
      </c>
      <c r="B32" s="291">
        <v>1722.6034666050571</v>
      </c>
      <c r="C32" s="290">
        <v>1815.591817475673</v>
      </c>
      <c r="D32" s="291">
        <v>1935.2609068839854</v>
      </c>
      <c r="E32" s="290">
        <v>2010.9299604622613</v>
      </c>
      <c r="F32" s="291">
        <v>2130.500577485856</v>
      </c>
      <c r="G32" s="290">
        <v>2244.3977236150963</v>
      </c>
      <c r="H32" s="241">
        <v>2327.6302215005462</v>
      </c>
      <c r="I32" s="619">
        <v>2431.2115563163397</v>
      </c>
      <c r="J32" s="244">
        <v>2592.2163089311493</v>
      </c>
      <c r="K32" s="619">
        <v>2736.4276577385417</v>
      </c>
      <c r="L32" s="244">
        <v>2754.9413018779796</v>
      </c>
      <c r="M32" s="619">
        <v>2862.8111062906178</v>
      </c>
      <c r="N32" s="244">
        <v>2983.6153319253076</v>
      </c>
      <c r="O32" s="619">
        <v>3068.7220287020409</v>
      </c>
      <c r="P32" s="244">
        <v>3122.5601098540819</v>
      </c>
      <c r="Q32" s="619">
        <v>3170.8302082139126</v>
      </c>
      <c r="R32" s="244">
        <v>3256.6406797857449</v>
      </c>
      <c r="S32" s="619">
        <v>3470.8847849356412</v>
      </c>
    </row>
    <row r="33" spans="1:8" ht="20" customHeight="1">
      <c r="A33" s="189" t="s">
        <v>346</v>
      </c>
      <c r="B33" s="457"/>
      <c r="C33" s="457"/>
      <c r="D33" s="457"/>
      <c r="E33" s="457"/>
      <c r="F33" s="620"/>
      <c r="G33" s="457"/>
      <c r="H33" s="610"/>
    </row>
    <row r="34" spans="1:8" ht="15.75" customHeight="1">
      <c r="A34" s="219"/>
      <c r="B34" s="459"/>
      <c r="C34" s="459"/>
      <c r="D34" s="459"/>
      <c r="E34" s="459"/>
      <c r="F34" s="459"/>
      <c r="G34" s="459"/>
      <c r="H34" s="611"/>
    </row>
    <row r="35" spans="1:8" ht="14.25" customHeight="1">
      <c r="A35" s="461" t="s">
        <v>1609</v>
      </c>
      <c r="B35" s="459"/>
      <c r="C35" s="459"/>
      <c r="D35" s="459"/>
      <c r="E35" s="459"/>
      <c r="F35" s="459"/>
      <c r="G35" s="459"/>
      <c r="H35" s="611"/>
    </row>
    <row r="36" spans="1:8" ht="14.25" customHeight="1">
      <c r="A36" s="461" t="s">
        <v>1610</v>
      </c>
      <c r="B36" s="459"/>
      <c r="C36" s="459"/>
      <c r="D36" s="459"/>
      <c r="E36" s="459"/>
      <c r="F36" s="459"/>
      <c r="G36" s="459"/>
      <c r="H36" s="611"/>
    </row>
    <row r="37" spans="1:8" ht="13.5" customHeight="1">
      <c r="A37" s="219"/>
      <c r="B37" s="459"/>
      <c r="C37" s="459"/>
      <c r="D37" s="459"/>
      <c r="E37" s="459"/>
      <c r="F37" s="459"/>
      <c r="G37" s="459"/>
      <c r="H37" s="611"/>
    </row>
    <row r="38" spans="1:8" ht="12.75" customHeight="1">
      <c r="A38" s="219" t="s">
        <v>1611</v>
      </c>
      <c r="B38" s="459"/>
      <c r="C38" s="459"/>
      <c r="D38" s="459"/>
      <c r="E38" s="459"/>
      <c r="F38" s="459"/>
      <c r="G38" s="459"/>
      <c r="H38" s="611"/>
    </row>
    <row r="39" spans="1:8" ht="12.75" customHeight="1">
      <c r="A39" s="3" t="s">
        <v>1189</v>
      </c>
      <c r="B39" s="459"/>
      <c r="C39" s="459"/>
      <c r="D39" s="459"/>
      <c r="E39" s="459"/>
      <c r="F39" s="459"/>
      <c r="G39" s="459"/>
      <c r="H39" s="611"/>
    </row>
    <row r="41" spans="1:8">
      <c r="A41" s="219"/>
    </row>
    <row r="42" spans="1:8">
      <c r="A42" s="219" t="s">
        <v>302</v>
      </c>
    </row>
  </sheetData>
  <pageMargins left="0.43307086614173229" right="0.37" top="0.47244094488188981" bottom="0.47244094488188981" header="0.31496062992125984" footer="0.51181102362204722"/>
  <pageSetup paperSize="9" scale="61" orientation="landscape"/>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FECCC-46F8-C24E-B25E-713DB1C8CBDD}">
  <sheetPr>
    <pageSetUpPr fitToPage="1"/>
  </sheetPr>
  <dimension ref="A1:S41"/>
  <sheetViews>
    <sheetView zoomScaleNormal="100" workbookViewId="0"/>
  </sheetViews>
  <sheetFormatPr baseColWidth="10" defaultColWidth="11.3984375" defaultRowHeight="13"/>
  <cols>
    <col min="1" max="1" width="15.796875" style="3" customWidth="1"/>
    <col min="2" max="15" width="11.796875" style="3" customWidth="1"/>
    <col min="16" max="18" width="11.59765625" style="3" customWidth="1"/>
    <col min="19" max="16384" width="11.3984375" style="3"/>
  </cols>
  <sheetData>
    <row r="1" spans="1:19" s="1" customFormat="1" ht="14" customHeight="1"/>
    <row r="2" spans="1:19" s="1" customFormat="1" ht="25.75" customHeight="1">
      <c r="A2" s="125" t="s">
        <v>1606</v>
      </c>
      <c r="B2" s="360"/>
      <c r="C2" s="360"/>
      <c r="D2" s="360"/>
      <c r="E2" s="360"/>
      <c r="F2" s="360"/>
      <c r="G2" s="360"/>
      <c r="H2" s="360"/>
      <c r="I2" s="125"/>
      <c r="J2" s="125"/>
      <c r="K2" s="125"/>
      <c r="L2" s="125"/>
      <c r="M2" s="125"/>
      <c r="N2" s="125"/>
      <c r="O2" s="125"/>
      <c r="P2" s="125"/>
      <c r="Q2" s="125"/>
      <c r="R2" s="125"/>
      <c r="S2" s="125"/>
    </row>
    <row r="3" spans="1:19" ht="24" customHeight="1">
      <c r="A3" s="612" t="s">
        <v>67</v>
      </c>
      <c r="B3" s="271">
        <v>1996</v>
      </c>
      <c r="C3" s="270">
        <v>1997</v>
      </c>
      <c r="D3" s="271">
        <v>1998</v>
      </c>
      <c r="E3" s="743">
        <v>1999</v>
      </c>
      <c r="F3" s="744">
        <v>2000</v>
      </c>
      <c r="G3" s="270">
        <v>2001</v>
      </c>
      <c r="H3" s="271">
        <v>2002</v>
      </c>
      <c r="I3" s="270">
        <v>2003</v>
      </c>
      <c r="J3" s="271">
        <v>2004</v>
      </c>
      <c r="K3" s="270">
        <v>2005</v>
      </c>
      <c r="L3" s="271">
        <v>2006</v>
      </c>
      <c r="M3" s="270">
        <v>2007</v>
      </c>
      <c r="N3" s="271">
        <v>2008</v>
      </c>
      <c r="O3" s="270">
        <v>2009</v>
      </c>
      <c r="P3" s="271">
        <v>2010</v>
      </c>
      <c r="Q3" s="270">
        <v>2011</v>
      </c>
      <c r="R3" s="271">
        <v>2012</v>
      </c>
      <c r="S3" s="270">
        <v>2013</v>
      </c>
    </row>
    <row r="4" spans="1:19" ht="15" customHeight="1">
      <c r="A4" s="613"/>
      <c r="B4" s="271"/>
      <c r="C4" s="270"/>
      <c r="D4" s="271"/>
      <c r="E4" s="614"/>
      <c r="F4" s="272"/>
      <c r="G4" s="270"/>
      <c r="H4" s="271"/>
      <c r="I4" s="270"/>
      <c r="J4" s="271"/>
      <c r="K4" s="270"/>
      <c r="L4" s="271"/>
      <c r="M4" s="270"/>
      <c r="N4" s="271"/>
      <c r="O4" s="270"/>
      <c r="P4" s="271"/>
      <c r="Q4" s="270"/>
      <c r="R4" s="271"/>
      <c r="S4" s="270"/>
    </row>
    <row r="5" spans="1:19" ht="16" customHeight="1">
      <c r="A5" s="615"/>
      <c r="B5" s="275"/>
      <c r="C5" s="274"/>
      <c r="D5" s="275"/>
      <c r="E5" s="362"/>
      <c r="F5" s="276"/>
      <c r="G5" s="274"/>
      <c r="H5" s="275"/>
      <c r="I5" s="274"/>
      <c r="J5" s="275"/>
      <c r="K5" s="274"/>
      <c r="L5" s="275"/>
      <c r="M5" s="274"/>
      <c r="N5" s="275"/>
      <c r="O5" s="274"/>
      <c r="P5" s="275"/>
      <c r="Q5" s="274"/>
      <c r="R5" s="275"/>
      <c r="S5" s="274"/>
    </row>
    <row r="6" spans="1:19" ht="30" customHeight="1" thickBot="1">
      <c r="A6" s="616" t="s">
        <v>502</v>
      </c>
      <c r="B6" s="353">
        <v>233.35235496236601</v>
      </c>
      <c r="C6" s="352">
        <v>241.12615278522208</v>
      </c>
      <c r="D6" s="353">
        <v>288.02905364226785</v>
      </c>
      <c r="E6" s="352">
        <v>298.65160195944532</v>
      </c>
      <c r="F6" s="353">
        <v>312.9842329100602</v>
      </c>
      <c r="G6" s="352">
        <v>324.62998357200581</v>
      </c>
      <c r="H6" s="288">
        <v>336.36283542835167</v>
      </c>
      <c r="I6" s="287">
        <v>349.20490600771882</v>
      </c>
      <c r="J6" s="288">
        <v>389.260493927075</v>
      </c>
      <c r="K6" s="287">
        <v>406.53365759860662</v>
      </c>
      <c r="L6" s="288">
        <v>410.94161685251174</v>
      </c>
      <c r="M6" s="287">
        <v>426.9588857994363</v>
      </c>
      <c r="N6" s="288">
        <v>442.66141955891999</v>
      </c>
      <c r="O6" s="287">
        <v>450.51595207203582</v>
      </c>
      <c r="P6" s="288">
        <v>450.08688048681188</v>
      </c>
      <c r="Q6" s="287">
        <v>464.92625202393612</v>
      </c>
      <c r="R6" s="288">
        <v>473.96354610223665</v>
      </c>
      <c r="S6" s="287">
        <v>497.96400623141744</v>
      </c>
    </row>
    <row r="7" spans="1:19" ht="20" customHeight="1" thickBot="1">
      <c r="A7" s="617" t="s">
        <v>503</v>
      </c>
      <c r="B7" s="159">
        <v>237.6077132116302</v>
      </c>
      <c r="C7" s="289">
        <v>254.29196483611372</v>
      </c>
      <c r="D7" s="159">
        <v>290.23031121517556</v>
      </c>
      <c r="E7" s="289">
        <v>305.20165981480295</v>
      </c>
      <c r="F7" s="159">
        <v>321.67071389780745</v>
      </c>
      <c r="G7" s="289">
        <v>327.5433148690322</v>
      </c>
      <c r="H7" s="288">
        <v>337.12449180637987</v>
      </c>
      <c r="I7" s="287">
        <v>353.20712208069472</v>
      </c>
      <c r="J7" s="288">
        <v>388.04958315794829</v>
      </c>
      <c r="K7" s="287">
        <v>406.41314713126121</v>
      </c>
      <c r="L7" s="288">
        <v>411.94314916193935</v>
      </c>
      <c r="M7" s="287">
        <v>428.12210531071014</v>
      </c>
      <c r="N7" s="288">
        <v>442.20792301242318</v>
      </c>
      <c r="O7" s="287">
        <v>448.87438233297325</v>
      </c>
      <c r="P7" s="288">
        <v>441.792342530935</v>
      </c>
      <c r="Q7" s="287">
        <v>459.4180388230651</v>
      </c>
      <c r="R7" s="288">
        <v>471.38250839648327</v>
      </c>
      <c r="S7" s="287">
        <v>488.3779804163006</v>
      </c>
    </row>
    <row r="8" spans="1:19" ht="20" customHeight="1" thickBot="1">
      <c r="A8" s="617" t="s">
        <v>504</v>
      </c>
      <c r="B8" s="159">
        <v>179.58188015983001</v>
      </c>
      <c r="C8" s="289">
        <v>185.37108979831305</v>
      </c>
      <c r="D8" s="159">
        <v>223.46252715353921</v>
      </c>
      <c r="E8" s="289">
        <v>231.83313402359317</v>
      </c>
      <c r="F8" s="159">
        <v>242.07565128594979</v>
      </c>
      <c r="G8" s="289">
        <v>253.79626568388267</v>
      </c>
      <c r="H8" s="288">
        <v>261.14130835872152</v>
      </c>
      <c r="I8" s="287">
        <v>272.02762715132553</v>
      </c>
      <c r="J8" s="288">
        <v>314.8156455265314</v>
      </c>
      <c r="K8" s="287">
        <v>332.80849069109854</v>
      </c>
      <c r="L8" s="288">
        <v>333.45356513572938</v>
      </c>
      <c r="M8" s="287">
        <v>349.49195040990344</v>
      </c>
      <c r="N8" s="288">
        <v>362.63087179782042</v>
      </c>
      <c r="O8" s="287">
        <v>373.99902367675031</v>
      </c>
      <c r="P8" s="288">
        <v>379.87019714343432</v>
      </c>
      <c r="Q8" s="287">
        <v>397.75270208962581</v>
      </c>
      <c r="R8" s="288">
        <v>413.40149850155291</v>
      </c>
      <c r="S8" s="287">
        <v>433.24109149170403</v>
      </c>
    </row>
    <row r="9" spans="1:19" ht="20" customHeight="1" thickBot="1">
      <c r="A9" s="617" t="s">
        <v>505</v>
      </c>
      <c r="B9" s="159">
        <v>189.59337489112431</v>
      </c>
      <c r="C9" s="289">
        <v>199.6587939094577</v>
      </c>
      <c r="D9" s="159">
        <v>231.04149489699967</v>
      </c>
      <c r="E9" s="289">
        <v>247.66979927619195</v>
      </c>
      <c r="F9" s="159">
        <v>257.20746139396988</v>
      </c>
      <c r="G9" s="289">
        <v>273.27696231366895</v>
      </c>
      <c r="H9" s="288">
        <v>273.39404246303752</v>
      </c>
      <c r="I9" s="287">
        <v>285.63528903150814</v>
      </c>
      <c r="J9" s="288">
        <v>319.18624012833834</v>
      </c>
      <c r="K9" s="287">
        <v>340.94681606129916</v>
      </c>
      <c r="L9" s="288">
        <v>345.66780687385381</v>
      </c>
      <c r="M9" s="287">
        <v>375.44264100406508</v>
      </c>
      <c r="N9" s="288">
        <v>377.7500809772564</v>
      </c>
      <c r="O9" s="287">
        <v>383.73173683185132</v>
      </c>
      <c r="P9" s="288">
        <v>386.42642646622971</v>
      </c>
      <c r="Q9" s="287">
        <v>397.33980203053397</v>
      </c>
      <c r="R9" s="288">
        <v>406.57676396934517</v>
      </c>
      <c r="S9" s="287">
        <v>422.02742831615336</v>
      </c>
    </row>
    <row r="10" spans="1:19" ht="20" customHeight="1" thickBot="1">
      <c r="A10" s="617" t="s">
        <v>506</v>
      </c>
      <c r="B10" s="159">
        <v>188.02085864401874</v>
      </c>
      <c r="C10" s="289">
        <v>195.19080343355449</v>
      </c>
      <c r="D10" s="159">
        <v>231.07689134369252</v>
      </c>
      <c r="E10" s="289">
        <v>249.54171604600674</v>
      </c>
      <c r="F10" s="159">
        <v>256.80376828818021</v>
      </c>
      <c r="G10" s="289">
        <v>280.35701774313293</v>
      </c>
      <c r="H10" s="288">
        <v>286.45054334520023</v>
      </c>
      <c r="I10" s="287">
        <v>306.68619909340146</v>
      </c>
      <c r="J10" s="288">
        <v>337.15627769081289</v>
      </c>
      <c r="K10" s="287">
        <v>361.59632200614965</v>
      </c>
      <c r="L10" s="288">
        <v>370.41582299334982</v>
      </c>
      <c r="M10" s="287">
        <v>385.24276817589748</v>
      </c>
      <c r="N10" s="288">
        <v>401.06924226144611</v>
      </c>
      <c r="O10" s="287">
        <v>419.43124787342049</v>
      </c>
      <c r="P10" s="288">
        <v>417.76350066581199</v>
      </c>
      <c r="Q10" s="287">
        <v>439.99973966427484</v>
      </c>
      <c r="R10" s="288">
        <v>456.19371577111207</v>
      </c>
      <c r="S10" s="287">
        <v>474.30090944029848</v>
      </c>
    </row>
    <row r="11" spans="1:19" ht="20" customHeight="1" thickBot="1">
      <c r="A11" s="617" t="s">
        <v>507</v>
      </c>
      <c r="B11" s="159">
        <v>178.51445208136647</v>
      </c>
      <c r="C11" s="289">
        <v>189.64128645372716</v>
      </c>
      <c r="D11" s="159">
        <v>228.0300155206462</v>
      </c>
      <c r="E11" s="289">
        <v>243.86399097037565</v>
      </c>
      <c r="F11" s="159">
        <v>253.47438550439165</v>
      </c>
      <c r="G11" s="289">
        <v>258.85314232185783</v>
      </c>
      <c r="H11" s="288">
        <v>267.3999382203092</v>
      </c>
      <c r="I11" s="287">
        <v>275.17617507846808</v>
      </c>
      <c r="J11" s="288">
        <v>310.87344221905232</v>
      </c>
      <c r="K11" s="287">
        <v>333.9060218883842</v>
      </c>
      <c r="L11" s="288">
        <v>335.96305749964631</v>
      </c>
      <c r="M11" s="287">
        <v>355.98020170099699</v>
      </c>
      <c r="N11" s="288">
        <v>371.31082792927918</v>
      </c>
      <c r="O11" s="287">
        <v>376.32553235799469</v>
      </c>
      <c r="P11" s="288">
        <v>374.8804186781565</v>
      </c>
      <c r="Q11" s="287">
        <v>396.56336949927976</v>
      </c>
      <c r="R11" s="288">
        <v>406.87201504054002</v>
      </c>
      <c r="S11" s="287">
        <v>429.49864491887263</v>
      </c>
    </row>
    <row r="12" spans="1:19" ht="20" customHeight="1" thickBot="1">
      <c r="A12" s="617" t="s">
        <v>508</v>
      </c>
      <c r="B12" s="159">
        <v>177.92915606091447</v>
      </c>
      <c r="C12" s="289">
        <v>182.790763053099</v>
      </c>
      <c r="D12" s="159">
        <v>213.52836442886678</v>
      </c>
      <c r="E12" s="289">
        <v>227.25407330511803</v>
      </c>
      <c r="F12" s="159">
        <v>243.36842434049117</v>
      </c>
      <c r="G12" s="289">
        <v>249.754000725369</v>
      </c>
      <c r="H12" s="288">
        <v>264.52697997760174</v>
      </c>
      <c r="I12" s="287">
        <v>273.60031904227685</v>
      </c>
      <c r="J12" s="288">
        <v>301.3052953791971</v>
      </c>
      <c r="K12" s="287">
        <v>317.90270985290749</v>
      </c>
      <c r="L12" s="288">
        <v>334.55339690649794</v>
      </c>
      <c r="M12" s="287">
        <v>349.2970571527012</v>
      </c>
      <c r="N12" s="288">
        <v>367.87176441720248</v>
      </c>
      <c r="O12" s="287">
        <v>378.36458346712379</v>
      </c>
      <c r="P12" s="288">
        <v>383.50721454307291</v>
      </c>
      <c r="Q12" s="287">
        <v>390.64903055720464</v>
      </c>
      <c r="R12" s="288">
        <v>411.52688279870938</v>
      </c>
      <c r="S12" s="287">
        <v>435.3338918983431</v>
      </c>
    </row>
    <row r="13" spans="1:19" ht="20" customHeight="1" thickBot="1">
      <c r="A13" s="617" t="s">
        <v>509</v>
      </c>
      <c r="B13" s="159">
        <v>202.44912420656647</v>
      </c>
      <c r="C13" s="289">
        <v>207.59861680664721</v>
      </c>
      <c r="D13" s="159">
        <v>243.63195342533959</v>
      </c>
      <c r="E13" s="289">
        <v>263.86720716437958</v>
      </c>
      <c r="F13" s="159">
        <v>271.99305546167852</v>
      </c>
      <c r="G13" s="289">
        <v>288.56309152093741</v>
      </c>
      <c r="H13" s="288">
        <v>295.12606460770166</v>
      </c>
      <c r="I13" s="287">
        <v>309.65214527230773</v>
      </c>
      <c r="J13" s="288">
        <v>351.93899902510861</v>
      </c>
      <c r="K13" s="287">
        <v>378.28984618651111</v>
      </c>
      <c r="L13" s="288">
        <v>384.38664599749586</v>
      </c>
      <c r="M13" s="287">
        <v>380.51833358133649</v>
      </c>
      <c r="N13" s="288">
        <v>399.89770699623432</v>
      </c>
      <c r="O13" s="287">
        <v>409.22404812160858</v>
      </c>
      <c r="P13" s="288">
        <v>415.89317790064797</v>
      </c>
      <c r="Q13" s="287">
        <v>425.37201598719065</v>
      </c>
      <c r="R13" s="288">
        <v>439.96629711639679</v>
      </c>
      <c r="S13" s="287">
        <v>457.02167492298889</v>
      </c>
    </row>
    <row r="14" spans="1:19" ht="20" customHeight="1" thickBot="1">
      <c r="A14" s="617" t="s">
        <v>510</v>
      </c>
      <c r="B14" s="159">
        <v>186.77842057375869</v>
      </c>
      <c r="C14" s="289">
        <v>208.67020291070639</v>
      </c>
      <c r="D14" s="159">
        <v>246.11438702257215</v>
      </c>
      <c r="E14" s="289">
        <v>259.17815791736621</v>
      </c>
      <c r="F14" s="159">
        <v>271.15526670975078</v>
      </c>
      <c r="G14" s="289">
        <v>282.57219148644072</v>
      </c>
      <c r="H14" s="288">
        <v>293.31429498906846</v>
      </c>
      <c r="I14" s="287">
        <v>302.96829654711496</v>
      </c>
      <c r="J14" s="288">
        <v>331.49187870019614</v>
      </c>
      <c r="K14" s="287">
        <v>349.57643835558292</v>
      </c>
      <c r="L14" s="288">
        <v>355.47894546396446</v>
      </c>
      <c r="M14" s="287">
        <v>369.7225911365681</v>
      </c>
      <c r="N14" s="288">
        <v>384.07581337563897</v>
      </c>
      <c r="O14" s="287">
        <v>399.66443353648992</v>
      </c>
      <c r="P14" s="288">
        <v>398.36630919634536</v>
      </c>
      <c r="Q14" s="287">
        <v>415.73174256788059</v>
      </c>
      <c r="R14" s="288">
        <v>427.75893772942243</v>
      </c>
      <c r="S14" s="287">
        <v>445.65727907991743</v>
      </c>
    </row>
    <row r="15" spans="1:19" ht="20" customHeight="1" thickBot="1">
      <c r="A15" s="617" t="s">
        <v>511</v>
      </c>
      <c r="B15" s="159">
        <v>236.41111931924934</v>
      </c>
      <c r="C15" s="289">
        <v>250.32683485975099</v>
      </c>
      <c r="D15" s="159">
        <v>295.5563547540869</v>
      </c>
      <c r="E15" s="289">
        <v>308.53341422500898</v>
      </c>
      <c r="F15" s="159">
        <v>311.86589912896557</v>
      </c>
      <c r="G15" s="289">
        <v>328.42898245840456</v>
      </c>
      <c r="H15" s="288">
        <v>340.34822486756639</v>
      </c>
      <c r="I15" s="287">
        <v>346.50692394962357</v>
      </c>
      <c r="J15" s="288">
        <v>370.59988068369989</v>
      </c>
      <c r="K15" s="287">
        <v>388.16630227150836</v>
      </c>
      <c r="L15" s="288">
        <v>391.96475376295848</v>
      </c>
      <c r="M15" s="287">
        <v>406.10705466921991</v>
      </c>
      <c r="N15" s="288">
        <v>413.02910980457409</v>
      </c>
      <c r="O15" s="287">
        <v>423.07649463467123</v>
      </c>
      <c r="P15" s="288">
        <v>420.37141213536597</v>
      </c>
      <c r="Q15" s="287">
        <v>435.34744823768494</v>
      </c>
      <c r="R15" s="288">
        <v>438.45369438879868</v>
      </c>
      <c r="S15" s="287">
        <v>461.79210574678393</v>
      </c>
    </row>
    <row r="16" spans="1:19" ht="20" customHeight="1" thickBot="1">
      <c r="A16" s="617" t="s">
        <v>512</v>
      </c>
      <c r="B16" s="159">
        <v>222.03730834172188</v>
      </c>
      <c r="C16" s="289">
        <v>234.51924006812987</v>
      </c>
      <c r="D16" s="159">
        <v>273.19762237178929</v>
      </c>
      <c r="E16" s="289">
        <v>286.54799681487748</v>
      </c>
      <c r="F16" s="159">
        <v>302.13721717341218</v>
      </c>
      <c r="G16" s="289">
        <v>311.51283491587697</v>
      </c>
      <c r="H16" s="288">
        <v>324.00898462665532</v>
      </c>
      <c r="I16" s="287">
        <v>337.23386810636634</v>
      </c>
      <c r="J16" s="288">
        <v>365.90723821575921</v>
      </c>
      <c r="K16" s="287">
        <v>389.21286319664887</v>
      </c>
      <c r="L16" s="288">
        <v>396.50644375843922</v>
      </c>
      <c r="M16" s="287">
        <v>411.41761610787898</v>
      </c>
      <c r="N16" s="288">
        <v>431.20492121828511</v>
      </c>
      <c r="O16" s="287">
        <v>433.56137010910197</v>
      </c>
      <c r="P16" s="288">
        <v>432.83516394968956</v>
      </c>
      <c r="Q16" s="287">
        <v>447.93788232235937</v>
      </c>
      <c r="R16" s="288">
        <v>463.80934733409407</v>
      </c>
      <c r="S16" s="287">
        <v>482.97921131720261</v>
      </c>
    </row>
    <row r="17" spans="1:19" ht="20" customHeight="1" thickBot="1">
      <c r="A17" s="617" t="s">
        <v>513</v>
      </c>
      <c r="B17" s="159">
        <v>272.8488325513008</v>
      </c>
      <c r="C17" s="289">
        <v>294.22515233484864</v>
      </c>
      <c r="D17" s="159">
        <v>351.21798398738792</v>
      </c>
      <c r="E17" s="289">
        <v>364.42760172274484</v>
      </c>
      <c r="F17" s="159">
        <v>370.39134274356957</v>
      </c>
      <c r="G17" s="289">
        <v>392.37582957068526</v>
      </c>
      <c r="H17" s="288">
        <v>396.18449151435743</v>
      </c>
      <c r="I17" s="287">
        <v>418.3832474602541</v>
      </c>
      <c r="J17" s="288">
        <v>446.98786250878084</v>
      </c>
      <c r="K17" s="287">
        <v>469.00007995425813</v>
      </c>
      <c r="L17" s="288">
        <v>468.00178609834074</v>
      </c>
      <c r="M17" s="287">
        <v>474.37828727358328</v>
      </c>
      <c r="N17" s="288">
        <v>488.22264214640381</v>
      </c>
      <c r="O17" s="287">
        <v>486.58326690914828</v>
      </c>
      <c r="P17" s="288">
        <v>486.53748843341646</v>
      </c>
      <c r="Q17" s="287">
        <v>542.38626219356308</v>
      </c>
      <c r="R17" s="288">
        <v>545.4313085524999</v>
      </c>
      <c r="S17" s="287">
        <v>559.34587584323481</v>
      </c>
    </row>
    <row r="18" spans="1:19" ht="20" customHeight="1" thickBot="1">
      <c r="A18" s="617" t="s">
        <v>514</v>
      </c>
      <c r="B18" s="159">
        <v>244.00898768079105</v>
      </c>
      <c r="C18" s="289">
        <v>263.59866478576328</v>
      </c>
      <c r="D18" s="159">
        <v>305.67107758536281</v>
      </c>
      <c r="E18" s="289">
        <v>322.66615301145885</v>
      </c>
      <c r="F18" s="159">
        <v>334.74259361880286</v>
      </c>
      <c r="G18" s="289">
        <v>351.03465657829429</v>
      </c>
      <c r="H18" s="288">
        <v>365.52851672511406</v>
      </c>
      <c r="I18" s="287">
        <v>383.48774622409474</v>
      </c>
      <c r="J18" s="288">
        <v>415.44185689878486</v>
      </c>
      <c r="K18" s="287">
        <v>443.01200779340797</v>
      </c>
      <c r="L18" s="288">
        <v>451.53305346928482</v>
      </c>
      <c r="M18" s="287">
        <v>473.29031085911447</v>
      </c>
      <c r="N18" s="288">
        <v>491.00712171621171</v>
      </c>
      <c r="O18" s="287">
        <v>496.92906664060547</v>
      </c>
      <c r="P18" s="288">
        <v>491.99580639889427</v>
      </c>
      <c r="Q18" s="287">
        <v>517.11381391790371</v>
      </c>
      <c r="R18" s="288">
        <v>530.49403628157143</v>
      </c>
      <c r="S18" s="287">
        <v>553.33852762146944</v>
      </c>
    </row>
    <row r="19" spans="1:19" ht="20" customHeight="1" thickBot="1">
      <c r="A19" s="617" t="s">
        <v>515</v>
      </c>
      <c r="B19" s="159">
        <v>222.64829733491706</v>
      </c>
      <c r="C19" s="289">
        <v>234.17222487940489</v>
      </c>
      <c r="D19" s="159">
        <v>267.83543445046939</v>
      </c>
      <c r="E19" s="289">
        <v>291.65075431647347</v>
      </c>
      <c r="F19" s="159">
        <v>304.42752625478488</v>
      </c>
      <c r="G19" s="289">
        <v>320.58970750917047</v>
      </c>
      <c r="H19" s="288">
        <v>324.78125799661234</v>
      </c>
      <c r="I19" s="287">
        <v>332.4739578155959</v>
      </c>
      <c r="J19" s="288">
        <v>374.20785181571046</v>
      </c>
      <c r="K19" s="287">
        <v>394.49213534015098</v>
      </c>
      <c r="L19" s="288">
        <v>407.21727133935156</v>
      </c>
      <c r="M19" s="287">
        <v>421.00835772791334</v>
      </c>
      <c r="N19" s="288">
        <v>430.15016565176074</v>
      </c>
      <c r="O19" s="287">
        <v>436.48673225009907</v>
      </c>
      <c r="P19" s="288">
        <v>437.94792943029097</v>
      </c>
      <c r="Q19" s="287">
        <v>448.91412354158552</v>
      </c>
      <c r="R19" s="288">
        <v>457.66425242281753</v>
      </c>
      <c r="S19" s="287">
        <v>475.16642268735058</v>
      </c>
    </row>
    <row r="20" spans="1:19" ht="20" customHeight="1" thickBot="1">
      <c r="A20" s="617" t="s">
        <v>516</v>
      </c>
      <c r="B20" s="159">
        <v>182.14749716421738</v>
      </c>
      <c r="C20" s="289">
        <v>188.79514196149626</v>
      </c>
      <c r="D20" s="159">
        <v>216.44350034098602</v>
      </c>
      <c r="E20" s="289">
        <v>229.62698042307284</v>
      </c>
      <c r="F20" s="159">
        <v>241.98349547653311</v>
      </c>
      <c r="G20" s="289">
        <v>254.95271426425484</v>
      </c>
      <c r="H20" s="288">
        <v>264.76605423019578</v>
      </c>
      <c r="I20" s="287">
        <v>283.29617470802941</v>
      </c>
      <c r="J20" s="288">
        <v>319.51328079608584</v>
      </c>
      <c r="K20" s="287">
        <v>338.04503402853993</v>
      </c>
      <c r="L20" s="288">
        <v>342.03791626091311</v>
      </c>
      <c r="M20" s="287">
        <v>353.15659648063411</v>
      </c>
      <c r="N20" s="288">
        <v>367.09197170155244</v>
      </c>
      <c r="O20" s="287">
        <v>377.34542488670513</v>
      </c>
      <c r="P20" s="288">
        <v>380.90846329446413</v>
      </c>
      <c r="Q20" s="287">
        <v>398.28619462998171</v>
      </c>
      <c r="R20" s="288">
        <v>407.5006102120002</v>
      </c>
      <c r="S20" s="287">
        <v>426.38250726590405</v>
      </c>
    </row>
    <row r="21" spans="1:19" ht="20" customHeight="1" thickBot="1">
      <c r="A21" s="617" t="s">
        <v>517</v>
      </c>
      <c r="B21" s="159">
        <v>157.39716198436213</v>
      </c>
      <c r="C21" s="289">
        <v>153.21501816150158</v>
      </c>
      <c r="D21" s="159">
        <v>176.19673363609945</v>
      </c>
      <c r="E21" s="289">
        <v>193.02690675696454</v>
      </c>
      <c r="F21" s="159">
        <v>209.41757247183909</v>
      </c>
      <c r="G21" s="289">
        <v>224.87005774466866</v>
      </c>
      <c r="H21" s="288">
        <v>239.03084633068306</v>
      </c>
      <c r="I21" s="287">
        <v>245.9792033171293</v>
      </c>
      <c r="J21" s="288">
        <v>274.7106335211231</v>
      </c>
      <c r="K21" s="287">
        <v>293.11371686665984</v>
      </c>
      <c r="L21" s="288">
        <v>295.92433225573495</v>
      </c>
      <c r="M21" s="287">
        <v>308.42929598410979</v>
      </c>
      <c r="N21" s="288">
        <v>340.31431596128891</v>
      </c>
      <c r="O21" s="287">
        <v>342.42358695596681</v>
      </c>
      <c r="P21" s="288">
        <v>348.09662618392349</v>
      </c>
      <c r="Q21" s="287">
        <v>373.3623111373841</v>
      </c>
      <c r="R21" s="288">
        <v>382.85896900100397</v>
      </c>
      <c r="S21" s="287">
        <v>391.02246435873434</v>
      </c>
    </row>
    <row r="22" spans="1:19" ht="20" customHeight="1" thickBot="1">
      <c r="A22" s="617" t="s">
        <v>518</v>
      </c>
      <c r="B22" s="159">
        <v>189.85490562184896</v>
      </c>
      <c r="C22" s="289">
        <v>201.74454467196119</v>
      </c>
      <c r="D22" s="159">
        <v>235.52252887290842</v>
      </c>
      <c r="E22" s="289">
        <v>252.2707487750472</v>
      </c>
      <c r="F22" s="159">
        <v>261.3854633196936</v>
      </c>
      <c r="G22" s="289">
        <v>274.86573038734196</v>
      </c>
      <c r="H22" s="288">
        <v>287.88528097620951</v>
      </c>
      <c r="I22" s="287">
        <v>304.60188537958857</v>
      </c>
      <c r="J22" s="288">
        <v>343.30152619425371</v>
      </c>
      <c r="K22" s="287">
        <v>362.09876670688323</v>
      </c>
      <c r="L22" s="288">
        <v>371.26240171984045</v>
      </c>
      <c r="M22" s="287">
        <v>371.28536395652509</v>
      </c>
      <c r="N22" s="288">
        <v>387.93251706008141</v>
      </c>
      <c r="O22" s="287">
        <v>400.85100322578364</v>
      </c>
      <c r="P22" s="288">
        <v>405.43029900858028</v>
      </c>
      <c r="Q22" s="287">
        <v>425.45078411133426</v>
      </c>
      <c r="R22" s="288">
        <v>437.53845733566965</v>
      </c>
      <c r="S22" s="287">
        <v>457.20329733975012</v>
      </c>
    </row>
    <row r="23" spans="1:19" ht="20" customHeight="1" thickBot="1">
      <c r="A23" s="617" t="s">
        <v>519</v>
      </c>
      <c r="B23" s="159">
        <v>182.81328847222653</v>
      </c>
      <c r="C23" s="289">
        <v>173.66858262166511</v>
      </c>
      <c r="D23" s="159">
        <v>216.2915030518875</v>
      </c>
      <c r="E23" s="289">
        <v>238.90713217656003</v>
      </c>
      <c r="F23" s="159">
        <v>255.53328134115009</v>
      </c>
      <c r="G23" s="289">
        <v>268.91773678022491</v>
      </c>
      <c r="H23" s="288">
        <v>284.02544197576526</v>
      </c>
      <c r="I23" s="287">
        <v>294.28046670179197</v>
      </c>
      <c r="J23" s="288">
        <v>344.92066653901338</v>
      </c>
      <c r="K23" s="287">
        <v>359.41517796564017</v>
      </c>
      <c r="L23" s="288">
        <v>364.74597406984253</v>
      </c>
      <c r="M23" s="287">
        <v>367.69609212743808</v>
      </c>
      <c r="N23" s="288">
        <v>380.33362416821592</v>
      </c>
      <c r="O23" s="287">
        <v>392.31713740851865</v>
      </c>
      <c r="P23" s="288">
        <v>393.07080980562023</v>
      </c>
      <c r="Q23" s="287">
        <v>411.83702921706305</v>
      </c>
      <c r="R23" s="288">
        <v>420.43594419429417</v>
      </c>
      <c r="S23" s="287">
        <v>444.07192673369019</v>
      </c>
    </row>
    <row r="24" spans="1:19" ht="20" customHeight="1" thickBot="1">
      <c r="A24" s="617" t="s">
        <v>520</v>
      </c>
      <c r="B24" s="159">
        <v>200.87186324123422</v>
      </c>
      <c r="C24" s="289">
        <v>206.93301112714244</v>
      </c>
      <c r="D24" s="159">
        <v>246.20994355120661</v>
      </c>
      <c r="E24" s="289">
        <v>260.43510706738448</v>
      </c>
      <c r="F24" s="159">
        <v>274.33485885573441</v>
      </c>
      <c r="G24" s="289">
        <v>286.10750661734505</v>
      </c>
      <c r="H24" s="288">
        <v>299.92768220867697</v>
      </c>
      <c r="I24" s="287">
        <v>309.93435854180279</v>
      </c>
      <c r="J24" s="288">
        <v>345.18784655107629</v>
      </c>
      <c r="K24" s="287">
        <v>367.24479202465523</v>
      </c>
      <c r="L24" s="288">
        <v>374.55378500482584</v>
      </c>
      <c r="M24" s="287">
        <v>386.30527919272117</v>
      </c>
      <c r="N24" s="288">
        <v>402.61815271893693</v>
      </c>
      <c r="O24" s="287">
        <v>411.36913635652763</v>
      </c>
      <c r="P24" s="288">
        <v>414.80628449684991</v>
      </c>
      <c r="Q24" s="287">
        <v>431.09941705649862</v>
      </c>
      <c r="R24" s="288">
        <v>447.19692351940358</v>
      </c>
      <c r="S24" s="287">
        <v>465.84863802540292</v>
      </c>
    </row>
    <row r="25" spans="1:19" ht="20" customHeight="1" thickBot="1">
      <c r="A25" s="617" t="s">
        <v>521</v>
      </c>
      <c r="B25" s="159">
        <v>177.92178571585623</v>
      </c>
      <c r="C25" s="289">
        <v>202.07640346015182</v>
      </c>
      <c r="D25" s="159">
        <v>234.78927831962437</v>
      </c>
      <c r="E25" s="289">
        <v>249.15240587320409</v>
      </c>
      <c r="F25" s="159">
        <v>261.86199082286089</v>
      </c>
      <c r="G25" s="289">
        <v>275.48017608434634</v>
      </c>
      <c r="H25" s="288">
        <v>288.09521673651739</v>
      </c>
      <c r="I25" s="287">
        <v>307.91738634208173</v>
      </c>
      <c r="J25" s="288">
        <v>335.804604806719</v>
      </c>
      <c r="K25" s="287">
        <v>352.70547782392464</v>
      </c>
      <c r="L25" s="288">
        <v>362.16557234624338</v>
      </c>
      <c r="M25" s="287">
        <v>377.10589457551396</v>
      </c>
      <c r="N25" s="288">
        <v>391.7979561776915</v>
      </c>
      <c r="O25" s="287">
        <v>400.59955829122237</v>
      </c>
      <c r="P25" s="288">
        <v>401.88218001412952</v>
      </c>
      <c r="Q25" s="287">
        <v>419.35699428379877</v>
      </c>
      <c r="R25" s="288">
        <v>424.6397084312589</v>
      </c>
      <c r="S25" s="287">
        <v>450.71589273529332</v>
      </c>
    </row>
    <row r="26" spans="1:19" ht="20" customHeight="1" thickBot="1">
      <c r="A26" s="617" t="s">
        <v>522</v>
      </c>
      <c r="B26" s="159">
        <v>274.685846405451</v>
      </c>
      <c r="C26" s="289">
        <v>288.86326680580942</v>
      </c>
      <c r="D26" s="159">
        <v>350.59222592715628</v>
      </c>
      <c r="E26" s="289">
        <v>371.1793743774972</v>
      </c>
      <c r="F26" s="159">
        <v>384.82426358125031</v>
      </c>
      <c r="G26" s="289">
        <v>401.86707367914369</v>
      </c>
      <c r="H26" s="288">
        <v>418.66660167433292</v>
      </c>
      <c r="I26" s="287">
        <v>423.27563970057872</v>
      </c>
      <c r="J26" s="288">
        <v>445.75338787702094</v>
      </c>
      <c r="K26" s="287">
        <v>477.87272906901626</v>
      </c>
      <c r="L26" s="288">
        <v>469.75283360733874</v>
      </c>
      <c r="M26" s="287">
        <v>474.52145046912983</v>
      </c>
      <c r="N26" s="288">
        <v>474.56797687566586</v>
      </c>
      <c r="O26" s="287">
        <v>485.04982740636706</v>
      </c>
      <c r="P26" s="288">
        <v>486.43955680505178</v>
      </c>
      <c r="Q26" s="287">
        <v>500.99841195883732</v>
      </c>
      <c r="R26" s="288">
        <v>514.37602723134489</v>
      </c>
      <c r="S26" s="287">
        <v>532.41131122326431</v>
      </c>
    </row>
    <row r="27" spans="1:19" ht="20" customHeight="1" thickBot="1">
      <c r="A27" s="617" t="s">
        <v>523</v>
      </c>
      <c r="B27" s="159">
        <v>297.92578868154919</v>
      </c>
      <c r="C27" s="289">
        <v>315.21305480329238</v>
      </c>
      <c r="D27" s="159">
        <v>360.49080935832012</v>
      </c>
      <c r="E27" s="289">
        <v>370.87566666329349</v>
      </c>
      <c r="F27" s="159">
        <v>392.85442097156647</v>
      </c>
      <c r="G27" s="289">
        <v>413.64298778568673</v>
      </c>
      <c r="H27" s="288">
        <v>421.60291558296649</v>
      </c>
      <c r="I27" s="287">
        <v>421.58948730521797</v>
      </c>
      <c r="J27" s="288">
        <v>440.37474568421067</v>
      </c>
      <c r="K27" s="287">
        <v>452.94939064697701</v>
      </c>
      <c r="L27" s="288">
        <v>457.97141570633721</v>
      </c>
      <c r="M27" s="287">
        <v>468.97399530498024</v>
      </c>
      <c r="N27" s="288">
        <v>478.35789930379451</v>
      </c>
      <c r="O27" s="287">
        <v>474.52889136233489</v>
      </c>
      <c r="P27" s="288">
        <v>471.26917591697656</v>
      </c>
      <c r="Q27" s="287">
        <v>478.98409575565353</v>
      </c>
      <c r="R27" s="288">
        <v>488.90420857199376</v>
      </c>
      <c r="S27" s="287">
        <v>503.02447433797067</v>
      </c>
    </row>
    <row r="28" spans="1:19" ht="20" customHeight="1" thickBot="1">
      <c r="A28" s="617" t="s">
        <v>524</v>
      </c>
      <c r="B28" s="159">
        <v>222.65932497994868</v>
      </c>
      <c r="C28" s="289">
        <v>237.11203720033882</v>
      </c>
      <c r="D28" s="159">
        <v>273.06383742196681</v>
      </c>
      <c r="E28" s="289">
        <v>276.59700419576598</v>
      </c>
      <c r="F28" s="159">
        <v>296.22330278323102</v>
      </c>
      <c r="G28" s="289">
        <v>307.08772204781963</v>
      </c>
      <c r="H28" s="288">
        <v>317.23299596450192</v>
      </c>
      <c r="I28" s="287">
        <v>322.78017100526881</v>
      </c>
      <c r="J28" s="288">
        <v>347.965868451804</v>
      </c>
      <c r="K28" s="287">
        <v>365.71522982610782</v>
      </c>
      <c r="L28" s="288">
        <v>373.61976618289145</v>
      </c>
      <c r="M28" s="287">
        <v>383.34347766057817</v>
      </c>
      <c r="N28" s="288">
        <v>392.30936706911098</v>
      </c>
      <c r="O28" s="287">
        <v>397.79263488074866</v>
      </c>
      <c r="P28" s="288">
        <v>402.82987469265618</v>
      </c>
      <c r="Q28" s="287">
        <v>418.13891527653328</v>
      </c>
      <c r="R28" s="288">
        <v>434.63642842631936</v>
      </c>
      <c r="S28" s="287">
        <v>441.64069637872666</v>
      </c>
    </row>
    <row r="29" spans="1:19" ht="20" customHeight="1" thickBot="1">
      <c r="A29" s="617" t="s">
        <v>525</v>
      </c>
      <c r="B29" s="159">
        <v>258.01694682038283</v>
      </c>
      <c r="C29" s="289">
        <v>278.24133695950013</v>
      </c>
      <c r="D29" s="159">
        <v>331.12048728808713</v>
      </c>
      <c r="E29" s="289">
        <v>326.87490511353712</v>
      </c>
      <c r="F29" s="159">
        <v>355.25336161642372</v>
      </c>
      <c r="G29" s="289">
        <v>365.77496638861567</v>
      </c>
      <c r="H29" s="288">
        <v>381.28454593334482</v>
      </c>
      <c r="I29" s="287">
        <v>387.44095610783324</v>
      </c>
      <c r="J29" s="288">
        <v>408.183570011337</v>
      </c>
      <c r="K29" s="287">
        <v>415.17506897250178</v>
      </c>
      <c r="L29" s="288">
        <v>404.55241842062469</v>
      </c>
      <c r="M29" s="287">
        <v>405.89087932730945</v>
      </c>
      <c r="N29" s="288">
        <v>426.3751871590166</v>
      </c>
      <c r="O29" s="287">
        <v>423.66678533300365</v>
      </c>
      <c r="P29" s="288">
        <v>418.25054453111716</v>
      </c>
      <c r="Q29" s="287">
        <v>423.47520140824128</v>
      </c>
      <c r="R29" s="288">
        <v>429.37377057666112</v>
      </c>
      <c r="S29" s="287">
        <v>446.8121442700886</v>
      </c>
    </row>
    <row r="30" spans="1:19" ht="20" customHeight="1" thickBot="1">
      <c r="A30" s="617" t="s">
        <v>526</v>
      </c>
      <c r="B30" s="159">
        <v>297.18116917660109</v>
      </c>
      <c r="C30" s="289">
        <v>329.12460372797113</v>
      </c>
      <c r="D30" s="159">
        <v>393.38859336059659</v>
      </c>
      <c r="E30" s="289">
        <v>405.57356456628122</v>
      </c>
      <c r="F30" s="159">
        <v>409.31447251490636</v>
      </c>
      <c r="G30" s="289">
        <v>436.78852685410175</v>
      </c>
      <c r="H30" s="288">
        <v>464.72184639424086</v>
      </c>
      <c r="I30" s="287">
        <v>452.32329732259041</v>
      </c>
      <c r="J30" s="288">
        <v>479.4898603693855</v>
      </c>
      <c r="K30" s="287">
        <v>503.20564072566685</v>
      </c>
      <c r="L30" s="288">
        <v>488.6066162416746</v>
      </c>
      <c r="M30" s="287">
        <v>497.44387507258716</v>
      </c>
      <c r="N30" s="288">
        <v>510.401474562781</v>
      </c>
      <c r="O30" s="287">
        <v>508.4046224559338</v>
      </c>
      <c r="P30" s="288">
        <v>507.53758391856809</v>
      </c>
      <c r="Q30" s="287">
        <v>523.2073549387834</v>
      </c>
      <c r="R30" s="288">
        <v>536.07232625487632</v>
      </c>
      <c r="S30" s="287">
        <v>539.64959070346151</v>
      </c>
    </row>
    <row r="31" spans="1:19" ht="20" customHeight="1" thickBot="1">
      <c r="A31" s="617" t="s">
        <v>527</v>
      </c>
      <c r="B31" s="159">
        <v>239.03400533198146</v>
      </c>
      <c r="C31" s="289">
        <v>258.36344588864176</v>
      </c>
      <c r="D31" s="159">
        <v>299.93685925166142</v>
      </c>
      <c r="E31" s="289">
        <v>323.48129708966235</v>
      </c>
      <c r="F31" s="159">
        <v>327.82938166562008</v>
      </c>
      <c r="G31" s="289">
        <v>340.57416926268752</v>
      </c>
      <c r="H31" s="288">
        <v>360.22427370980677</v>
      </c>
      <c r="I31" s="287">
        <v>361.84466792373314</v>
      </c>
      <c r="J31" s="288">
        <v>384.82629965994056</v>
      </c>
      <c r="K31" s="287">
        <v>419.74898313957601</v>
      </c>
      <c r="L31" s="288">
        <v>410.8356598087089</v>
      </c>
      <c r="M31" s="287">
        <v>424.04746018637525</v>
      </c>
      <c r="N31" s="288">
        <v>432.06132431516517</v>
      </c>
      <c r="O31" s="287">
        <v>434.79945679784441</v>
      </c>
      <c r="P31" s="288">
        <v>429.5224291542504</v>
      </c>
      <c r="Q31" s="287">
        <v>446.5118249044906</v>
      </c>
      <c r="R31" s="288">
        <v>443.78871616026942</v>
      </c>
      <c r="S31" s="287">
        <v>461.08681946522177</v>
      </c>
    </row>
    <row r="32" spans="1:19" ht="30" customHeight="1" thickBot="1">
      <c r="A32" s="618" t="s">
        <v>530</v>
      </c>
      <c r="B32" s="291">
        <v>232.07645782669101</v>
      </c>
      <c r="C32" s="290">
        <v>245.69743221523299</v>
      </c>
      <c r="D32" s="291">
        <v>289.40857360180235</v>
      </c>
      <c r="E32" s="290">
        <v>301.20274500235337</v>
      </c>
      <c r="F32" s="291">
        <v>314.93213457244246</v>
      </c>
      <c r="G32" s="290">
        <v>328.74586532074136</v>
      </c>
      <c r="H32" s="241">
        <v>340.77001638747834</v>
      </c>
      <c r="I32" s="619">
        <v>351.10178317952932</v>
      </c>
      <c r="J32" s="244">
        <v>383.59639857337424</v>
      </c>
      <c r="K32" s="619">
        <v>402.775818236345</v>
      </c>
      <c r="L32" s="244">
        <v>406.3302873531361</v>
      </c>
      <c r="M32" s="619">
        <v>418.57781696455777</v>
      </c>
      <c r="N32" s="244">
        <v>432.06970918600427</v>
      </c>
      <c r="O32" s="619">
        <v>438.77662885550035</v>
      </c>
      <c r="P32" s="244">
        <v>438.157107571305</v>
      </c>
      <c r="Q32" s="619">
        <v>454.68760451818554</v>
      </c>
      <c r="R32" s="244">
        <v>465.87081007843818</v>
      </c>
      <c r="S32" s="619">
        <v>484.10420226417529</v>
      </c>
    </row>
    <row r="33" spans="1:8" ht="20" customHeight="1">
      <c r="A33" s="189" t="s">
        <v>346</v>
      </c>
      <c r="B33" s="457"/>
      <c r="C33" s="457"/>
      <c r="D33" s="457"/>
      <c r="E33" s="457"/>
      <c r="F33" s="620"/>
      <c r="G33" s="457"/>
      <c r="H33" s="610"/>
    </row>
    <row r="34" spans="1:8" ht="15.75" customHeight="1">
      <c r="A34" s="219"/>
      <c r="B34" s="459"/>
      <c r="C34" s="459"/>
      <c r="D34" s="459"/>
      <c r="E34" s="459"/>
      <c r="F34" s="459"/>
      <c r="G34" s="459"/>
      <c r="H34" s="611"/>
    </row>
    <row r="35" spans="1:8" ht="14.25" customHeight="1">
      <c r="A35" s="461" t="s">
        <v>1607</v>
      </c>
      <c r="B35" s="459"/>
      <c r="C35" s="459"/>
      <c r="D35" s="459"/>
      <c r="E35" s="459"/>
      <c r="F35" s="459"/>
      <c r="G35" s="459"/>
      <c r="H35" s="611"/>
    </row>
    <row r="36" spans="1:8" ht="13.5" customHeight="1">
      <c r="A36" s="219"/>
      <c r="B36" s="459"/>
      <c r="C36" s="459"/>
      <c r="D36" s="459"/>
      <c r="E36" s="459"/>
      <c r="F36" s="459"/>
      <c r="G36" s="459"/>
      <c r="H36" s="611"/>
    </row>
    <row r="37" spans="1:8" ht="12.75" customHeight="1">
      <c r="A37" s="219" t="s">
        <v>1044</v>
      </c>
      <c r="B37" s="459"/>
      <c r="C37" s="459"/>
      <c r="D37" s="459"/>
      <c r="E37" s="459"/>
      <c r="F37" s="459"/>
      <c r="G37" s="459"/>
      <c r="H37" s="611"/>
    </row>
    <row r="38" spans="1:8" ht="12.75" customHeight="1">
      <c r="A38" s="3" t="s">
        <v>1189</v>
      </c>
      <c r="B38" s="459"/>
      <c r="C38" s="459"/>
      <c r="D38" s="459"/>
      <c r="E38" s="459"/>
      <c r="F38" s="459"/>
      <c r="G38" s="459"/>
      <c r="H38" s="611"/>
    </row>
    <row r="40" spans="1:8">
      <c r="A40" s="219"/>
    </row>
    <row r="41" spans="1:8">
      <c r="A41" s="219" t="s">
        <v>302</v>
      </c>
    </row>
  </sheetData>
  <pageMargins left="0.38" right="0.37" top="0.55118110236220474" bottom="0.47244094488188981" header="0.43307086614173229" footer="0.51181102362204722"/>
  <pageSetup paperSize="9" scale="61" orientation="landscape"/>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9D794-606B-7641-814F-E75F632CF8E5}">
  <sheetPr>
    <pageSetUpPr fitToPage="1"/>
  </sheetPr>
  <dimension ref="A1:G13"/>
  <sheetViews>
    <sheetView zoomScale="115" zoomScaleNormal="115" workbookViewId="0">
      <selection activeCell="B3" sqref="B3:B10"/>
    </sheetView>
  </sheetViews>
  <sheetFormatPr baseColWidth="10" defaultColWidth="11.59765625" defaultRowHeight="13"/>
  <cols>
    <col min="1" max="1" width="5.59765625" style="393" customWidth="1"/>
    <col min="2" max="16384" width="11.59765625" style="393"/>
  </cols>
  <sheetData>
    <row r="1" spans="1:7" ht="16">
      <c r="A1" s="394" t="s">
        <v>627</v>
      </c>
    </row>
    <row r="2" spans="1:7" ht="16">
      <c r="A2" s="394"/>
    </row>
    <row r="3" spans="1:7">
      <c r="A3" s="401" t="s">
        <v>94</v>
      </c>
      <c r="B3" s="380" t="s">
        <v>628</v>
      </c>
      <c r="G3" s="400"/>
    </row>
    <row r="4" spans="1:7">
      <c r="A4" s="396">
        <v>3.02</v>
      </c>
      <c r="B4" s="380" t="s">
        <v>629</v>
      </c>
      <c r="G4" s="400"/>
    </row>
    <row r="5" spans="1:7">
      <c r="A5" s="396">
        <v>3.03</v>
      </c>
      <c r="B5" s="380" t="s">
        <v>630</v>
      </c>
      <c r="G5" s="400"/>
    </row>
    <row r="6" spans="1:7">
      <c r="A6" s="396">
        <v>3.04</v>
      </c>
      <c r="B6" s="380" t="s">
        <v>631</v>
      </c>
      <c r="G6" s="400"/>
    </row>
    <row r="7" spans="1:7">
      <c r="A7" s="396">
        <v>3.05</v>
      </c>
      <c r="B7" s="380" t="s">
        <v>632</v>
      </c>
      <c r="G7" s="400"/>
    </row>
    <row r="8" spans="1:7">
      <c r="A8" s="396">
        <v>3.06</v>
      </c>
      <c r="B8" s="380" t="s">
        <v>633</v>
      </c>
      <c r="G8" s="400"/>
    </row>
    <row r="9" spans="1:7">
      <c r="A9" s="396">
        <v>3.07</v>
      </c>
      <c r="B9" s="380" t="s">
        <v>634</v>
      </c>
      <c r="G9" s="400"/>
    </row>
    <row r="10" spans="1:7">
      <c r="A10" s="396">
        <v>3.08</v>
      </c>
      <c r="B10" s="380" t="s">
        <v>635</v>
      </c>
      <c r="G10" s="400"/>
    </row>
    <row r="11" spans="1:7">
      <c r="A11" s="396"/>
      <c r="B11" s="396"/>
    </row>
    <row r="12" spans="1:7">
      <c r="A12" s="396"/>
      <c r="B12" s="396"/>
    </row>
    <row r="13" spans="1:7">
      <c r="A13" s="402" t="s">
        <v>302</v>
      </c>
    </row>
  </sheetData>
  <pageMargins left="0.57999999999999996" right="0.6" top="0.65" bottom="0.984251969" header="0.34" footer="0.4921259845"/>
  <pageSetup paperSize="9" orientation="portrait"/>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61DBC-2083-5E4B-B38E-E3C76BBE8C09}">
  <sheetPr>
    <pageSetUpPr fitToPage="1"/>
  </sheetPr>
  <dimension ref="A1:I17"/>
  <sheetViews>
    <sheetView zoomScaleNormal="100" workbookViewId="0">
      <selection activeCell="A10" sqref="A10"/>
    </sheetView>
  </sheetViews>
  <sheetFormatPr baseColWidth="10" defaultColWidth="11.3984375" defaultRowHeight="13"/>
  <cols>
    <col min="1" max="1" width="20.796875" style="3" customWidth="1"/>
    <col min="2" max="2" width="17.3984375" style="3" customWidth="1"/>
    <col min="3" max="3" width="17.19921875" style="3" customWidth="1"/>
    <col min="4" max="4" width="16.59765625" style="3" customWidth="1"/>
    <col min="5" max="5" width="18.3984375" style="3" customWidth="1"/>
    <col min="6" max="7" width="15.19921875" style="3" customWidth="1"/>
    <col min="8" max="8" width="11.3984375" style="3"/>
    <col min="9" max="9" width="15.796875" style="3" hidden="1" customWidth="1"/>
    <col min="10" max="16384" width="11.3984375" style="3"/>
  </cols>
  <sheetData>
    <row r="1" spans="1:9" ht="14" customHeight="1">
      <c r="A1" s="198"/>
      <c r="B1" s="219"/>
      <c r="C1" s="219"/>
      <c r="D1" s="219"/>
      <c r="E1" s="219"/>
      <c r="F1" s="219"/>
      <c r="G1" s="219"/>
      <c r="I1" s="219"/>
    </row>
    <row r="2" spans="1:9" ht="24.5" customHeight="1">
      <c r="A2" s="223" t="s">
        <v>1002</v>
      </c>
      <c r="B2" s="219"/>
      <c r="C2" s="219"/>
      <c r="D2" s="219"/>
      <c r="E2" s="219"/>
      <c r="F2" s="219"/>
      <c r="G2" s="327">
        <v>2013</v>
      </c>
      <c r="I2" s="219"/>
    </row>
    <row r="3" spans="1:9" ht="24" customHeight="1">
      <c r="A3" s="224" t="s">
        <v>985</v>
      </c>
      <c r="B3" s="267" t="s">
        <v>644</v>
      </c>
      <c r="C3" s="268" t="s">
        <v>645</v>
      </c>
      <c r="D3" s="267" t="s">
        <v>495</v>
      </c>
      <c r="E3" s="268" t="s">
        <v>381</v>
      </c>
      <c r="F3" s="267"/>
      <c r="G3" s="305" t="s">
        <v>475</v>
      </c>
      <c r="I3" s="268" t="s">
        <v>381</v>
      </c>
    </row>
    <row r="4" spans="1:9" ht="15" customHeight="1">
      <c r="A4" s="269"/>
      <c r="B4" s="270"/>
      <c r="C4" s="271"/>
      <c r="D4" s="270"/>
      <c r="E4" s="272" t="s">
        <v>1003</v>
      </c>
      <c r="F4" s="270" t="s">
        <v>1004</v>
      </c>
      <c r="G4" s="306" t="s">
        <v>476</v>
      </c>
      <c r="I4" s="272">
        <v>1999</v>
      </c>
    </row>
    <row r="5" spans="1:9" ht="15" customHeight="1">
      <c r="A5" s="306"/>
      <c r="B5" s="270"/>
      <c r="C5" s="271"/>
      <c r="D5" s="270"/>
      <c r="E5" s="271"/>
      <c r="F5" s="270"/>
      <c r="G5" s="306" t="s">
        <v>477</v>
      </c>
      <c r="I5" s="271"/>
    </row>
    <row r="6" spans="1:9" ht="24" customHeight="1">
      <c r="A6" s="228"/>
      <c r="B6" s="544"/>
      <c r="C6" s="545"/>
      <c r="D6" s="544"/>
      <c r="E6" s="545"/>
      <c r="F6" s="274"/>
      <c r="G6" s="307"/>
      <c r="I6" s="545"/>
    </row>
    <row r="7" spans="1:9" ht="40.5" customHeight="1" thickBot="1">
      <c r="A7" s="560" t="s">
        <v>986</v>
      </c>
      <c r="B7" s="561">
        <v>2735725326.1300001</v>
      </c>
      <c r="C7" s="562">
        <v>3595329599.1900001</v>
      </c>
      <c r="D7" s="561">
        <v>545569066.94000006</v>
      </c>
      <c r="E7" s="562">
        <v>6876623992.2600002</v>
      </c>
      <c r="F7" s="563">
        <v>0.27523756740349004</v>
      </c>
      <c r="G7" s="564">
        <v>-3.4719162150523973E-2</v>
      </c>
      <c r="I7" s="565">
        <v>6794064715</v>
      </c>
    </row>
    <row r="8" spans="1:9" ht="36.75" customHeight="1" thickBot="1">
      <c r="A8" s="560" t="s">
        <v>987</v>
      </c>
      <c r="B8" s="561">
        <v>2384952466.6399999</v>
      </c>
      <c r="C8" s="562">
        <v>2295368848</v>
      </c>
      <c r="D8" s="561">
        <v>37692093.579999998</v>
      </c>
      <c r="E8" s="562">
        <v>4718013408.2199993</v>
      </c>
      <c r="F8" s="563">
        <v>0.1888389615190732</v>
      </c>
      <c r="G8" s="564">
        <v>-5.4516613636815217E-2</v>
      </c>
      <c r="I8" s="565">
        <v>5396193285</v>
      </c>
    </row>
    <row r="9" spans="1:9" ht="36.75" customHeight="1" thickBot="1">
      <c r="A9" s="560" t="s">
        <v>988</v>
      </c>
      <c r="B9" s="561">
        <v>9938686.9900000002</v>
      </c>
      <c r="C9" s="562">
        <v>5469407.71</v>
      </c>
      <c r="D9" s="561">
        <v>17148.580000000002</v>
      </c>
      <c r="E9" s="562">
        <v>15425243.279999999</v>
      </c>
      <c r="F9" s="563">
        <v>6.1739691479029298E-4</v>
      </c>
      <c r="G9" s="564">
        <v>-8.0845103967121783E-3</v>
      </c>
      <c r="I9" s="565">
        <v>15330070</v>
      </c>
    </row>
    <row r="10" spans="1:9" ht="36.75" customHeight="1" thickBot="1">
      <c r="A10" s="560" t="s">
        <v>1005</v>
      </c>
      <c r="B10" s="561">
        <v>5997615912.25</v>
      </c>
      <c r="C10" s="562">
        <v>6547555766.6700001</v>
      </c>
      <c r="D10" s="561">
        <v>829087611.02999997</v>
      </c>
      <c r="E10" s="562">
        <v>13374259289.950001</v>
      </c>
      <c r="F10" s="563">
        <v>0.53530607416264653</v>
      </c>
      <c r="G10" s="564">
        <v>8.4795196533308539E-2</v>
      </c>
      <c r="I10" s="565">
        <v>828254703</v>
      </c>
    </row>
    <row r="11" spans="1:9" s="185" customFormat="1" ht="38.25" customHeight="1" thickBot="1">
      <c r="A11" s="554" t="s">
        <v>381</v>
      </c>
      <c r="B11" s="555">
        <v>11128232391.99</v>
      </c>
      <c r="C11" s="556">
        <v>12443723621.57</v>
      </c>
      <c r="D11" s="555">
        <v>1412365920.1099999</v>
      </c>
      <c r="E11" s="556">
        <v>24984321933.709999</v>
      </c>
      <c r="F11" s="566">
        <v>1</v>
      </c>
      <c r="G11" s="567">
        <v>2.1502684818397441E-2</v>
      </c>
      <c r="I11" s="568">
        <v>13033842773</v>
      </c>
    </row>
    <row r="12" spans="1:9" ht="19.5" customHeight="1">
      <c r="A12" s="189" t="s">
        <v>346</v>
      </c>
      <c r="B12" s="189"/>
      <c r="C12" s="189"/>
      <c r="D12" s="189"/>
      <c r="E12" s="189"/>
      <c r="F12" s="189"/>
      <c r="G12" s="189"/>
      <c r="I12" s="189"/>
    </row>
    <row r="14" spans="1:9">
      <c r="A14" s="3" t="s">
        <v>1006</v>
      </c>
    </row>
    <row r="17" spans="1:1">
      <c r="A17" s="3" t="s">
        <v>302</v>
      </c>
    </row>
  </sheetData>
  <pageMargins left="0.55118110236220474" right="0.59055118110236227" top="0.94488188976377963" bottom="0.47244094488188981" header="0.59055118110236227" footer="0.51181102362204722"/>
  <pageSetup paperSize="9" scale="75" orientation="portrait" horizontalDpi="4294967292" verticalDpi="4294967292"/>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B07F-7FB8-A84F-A56B-41284C7AB301}">
  <sheetPr>
    <pageSetUpPr fitToPage="1"/>
  </sheetPr>
  <dimension ref="A1:K34"/>
  <sheetViews>
    <sheetView topLeftCell="A4" zoomScaleNormal="100" workbookViewId="0">
      <selection activeCell="K22" sqref="K22"/>
    </sheetView>
  </sheetViews>
  <sheetFormatPr baseColWidth="10" defaultColWidth="11.3984375" defaultRowHeight="13"/>
  <cols>
    <col min="1" max="1" width="14.3984375" style="3" customWidth="1"/>
    <col min="2" max="2" width="17" style="3" customWidth="1"/>
    <col min="3" max="3" width="16.3984375" style="3" customWidth="1"/>
    <col min="4" max="4" width="15.59765625" style="3" customWidth="1"/>
    <col min="5" max="5" width="17" style="3" customWidth="1"/>
    <col min="6" max="6" width="18" style="3" customWidth="1"/>
    <col min="7" max="7" width="16.59765625" style="3" customWidth="1"/>
    <col min="8" max="16384" width="11.3984375" style="3"/>
  </cols>
  <sheetData>
    <row r="1" spans="1:11" s="1" customFormat="1" ht="14" customHeight="1"/>
    <row r="2" spans="1:11" s="1" customFormat="1" ht="22.75" customHeight="1">
      <c r="A2" s="311" t="s">
        <v>1037</v>
      </c>
      <c r="G2" s="327"/>
    </row>
    <row r="3" spans="1:11" ht="24" customHeight="1">
      <c r="A3" s="224" t="s">
        <v>474</v>
      </c>
      <c r="B3" s="267" t="s">
        <v>446</v>
      </c>
      <c r="C3" s="268" t="s">
        <v>447</v>
      </c>
      <c r="D3" s="267" t="s">
        <v>448</v>
      </c>
      <c r="E3" s="268" t="s">
        <v>449</v>
      </c>
      <c r="F3" s="267" t="s">
        <v>381</v>
      </c>
      <c r="G3" s="305" t="s">
        <v>475</v>
      </c>
    </row>
    <row r="4" spans="1:11" ht="15" customHeight="1">
      <c r="A4" s="269"/>
      <c r="B4" s="270" t="s">
        <v>450</v>
      </c>
      <c r="C4" s="271" t="s">
        <v>451</v>
      </c>
      <c r="D4" s="270" t="s">
        <v>452</v>
      </c>
      <c r="E4" s="272" t="s">
        <v>453</v>
      </c>
      <c r="F4" s="270"/>
      <c r="G4" s="306" t="s">
        <v>476</v>
      </c>
    </row>
    <row r="5" spans="1:11" ht="15" customHeight="1">
      <c r="A5" s="269"/>
      <c r="B5" s="270" t="s">
        <v>454</v>
      </c>
      <c r="C5" s="271" t="s">
        <v>455</v>
      </c>
      <c r="D5" s="270"/>
      <c r="E5" s="272" t="s">
        <v>463</v>
      </c>
      <c r="F5" s="270"/>
      <c r="G5" s="306" t="s">
        <v>477</v>
      </c>
    </row>
    <row r="6" spans="1:11" ht="24" customHeight="1">
      <c r="A6" s="273"/>
      <c r="B6" s="274"/>
      <c r="C6" s="275"/>
      <c r="D6" s="274"/>
      <c r="E6" s="276" t="s">
        <v>2226</v>
      </c>
      <c r="F6" s="274"/>
      <c r="G6" s="307"/>
    </row>
    <row r="7" spans="1:11" ht="1.25" customHeight="1" thickBot="1">
      <c r="A7" s="277">
        <v>1996</v>
      </c>
      <c r="B7" s="278">
        <v>7263.8791936000007</v>
      </c>
      <c r="C7" s="279">
        <v>3689.7169425000002</v>
      </c>
      <c r="D7" s="278">
        <v>38.020066050000004</v>
      </c>
      <c r="E7" s="279">
        <v>139.01961795</v>
      </c>
      <c r="F7" s="278">
        <v>11130.635820099998</v>
      </c>
      <c r="G7" s="308" t="s">
        <v>153</v>
      </c>
    </row>
    <row r="8" spans="1:11" ht="0.75" hidden="1" customHeight="1" thickBot="1">
      <c r="A8" s="280">
        <v>1997</v>
      </c>
      <c r="B8" s="281">
        <v>6540.5888779999996</v>
      </c>
      <c r="C8" s="282">
        <v>4995.2965729999996</v>
      </c>
      <c r="D8" s="281">
        <v>16.474356</v>
      </c>
      <c r="E8" s="282">
        <v>488.324321</v>
      </c>
      <c r="F8" s="281">
        <v>12040.684128000001</v>
      </c>
      <c r="G8" s="309">
        <v>8.1760675904660518E-2</v>
      </c>
      <c r="I8" s="8"/>
      <c r="J8" s="8"/>
      <c r="K8" s="8"/>
    </row>
    <row r="9" spans="1:11" ht="19.5" hidden="1" customHeight="1" thickBot="1">
      <c r="A9" s="280">
        <v>1998</v>
      </c>
      <c r="B9" s="281">
        <v>6687.4913850000003</v>
      </c>
      <c r="C9" s="282">
        <v>5281.0341630000003</v>
      </c>
      <c r="D9" s="281">
        <v>17.124804000000001</v>
      </c>
      <c r="E9" s="282">
        <v>722.61979599999995</v>
      </c>
      <c r="F9" s="281">
        <v>12708.270148</v>
      </c>
      <c r="G9" s="309">
        <v>5.5444193444752932E-2</v>
      </c>
    </row>
    <row r="10" spans="1:11" ht="19.75" hidden="1" customHeight="1" thickBot="1">
      <c r="A10" s="280">
        <v>1999</v>
      </c>
      <c r="B10" s="281">
        <v>6794.0647150000004</v>
      </c>
      <c r="C10" s="282">
        <v>5396.1932850000003</v>
      </c>
      <c r="D10" s="281">
        <v>15.330069999999999</v>
      </c>
      <c r="E10" s="282">
        <v>828.25470299999995</v>
      </c>
      <c r="F10" s="281">
        <v>13033.842773</v>
      </c>
      <c r="G10" s="309">
        <v>2.5618956884642552E-2</v>
      </c>
    </row>
    <row r="11" spans="1:11" ht="19.75" hidden="1" customHeight="1" thickBot="1">
      <c r="A11" s="280">
        <v>2000</v>
      </c>
      <c r="B11" s="281">
        <v>6892.0663969999996</v>
      </c>
      <c r="C11" s="282">
        <v>5620.0400929999996</v>
      </c>
      <c r="D11" s="281">
        <v>15.057027</v>
      </c>
      <c r="E11" s="282">
        <v>914.49116700000002</v>
      </c>
      <c r="F11" s="281">
        <v>13441.654683999999</v>
      </c>
      <c r="G11" s="309">
        <v>3.1288693450008065E-2</v>
      </c>
    </row>
    <row r="12" spans="1:11" ht="20" hidden="1" customHeight="1" thickBot="1">
      <c r="A12" s="280">
        <v>2001</v>
      </c>
      <c r="B12" s="281">
        <v>7135.0009239999999</v>
      </c>
      <c r="C12" s="282">
        <v>5862.0969020000002</v>
      </c>
      <c r="D12" s="281">
        <v>14.859370999999999</v>
      </c>
      <c r="E12" s="282">
        <v>985.35521000000006</v>
      </c>
      <c r="F12" s="281">
        <v>13997.312406999999</v>
      </c>
      <c r="G12" s="309">
        <v>4.1338491135426647E-2</v>
      </c>
    </row>
    <row r="13" spans="1:11" ht="20" hidden="1" customHeight="1" thickBot="1">
      <c r="A13" s="280">
        <v>2002</v>
      </c>
      <c r="B13" s="281">
        <v>7607.4934620000004</v>
      </c>
      <c r="C13" s="282">
        <v>6653.7724580000004</v>
      </c>
      <c r="D13" s="281">
        <v>15.940357000000001</v>
      </c>
      <c r="E13" s="282">
        <v>1077.8389540000001</v>
      </c>
      <c r="F13" s="281">
        <v>15355.045231</v>
      </c>
      <c r="G13" s="309">
        <v>9.6999537091206456E-2</v>
      </c>
    </row>
    <row r="14" spans="1:11" ht="20" customHeight="1" thickBot="1">
      <c r="A14" s="280">
        <v>2003</v>
      </c>
      <c r="B14" s="281">
        <v>8119.6939160000002</v>
      </c>
      <c r="C14" s="282">
        <v>7519.6442960000004</v>
      </c>
      <c r="D14" s="281">
        <v>16.399234</v>
      </c>
      <c r="E14" s="282">
        <v>1164.373707</v>
      </c>
      <c r="F14" s="281">
        <v>16820.111153000002</v>
      </c>
      <c r="G14" s="309">
        <v>9.541267381239682E-2</v>
      </c>
    </row>
    <row r="15" spans="1:11" ht="20" customHeight="1" thickBot="1">
      <c r="A15" s="280">
        <v>2004</v>
      </c>
      <c r="B15" s="281">
        <v>8488.1709709999996</v>
      </c>
      <c r="C15" s="282">
        <v>7961.8606556000004</v>
      </c>
      <c r="D15" s="281">
        <v>16.728842</v>
      </c>
      <c r="E15" s="282">
        <v>1562.9443670000001</v>
      </c>
      <c r="F15" s="281">
        <v>18029.704835599998</v>
      </c>
      <c r="G15" s="309">
        <v>7.1913536812998835E-2</v>
      </c>
    </row>
    <row r="16" spans="1:11" ht="20" customHeight="1" thickBot="1">
      <c r="A16" s="280">
        <v>2005</v>
      </c>
      <c r="B16" s="281">
        <v>8881.818765</v>
      </c>
      <c r="C16" s="282">
        <v>7722.8551509999998</v>
      </c>
      <c r="D16" s="281">
        <v>16.867663</v>
      </c>
      <c r="E16" s="282">
        <v>1874.8780380000001</v>
      </c>
      <c r="F16" s="281">
        <v>18496.419617</v>
      </c>
      <c r="G16" s="309">
        <v>2.588588031005723E-2</v>
      </c>
    </row>
    <row r="17" spans="1:7" ht="20" customHeight="1" thickBot="1">
      <c r="A17" s="280">
        <v>2006</v>
      </c>
      <c r="B17" s="281">
        <v>8791.2609179999999</v>
      </c>
      <c r="C17" s="282">
        <v>7672.0020180000001</v>
      </c>
      <c r="D17" s="281">
        <v>16.96679</v>
      </c>
      <c r="E17" s="282">
        <v>2834.4584479999999</v>
      </c>
      <c r="F17" s="281">
        <v>19314.688173999999</v>
      </c>
      <c r="G17" s="309">
        <v>4.4239294628022563E-2</v>
      </c>
    </row>
    <row r="18" spans="1:7" ht="20" customHeight="1" thickBot="1">
      <c r="A18" s="280">
        <v>2007</v>
      </c>
      <c r="B18" s="281">
        <v>8532.4678672199989</v>
      </c>
      <c r="C18" s="282">
        <v>7230.4641675700004</v>
      </c>
      <c r="D18" s="281">
        <v>16.854145679999998</v>
      </c>
      <c r="E18" s="282">
        <v>3909.3553057999998</v>
      </c>
      <c r="F18" s="281">
        <v>19689.14148627</v>
      </c>
      <c r="G18" s="309">
        <v>1.9386971660979802E-2</v>
      </c>
    </row>
    <row r="19" spans="1:7" ht="20" customHeight="1" thickBot="1">
      <c r="A19" s="280">
        <v>2008</v>
      </c>
      <c r="B19" s="281">
        <v>8154.0754505200002</v>
      </c>
      <c r="C19" s="282">
        <v>6692.2544465000001</v>
      </c>
      <c r="D19" s="281">
        <v>16.346897350000003</v>
      </c>
      <c r="E19" s="282">
        <v>4829.5904296099998</v>
      </c>
      <c r="F19" s="281">
        <v>19692.267223980001</v>
      </c>
      <c r="G19" s="309">
        <v>1.5875439323642659E-4</v>
      </c>
    </row>
    <row r="20" spans="1:7" ht="20" customHeight="1" thickBot="1">
      <c r="A20" s="280">
        <v>2009</v>
      </c>
      <c r="B20" s="281">
        <v>7763.2344209800003</v>
      </c>
      <c r="C20" s="282">
        <v>6192.48310683</v>
      </c>
      <c r="D20" s="281">
        <v>15.900914239999999</v>
      </c>
      <c r="E20" s="282">
        <v>6153.1486775000003</v>
      </c>
      <c r="F20" s="281">
        <v>20124.767119550004</v>
      </c>
      <c r="G20" s="309">
        <v>2.196293045644504E-2</v>
      </c>
    </row>
    <row r="21" spans="1:7" ht="20" customHeight="1" thickBot="1">
      <c r="A21" s="280">
        <v>2010</v>
      </c>
      <c r="B21" s="281">
        <v>7589.6326881299992</v>
      </c>
      <c r="C21" s="282">
        <v>5673.83572525</v>
      </c>
      <c r="D21" s="281">
        <v>16.045472789999998</v>
      </c>
      <c r="E21" s="282">
        <v>8771.9260212000008</v>
      </c>
      <c r="F21" s="281">
        <v>22051.439907370004</v>
      </c>
      <c r="G21" s="309">
        <v>9.5736401637579904E-2</v>
      </c>
    </row>
    <row r="22" spans="1:7" ht="20" customHeight="1" thickBot="1">
      <c r="A22" s="280">
        <v>2011</v>
      </c>
      <c r="B22" s="281">
        <v>7401.1318820399993</v>
      </c>
      <c r="C22" s="282">
        <v>5327.0321627499998</v>
      </c>
      <c r="D22" s="281">
        <v>15.891755530000001</v>
      </c>
      <c r="E22" s="282">
        <v>10887.13345797</v>
      </c>
      <c r="F22" s="281">
        <v>23631.18925829</v>
      </c>
      <c r="G22" s="309">
        <v>7.1639283310112267E-2</v>
      </c>
    </row>
    <row r="23" spans="1:7" ht="20" customHeight="1" thickBot="1">
      <c r="A23" s="280">
        <v>2012</v>
      </c>
      <c r="B23" s="281">
        <v>7123.9619835199992</v>
      </c>
      <c r="C23" s="282">
        <v>4990.0542688199994</v>
      </c>
      <c r="D23" s="281">
        <v>15.550965219999998</v>
      </c>
      <c r="E23" s="282">
        <v>12328.833435740002</v>
      </c>
      <c r="F23" s="281">
        <v>24458.400653300003</v>
      </c>
      <c r="G23" s="309">
        <v>3.5005068342881307E-2</v>
      </c>
    </row>
    <row r="24" spans="1:7" ht="30" customHeight="1" thickBot="1">
      <c r="A24" s="608">
        <v>2013</v>
      </c>
      <c r="B24" s="609">
        <v>6876.6239922599998</v>
      </c>
      <c r="C24" s="477">
        <v>4718.0134082199993</v>
      </c>
      <c r="D24" s="609">
        <v>15.42524328</v>
      </c>
      <c r="E24" s="477">
        <v>13374.259289950001</v>
      </c>
      <c r="F24" s="609">
        <v>24984.321933709998</v>
      </c>
      <c r="G24" s="310">
        <v>2.1502684818397455E-2</v>
      </c>
    </row>
    <row r="25" spans="1:7" ht="20" customHeight="1">
      <c r="A25" s="189" t="s">
        <v>346</v>
      </c>
      <c r="B25" s="457"/>
      <c r="C25" s="457"/>
      <c r="D25" s="457"/>
      <c r="E25" s="457"/>
      <c r="F25" s="457"/>
      <c r="G25" s="610"/>
    </row>
    <row r="26" spans="1:7" ht="14.25" customHeight="1">
      <c r="A26" s="219"/>
      <c r="B26" s="459"/>
      <c r="C26" s="459"/>
      <c r="D26" s="459"/>
      <c r="E26" s="459"/>
      <c r="F26" s="459"/>
      <c r="G26" s="611"/>
    </row>
    <row r="27" spans="1:7" ht="12.75" customHeight="1">
      <c r="A27" s="247" t="s">
        <v>1038</v>
      </c>
    </row>
    <row r="28" spans="1:7" ht="12.75" customHeight="1">
      <c r="A28" s="1519" t="s">
        <v>2230</v>
      </c>
    </row>
    <row r="29" spans="1:7" ht="12.75" customHeight="1">
      <c r="A29" s="501" t="s">
        <v>2231</v>
      </c>
    </row>
    <row r="31" spans="1:7">
      <c r="A31" s="3" t="s">
        <v>1039</v>
      </c>
    </row>
    <row r="34" spans="1:1">
      <c r="A34" s="3" t="s">
        <v>302</v>
      </c>
    </row>
  </sheetData>
  <pageMargins left="0.56000000000000005" right="0.51" top="0.94" bottom="0.49" header="0.51" footer="0.4921259845"/>
  <pageSetup paperSize="9" scale="83" orientation="portrait" horizontalDpi="4294967292" verticalDpi="4294967292"/>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9C53-4CDA-444D-B8F7-A36CA466E9EE}">
  <sheetPr>
    <pageSetUpPr fitToPage="1"/>
  </sheetPr>
  <dimension ref="A1:G51"/>
  <sheetViews>
    <sheetView zoomScaleNormal="100" workbookViewId="0"/>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1" customFormat="1" ht="14" customHeight="1">
      <c r="A1" s="191"/>
      <c r="B1" s="191"/>
      <c r="C1" s="191"/>
      <c r="D1" s="191"/>
      <c r="E1" s="191"/>
      <c r="F1" s="191"/>
    </row>
    <row r="2" spans="1:7" s="1" customFormat="1" ht="18.5" customHeight="1">
      <c r="A2" s="464" t="s">
        <v>1007</v>
      </c>
      <c r="B2" s="464"/>
      <c r="C2" s="191"/>
      <c r="D2" s="191"/>
      <c r="E2" s="191"/>
      <c r="F2" s="569">
        <v>2013</v>
      </c>
      <c r="G2" s="569"/>
    </row>
    <row r="3" spans="1:7" s="1" customFormat="1" ht="7.25" customHeight="1">
      <c r="A3" s="570"/>
      <c r="B3" s="570"/>
      <c r="C3" s="571"/>
      <c r="D3" s="571"/>
      <c r="E3" s="571"/>
      <c r="F3" s="571"/>
      <c r="G3" s="198"/>
    </row>
    <row r="4" spans="1:7" s="1" customFormat="1" ht="81.75" customHeight="1">
      <c r="A4" s="572" t="s">
        <v>1008</v>
      </c>
      <c r="B4" s="573"/>
      <c r="C4" s="574" t="s">
        <v>1009</v>
      </c>
      <c r="D4" s="575" t="s">
        <v>1010</v>
      </c>
      <c r="E4" s="574" t="s">
        <v>1011</v>
      </c>
      <c r="F4" s="576" t="s">
        <v>498</v>
      </c>
    </row>
    <row r="5" spans="1:7" ht="8.25" customHeight="1">
      <c r="A5" s="577"/>
      <c r="B5" s="578"/>
      <c r="C5" s="545"/>
      <c r="D5" s="544"/>
      <c r="E5" s="545"/>
      <c r="F5" s="544"/>
    </row>
    <row r="6" spans="1:7" ht="47.25" customHeight="1" thickBot="1">
      <c r="A6" s="579" t="s">
        <v>1012</v>
      </c>
      <c r="B6" s="580" t="s">
        <v>1013</v>
      </c>
      <c r="C6" s="581">
        <v>1060.7806041873632</v>
      </c>
      <c r="D6" s="389">
        <v>4123.5655012431498</v>
      </c>
      <c r="E6" s="581">
        <v>4570.6737794144956</v>
      </c>
      <c r="F6" s="389">
        <v>3597.0262629736103</v>
      </c>
    </row>
    <row r="7" spans="1:7" ht="19.5" customHeight="1" thickBot="1">
      <c r="A7" s="234"/>
      <c r="B7" s="582"/>
      <c r="C7" s="583"/>
      <c r="D7" s="584"/>
      <c r="E7" s="583"/>
      <c r="F7" s="584"/>
    </row>
    <row r="8" spans="1:7" ht="22.5" customHeight="1" thickBot="1">
      <c r="A8" s="585" t="s">
        <v>1014</v>
      </c>
      <c r="B8" s="586" t="s">
        <v>1015</v>
      </c>
      <c r="C8" s="583">
        <v>1046.4693420226472</v>
      </c>
      <c r="D8" s="584">
        <v>4077.2683677945206</v>
      </c>
      <c r="E8" s="583">
        <v>4536.1182053172906</v>
      </c>
      <c r="F8" s="584">
        <v>4509.1212729477775</v>
      </c>
    </row>
    <row r="9" spans="1:7" ht="20" customHeight="1" thickBot="1">
      <c r="A9" s="587" t="s">
        <v>1016</v>
      </c>
      <c r="B9" s="586" t="s">
        <v>1017</v>
      </c>
      <c r="C9" s="583">
        <v>917.42960311571278</v>
      </c>
      <c r="D9" s="584">
        <v>3554.5734942967338</v>
      </c>
      <c r="E9" s="583">
        <v>3984.8583166063709</v>
      </c>
      <c r="F9" s="584">
        <v>3561.6323079656281</v>
      </c>
    </row>
    <row r="10" spans="1:7" ht="20" customHeight="1" thickBot="1">
      <c r="A10" s="587" t="s">
        <v>1018</v>
      </c>
      <c r="B10" s="586" t="s">
        <v>1019</v>
      </c>
      <c r="C10" s="583">
        <v>809.52797458163741</v>
      </c>
      <c r="D10" s="584">
        <v>3165.7303503996959</v>
      </c>
      <c r="E10" s="583">
        <v>3580.7100758101187</v>
      </c>
      <c r="F10" s="584">
        <v>3495.2469157302285</v>
      </c>
    </row>
    <row r="11" spans="1:7" ht="20" customHeight="1" thickBot="1">
      <c r="A11" s="587"/>
      <c r="B11" s="586" t="s">
        <v>1020</v>
      </c>
      <c r="C11" s="583">
        <v>714.30462336943071</v>
      </c>
      <c r="D11" s="584">
        <v>2732.7122685451409</v>
      </c>
      <c r="E11" s="583">
        <v>3085.9055985000909</v>
      </c>
      <c r="F11" s="584">
        <v>2581.9582696208572</v>
      </c>
    </row>
    <row r="12" spans="1:7" ht="20" customHeight="1" thickBot="1">
      <c r="A12" s="587"/>
      <c r="B12" s="586" t="s">
        <v>1021</v>
      </c>
      <c r="C12" s="583">
        <v>723.96971090643422</v>
      </c>
      <c r="D12" s="584">
        <v>2545.1883688352423</v>
      </c>
      <c r="E12" s="583">
        <v>2805.7022277194119</v>
      </c>
      <c r="F12" s="584">
        <v>2737.6655407458097</v>
      </c>
    </row>
    <row r="13" spans="1:7" ht="20" customHeight="1" thickBot="1">
      <c r="A13" s="587"/>
      <c r="B13" s="586" t="s">
        <v>1022</v>
      </c>
      <c r="C13" s="583">
        <v>596.80018480018475</v>
      </c>
      <c r="D13" s="390" t="s">
        <v>153</v>
      </c>
      <c r="E13" s="588" t="s">
        <v>153</v>
      </c>
      <c r="F13" s="584">
        <v>596.80018480018475</v>
      </c>
    </row>
    <row r="14" spans="1:7" ht="20" customHeight="1" thickBot="1">
      <c r="A14" s="589"/>
      <c r="B14" s="586" t="s">
        <v>381</v>
      </c>
      <c r="C14" s="583">
        <v>774.4545411397379</v>
      </c>
      <c r="D14" s="584">
        <v>3040.9509484060059</v>
      </c>
      <c r="E14" s="583">
        <v>3810.8245622640143</v>
      </c>
      <c r="F14" s="584">
        <v>3655.1914756167985</v>
      </c>
    </row>
    <row r="15" spans="1:7" ht="18.75" customHeight="1" thickBot="1">
      <c r="A15" s="509"/>
      <c r="B15" s="590"/>
      <c r="C15" s="583"/>
      <c r="D15" s="584"/>
      <c r="E15" s="583"/>
      <c r="F15" s="584"/>
    </row>
    <row r="16" spans="1:7" ht="20" customHeight="1" thickBot="1">
      <c r="A16" s="509" t="s">
        <v>988</v>
      </c>
      <c r="B16" s="590"/>
      <c r="C16" s="583">
        <v>952.69888888888897</v>
      </c>
      <c r="D16" s="584">
        <v>3151.4664591283395</v>
      </c>
      <c r="E16" s="583">
        <v>3202.5187864000422</v>
      </c>
      <c r="F16" s="584">
        <v>3193.0834432178322</v>
      </c>
    </row>
    <row r="17" spans="1:6" ht="20.25" customHeight="1" thickBot="1">
      <c r="A17" s="509"/>
      <c r="B17" s="590"/>
      <c r="C17" s="583"/>
      <c r="D17" s="584"/>
      <c r="E17" s="583"/>
      <c r="F17" s="584"/>
    </row>
    <row r="18" spans="1:6" ht="58.5" customHeight="1" thickBot="1">
      <c r="A18" s="585" t="s">
        <v>1023</v>
      </c>
      <c r="B18" s="586" t="s">
        <v>1013</v>
      </c>
      <c r="C18" s="583">
        <v>890.72140154859267</v>
      </c>
      <c r="D18" s="584">
        <v>3425.382528133468</v>
      </c>
      <c r="E18" s="583">
        <v>3828.7843337041127</v>
      </c>
      <c r="F18" s="584">
        <v>2690.2541397093742</v>
      </c>
    </row>
    <row r="19" spans="1:6" ht="20" customHeight="1" thickBot="1">
      <c r="A19" s="354"/>
      <c r="B19" s="586" t="s">
        <v>1015</v>
      </c>
      <c r="C19" s="583">
        <v>828.35740690716807</v>
      </c>
      <c r="D19" s="584">
        <v>3512.9761004479265</v>
      </c>
      <c r="E19" s="583">
        <v>3809.8377529699947</v>
      </c>
      <c r="F19" s="584">
        <v>3773.6575577337794</v>
      </c>
    </row>
    <row r="20" spans="1:6" ht="20" customHeight="1" thickBot="1">
      <c r="A20" s="354"/>
      <c r="B20" s="586" t="s">
        <v>1017</v>
      </c>
      <c r="C20" s="583">
        <v>762.13756044244587</v>
      </c>
      <c r="D20" s="584">
        <v>2967.02334419299</v>
      </c>
      <c r="E20" s="583">
        <v>3316.5804836454654</v>
      </c>
      <c r="F20" s="584">
        <v>3136.1470894142608</v>
      </c>
    </row>
    <row r="21" spans="1:6" ht="20" customHeight="1" thickBot="1">
      <c r="A21" s="354"/>
      <c r="B21" s="586" t="s">
        <v>1019</v>
      </c>
      <c r="C21" s="583">
        <v>624.56164968162102</v>
      </c>
      <c r="D21" s="584">
        <v>2563.7728668773348</v>
      </c>
      <c r="E21" s="583">
        <v>2874.6561113399989</v>
      </c>
      <c r="F21" s="584">
        <v>2796.377811931477</v>
      </c>
    </row>
    <row r="22" spans="1:6" ht="20" customHeight="1" thickBot="1">
      <c r="A22" s="354"/>
      <c r="B22" s="586" t="s">
        <v>1020</v>
      </c>
      <c r="C22" s="583">
        <v>552.30422152925121</v>
      </c>
      <c r="D22" s="584">
        <v>2207.0491207894238</v>
      </c>
      <c r="E22" s="583">
        <v>2491.0223897953833</v>
      </c>
      <c r="F22" s="584">
        <v>2287.2651470995015</v>
      </c>
    </row>
    <row r="23" spans="1:6" ht="20" customHeight="1" thickBot="1">
      <c r="A23" s="354"/>
      <c r="B23" s="586" t="s">
        <v>1021</v>
      </c>
      <c r="C23" s="583">
        <v>627.41398918984987</v>
      </c>
      <c r="D23" s="584">
        <v>2241.0082026438126</v>
      </c>
      <c r="E23" s="583">
        <v>2423.6084160952369</v>
      </c>
      <c r="F23" s="584">
        <v>2375.7703796691958</v>
      </c>
    </row>
    <row r="24" spans="1:6" ht="20" customHeight="1" thickBot="1">
      <c r="A24" s="354"/>
      <c r="B24" s="586" t="s">
        <v>1022</v>
      </c>
      <c r="C24" s="583">
        <v>572.20807815096748</v>
      </c>
      <c r="D24" s="390" t="s">
        <v>153</v>
      </c>
      <c r="E24" s="588" t="s">
        <v>153</v>
      </c>
      <c r="F24" s="584">
        <v>572.20807815096748</v>
      </c>
    </row>
    <row r="25" spans="1:6" ht="20" customHeight="1" thickBot="1">
      <c r="A25" s="354"/>
      <c r="B25" s="586" t="s">
        <v>1024</v>
      </c>
      <c r="C25" s="583">
        <v>869.91482014063297</v>
      </c>
      <c r="D25" s="584">
        <v>2928.7006418380224</v>
      </c>
      <c r="E25" s="583">
        <v>3270.6970715356101</v>
      </c>
      <c r="F25" s="584">
        <v>2764.1823372923691</v>
      </c>
    </row>
    <row r="26" spans="1:6" ht="39.75" customHeight="1" thickBot="1">
      <c r="A26" s="591"/>
      <c r="B26" s="592" t="s">
        <v>1025</v>
      </c>
      <c r="C26" s="593">
        <v>836.83636319990103</v>
      </c>
      <c r="D26" s="594">
        <v>2860.2688415665812</v>
      </c>
      <c r="E26" s="593">
        <v>3111.9017749859063</v>
      </c>
      <c r="F26" s="594">
        <v>2630.0314653142505</v>
      </c>
    </row>
    <row r="27" spans="1:6" ht="45" customHeight="1" thickBot="1">
      <c r="A27" s="591"/>
      <c r="B27" s="595" t="s">
        <v>1026</v>
      </c>
      <c r="C27" s="593">
        <v>794.27359796537473</v>
      </c>
      <c r="D27" s="594">
        <v>2775.8369846918881</v>
      </c>
      <c r="E27" s="593">
        <v>3002.1315261084196</v>
      </c>
      <c r="F27" s="594">
        <v>2550.5543525189983</v>
      </c>
    </row>
    <row r="28" spans="1:6" ht="45" customHeight="1" thickBot="1">
      <c r="A28" s="596"/>
      <c r="B28" s="595" t="s">
        <v>1027</v>
      </c>
      <c r="C28" s="593">
        <v>624.52707654597407</v>
      </c>
      <c r="D28" s="594">
        <v>2595.535588856957</v>
      </c>
      <c r="E28" s="593">
        <v>2941.4412891093084</v>
      </c>
      <c r="F28" s="594">
        <v>2833.1190593120141</v>
      </c>
    </row>
    <row r="29" spans="1:6" ht="15.75" customHeight="1" thickBot="1">
      <c r="A29" s="597"/>
      <c r="B29" s="598"/>
      <c r="C29" s="583"/>
      <c r="D29" s="584"/>
      <c r="E29" s="583"/>
      <c r="F29" s="584"/>
    </row>
    <row r="30" spans="1:6" ht="27.75" customHeight="1" thickBot="1">
      <c r="A30" s="599" t="s">
        <v>1028</v>
      </c>
      <c r="B30" s="600"/>
      <c r="C30" s="601">
        <v>931.59998087944496</v>
      </c>
      <c r="D30" s="602">
        <v>3162.4136610459391</v>
      </c>
      <c r="E30" s="601">
        <v>3661.044075244994</v>
      </c>
      <c r="F30" s="602">
        <v>3105.2130968778333</v>
      </c>
    </row>
    <row r="31" spans="1:6" ht="15.75" customHeight="1">
      <c r="A31" s="461" t="s">
        <v>346</v>
      </c>
      <c r="B31" s="461"/>
      <c r="C31" s="461"/>
      <c r="D31" s="461"/>
      <c r="E31" s="461"/>
      <c r="F31" s="461"/>
    </row>
    <row r="32" spans="1:6" ht="13.5" customHeight="1">
      <c r="A32" s="367"/>
      <c r="B32" s="367"/>
      <c r="C32" s="461"/>
      <c r="D32" s="461"/>
      <c r="E32" s="461"/>
      <c r="F32" s="461"/>
    </row>
    <row r="33" spans="1:6" ht="13.5" customHeight="1">
      <c r="A33" s="461" t="s">
        <v>1029</v>
      </c>
      <c r="B33" s="461"/>
      <c r="C33" s="461"/>
      <c r="D33" s="461"/>
      <c r="E33" s="461"/>
      <c r="F33" s="461"/>
    </row>
    <row r="34" spans="1:6" ht="16.5" customHeight="1">
      <c r="A34" s="461"/>
      <c r="B34" s="461"/>
      <c r="C34" s="461"/>
      <c r="D34" s="461"/>
      <c r="E34" s="461"/>
      <c r="F34" s="461"/>
    </row>
    <row r="35" spans="1:6" ht="12" customHeight="1">
      <c r="A35" s="461" t="s">
        <v>1030</v>
      </c>
      <c r="B35" s="461"/>
      <c r="C35" s="63"/>
      <c r="D35" s="63"/>
      <c r="E35" s="63"/>
      <c r="F35" s="63"/>
    </row>
    <row r="36" spans="1:6" ht="12" customHeight="1">
      <c r="A36" s="219" t="s">
        <v>1031</v>
      </c>
      <c r="B36" s="219"/>
    </row>
    <row r="37" spans="1:6" ht="12" customHeight="1">
      <c r="A37" s="219" t="s">
        <v>1032</v>
      </c>
      <c r="B37" s="219"/>
    </row>
    <row r="38" spans="1:6" ht="12" customHeight="1">
      <c r="A38" s="219" t="s">
        <v>1033</v>
      </c>
      <c r="B38" s="219"/>
    </row>
    <row r="39" spans="1:6" ht="12" customHeight="1">
      <c r="A39" s="219" t="s">
        <v>1034</v>
      </c>
      <c r="B39" s="219"/>
    </row>
    <row r="40" spans="1:6" ht="12" customHeight="1">
      <c r="A40" s="219" t="s">
        <v>1035</v>
      </c>
      <c r="B40" s="219"/>
    </row>
    <row r="41" spans="1:6" ht="12" customHeight="1">
      <c r="A41" s="3" t="s">
        <v>1036</v>
      </c>
    </row>
    <row r="42" spans="1:6" ht="12" customHeight="1"/>
    <row r="43" spans="1:6" ht="12" customHeight="1"/>
    <row r="44" spans="1:6" ht="12" customHeight="1">
      <c r="A44" s="461" t="s">
        <v>302</v>
      </c>
      <c r="B44" s="461"/>
      <c r="C44" s="219"/>
      <c r="D44" s="219"/>
      <c r="E44" s="219"/>
      <c r="F44" s="219"/>
    </row>
    <row r="49" spans="1:7">
      <c r="A49" s="46"/>
      <c r="B49" s="46"/>
      <c r="C49" s="603"/>
      <c r="D49" s="604"/>
      <c r="E49" s="603"/>
      <c r="F49" s="604"/>
      <c r="G49" s="604"/>
    </row>
    <row r="50" spans="1:7">
      <c r="A50" s="605"/>
      <c r="B50" s="605"/>
      <c r="C50" s="605"/>
      <c r="D50" s="606"/>
      <c r="E50" s="605"/>
      <c r="F50" s="607"/>
      <c r="G50" s="17"/>
    </row>
    <row r="51" spans="1:7">
      <c r="A51" s="17"/>
      <c r="B51" s="17"/>
      <c r="C51" s="17"/>
      <c r="D51" s="17"/>
      <c r="E51" s="17"/>
      <c r="F51" s="17"/>
      <c r="G51" s="17"/>
    </row>
  </sheetData>
  <pageMargins left="0.55118110236220474" right="0.45" top="0.59055118110236227" bottom="0.47244094488188981" header="0.43307086614173229" footer="0.31496062992125984"/>
  <pageSetup paperSize="9" scale="67" orientation="portrait"/>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73823-03BF-3B49-840D-E1F0ECF04DF3}">
  <sheetPr>
    <pageSetUpPr fitToPage="1"/>
  </sheetPr>
  <dimension ref="A1:H46"/>
  <sheetViews>
    <sheetView zoomScaleNormal="100" workbookViewId="0"/>
  </sheetViews>
  <sheetFormatPr baseColWidth="10" defaultColWidth="11.3984375" defaultRowHeight="13"/>
  <cols>
    <col min="1" max="1" width="20.59765625" style="3" customWidth="1"/>
    <col min="2" max="4" width="17" style="6" customWidth="1"/>
    <col min="5" max="5" width="17.3984375" style="6" customWidth="1"/>
    <col min="6" max="6" width="17.3984375" style="201" customWidth="1"/>
    <col min="7" max="7" width="11.3984375" style="3"/>
    <col min="8" max="8" width="0" style="3" hidden="1" customWidth="1"/>
    <col min="9" max="16384" width="11.3984375" style="3"/>
  </cols>
  <sheetData>
    <row r="1" spans="1:8" s="1" customFormat="1" ht="14" customHeight="1">
      <c r="B1" s="403"/>
      <c r="C1" s="403"/>
      <c r="D1" s="403"/>
      <c r="E1" s="403"/>
      <c r="F1" s="359"/>
    </row>
    <row r="2" spans="1:8" s="1" customFormat="1" ht="28.25" customHeight="1">
      <c r="A2" s="2010" t="s">
        <v>636</v>
      </c>
      <c r="B2" s="2011"/>
      <c r="C2" s="2011"/>
      <c r="D2" s="2011"/>
      <c r="E2" s="2011"/>
      <c r="F2" s="361">
        <v>2013</v>
      </c>
      <c r="G2" s="361"/>
    </row>
    <row r="3" spans="1:8" ht="27" customHeight="1">
      <c r="A3" s="224" t="s">
        <v>67</v>
      </c>
      <c r="B3" s="267" t="s">
        <v>495</v>
      </c>
      <c r="C3" s="268" t="s">
        <v>637</v>
      </c>
      <c r="D3" s="267" t="s">
        <v>497</v>
      </c>
      <c r="E3" s="268" t="s">
        <v>461</v>
      </c>
      <c r="F3" s="225" t="s">
        <v>475</v>
      </c>
    </row>
    <row r="4" spans="1:8" ht="20.25" customHeight="1">
      <c r="A4" s="306"/>
      <c r="B4" s="270"/>
      <c r="C4" s="271" t="s">
        <v>497</v>
      </c>
      <c r="D4" s="332"/>
      <c r="E4" s="271" t="s">
        <v>638</v>
      </c>
      <c r="F4" s="332" t="s">
        <v>476</v>
      </c>
    </row>
    <row r="5" spans="1:8" ht="20.25" customHeight="1">
      <c r="A5" s="306"/>
      <c r="B5" s="270" t="s">
        <v>499</v>
      </c>
      <c r="C5" s="271" t="s">
        <v>500</v>
      </c>
      <c r="D5" s="270" t="s">
        <v>501</v>
      </c>
      <c r="E5" s="271"/>
      <c r="F5" s="332" t="s">
        <v>477</v>
      </c>
    </row>
    <row r="6" spans="1:8" ht="24" customHeight="1">
      <c r="A6" s="307"/>
      <c r="B6" s="404"/>
      <c r="C6" s="405"/>
      <c r="D6" s="404"/>
      <c r="E6" s="276"/>
      <c r="F6" s="229"/>
    </row>
    <row r="7" spans="1:8" ht="30" customHeight="1" thickBot="1">
      <c r="A7" s="334" t="s">
        <v>502</v>
      </c>
      <c r="B7" s="370">
        <v>967.95129084426026</v>
      </c>
      <c r="C7" s="371">
        <v>3226.3660662169509</v>
      </c>
      <c r="D7" s="370">
        <v>3617.5527436135117</v>
      </c>
      <c r="E7" s="371">
        <v>3102.7449858023383</v>
      </c>
      <c r="F7" s="406">
        <v>1.3352536724332233E-2</v>
      </c>
      <c r="H7" s="338">
        <v>172.8785586534616</v>
      </c>
    </row>
    <row r="8" spans="1:8" ht="20" customHeight="1" thickBot="1">
      <c r="A8" s="339" t="s">
        <v>503</v>
      </c>
      <c r="B8" s="370">
        <v>961.9892901172708</v>
      </c>
      <c r="C8" s="371">
        <v>3199.9718699551458</v>
      </c>
      <c r="D8" s="370">
        <v>3890.0545251230355</v>
      </c>
      <c r="E8" s="371">
        <v>3312.5805829033307</v>
      </c>
      <c r="F8" s="351">
        <v>8.8473166735257291E-3</v>
      </c>
      <c r="H8" s="338">
        <v>161.49387493756916</v>
      </c>
    </row>
    <row r="9" spans="1:8" ht="20" customHeight="1" thickBot="1">
      <c r="A9" s="339" t="s">
        <v>504</v>
      </c>
      <c r="B9" s="370">
        <v>773.75106296070601</v>
      </c>
      <c r="C9" s="371">
        <v>2683.4921671976872</v>
      </c>
      <c r="D9" s="370">
        <v>3182.0093406041183</v>
      </c>
      <c r="E9" s="371">
        <v>2670.5508095313685</v>
      </c>
      <c r="F9" s="351">
        <v>1.1277753824063231E-2</v>
      </c>
      <c r="H9" s="338">
        <v>129.41591119853354</v>
      </c>
    </row>
    <row r="10" spans="1:8" ht="20" customHeight="1" thickBot="1">
      <c r="A10" s="339" t="s">
        <v>505</v>
      </c>
      <c r="B10" s="370">
        <v>751.59534964378099</v>
      </c>
      <c r="C10" s="371">
        <v>2526.7803664615317</v>
      </c>
      <c r="D10" s="370">
        <v>2999.5138161515224</v>
      </c>
      <c r="E10" s="371">
        <v>2524.6275422828371</v>
      </c>
      <c r="F10" s="351">
        <v>8.5206625966465117E-3</v>
      </c>
      <c r="H10" s="338">
        <v>126.90557061409594</v>
      </c>
    </row>
    <row r="11" spans="1:8" ht="20" customHeight="1" thickBot="1">
      <c r="A11" s="339" t="s">
        <v>506</v>
      </c>
      <c r="B11" s="370">
        <v>786.92081789764939</v>
      </c>
      <c r="C11" s="371">
        <v>2676.3515902370036</v>
      </c>
      <c r="D11" s="370">
        <v>3114.9207617167599</v>
      </c>
      <c r="E11" s="371">
        <v>2634.6223110088827</v>
      </c>
      <c r="F11" s="351">
        <v>1.3883146802747742E-2</v>
      </c>
      <c r="H11" s="338">
        <v>131.64111605385247</v>
      </c>
    </row>
    <row r="12" spans="1:8" ht="20" customHeight="1" thickBot="1">
      <c r="A12" s="339" t="s">
        <v>507</v>
      </c>
      <c r="B12" s="370">
        <v>738.65239911770686</v>
      </c>
      <c r="C12" s="371">
        <v>2480.0629445297996</v>
      </c>
      <c r="D12" s="370">
        <v>2926.1654703042159</v>
      </c>
      <c r="E12" s="371">
        <v>2460.1504415160321</v>
      </c>
      <c r="F12" s="351">
        <v>1.8159880407413342E-2</v>
      </c>
      <c r="H12" s="338">
        <v>125.19129183854066</v>
      </c>
    </row>
    <row r="13" spans="1:8" ht="20" customHeight="1" thickBot="1">
      <c r="A13" s="339" t="s">
        <v>508</v>
      </c>
      <c r="B13" s="370">
        <v>697.58985235202499</v>
      </c>
      <c r="C13" s="371">
        <v>2339.1660168985945</v>
      </c>
      <c r="D13" s="370">
        <v>2777.6526021621053</v>
      </c>
      <c r="E13" s="371">
        <v>2374.5774385638888</v>
      </c>
      <c r="F13" s="351">
        <v>1.6025883307511458E-2</v>
      </c>
      <c r="H13" s="338">
        <v>117.8833340734285</v>
      </c>
    </row>
    <row r="14" spans="1:8" ht="20" customHeight="1" thickBot="1">
      <c r="A14" s="339" t="s">
        <v>509</v>
      </c>
      <c r="B14" s="370">
        <v>819.4800161854356</v>
      </c>
      <c r="C14" s="371">
        <v>2736.358497026883</v>
      </c>
      <c r="D14" s="370">
        <v>3245.3414933395857</v>
      </c>
      <c r="E14" s="371">
        <v>2763.4339557175094</v>
      </c>
      <c r="F14" s="351">
        <v>1.7106543126342487E-2</v>
      </c>
      <c r="H14" s="338">
        <v>140.25371771237261</v>
      </c>
    </row>
    <row r="15" spans="1:8" ht="20" customHeight="1" thickBot="1">
      <c r="A15" s="339" t="s">
        <v>510</v>
      </c>
      <c r="B15" s="370">
        <v>785.28891448549689</v>
      </c>
      <c r="C15" s="371">
        <v>2714.9728764341194</v>
      </c>
      <c r="D15" s="370">
        <v>3060.670223033555</v>
      </c>
      <c r="E15" s="371">
        <v>2605.7771789996445</v>
      </c>
      <c r="F15" s="351">
        <v>3.4538525871561968E-3</v>
      </c>
      <c r="H15" s="338">
        <v>131.3336445580656</v>
      </c>
    </row>
    <row r="16" spans="1:8" ht="20" customHeight="1" thickBot="1">
      <c r="A16" s="339" t="s">
        <v>511</v>
      </c>
      <c r="B16" s="370">
        <v>888.40276363914097</v>
      </c>
      <c r="C16" s="371">
        <v>3084.4993311322687</v>
      </c>
      <c r="D16" s="370">
        <v>3510.4116399121108</v>
      </c>
      <c r="E16" s="371">
        <v>2903.9785578189708</v>
      </c>
      <c r="F16" s="351">
        <v>9.3927976545603239E-3</v>
      </c>
      <c r="H16" s="338">
        <v>163.19734143075968</v>
      </c>
    </row>
    <row r="17" spans="1:8" ht="20" customHeight="1" thickBot="1">
      <c r="A17" s="339" t="s">
        <v>512</v>
      </c>
      <c r="B17" s="370">
        <v>880.50397931984946</v>
      </c>
      <c r="C17" s="371">
        <v>2966.6606731062852</v>
      </c>
      <c r="D17" s="370">
        <v>3491.8200696416989</v>
      </c>
      <c r="E17" s="371">
        <v>2976.7690496180776</v>
      </c>
      <c r="F17" s="351">
        <v>1.3530711006879068E-2</v>
      </c>
      <c r="H17" s="338">
        <v>156.59253023292777</v>
      </c>
    </row>
    <row r="18" spans="1:8" ht="20" customHeight="1" thickBot="1">
      <c r="A18" s="339" t="s">
        <v>513</v>
      </c>
      <c r="B18" s="370">
        <v>1279.2435423915888</v>
      </c>
      <c r="C18" s="371">
        <v>4284.9130663611904</v>
      </c>
      <c r="D18" s="370">
        <v>4939.5464265835362</v>
      </c>
      <c r="E18" s="371">
        <v>4317.4212969221098</v>
      </c>
      <c r="F18" s="351">
        <v>8.785271892058818E-4</v>
      </c>
      <c r="H18" s="338">
        <v>239.48436004651805</v>
      </c>
    </row>
    <row r="19" spans="1:8" ht="20" customHeight="1" thickBot="1">
      <c r="A19" s="339" t="s">
        <v>514</v>
      </c>
      <c r="B19" s="370">
        <v>1021.3858723495083</v>
      </c>
      <c r="C19" s="371">
        <v>3339.8308885405568</v>
      </c>
      <c r="D19" s="370">
        <v>3943.0145640226401</v>
      </c>
      <c r="E19" s="371">
        <v>3375.2264389734178</v>
      </c>
      <c r="F19" s="351">
        <v>1.1386981810963197E-2</v>
      </c>
      <c r="H19" s="338">
        <v>177.06647582891381</v>
      </c>
    </row>
    <row r="20" spans="1:8" ht="20" customHeight="1" thickBot="1">
      <c r="A20" s="339" t="s">
        <v>515</v>
      </c>
      <c r="B20" s="370">
        <v>889.79612493362595</v>
      </c>
      <c r="C20" s="371">
        <v>2972.2061971747739</v>
      </c>
      <c r="D20" s="370">
        <v>3463.4458120911841</v>
      </c>
      <c r="E20" s="371">
        <v>2970.5869800658729</v>
      </c>
      <c r="F20" s="351">
        <v>7.536064120594931E-3</v>
      </c>
      <c r="H20" s="338">
        <v>165.60622548393192</v>
      </c>
    </row>
    <row r="21" spans="1:8" ht="20" customHeight="1" thickBot="1">
      <c r="A21" s="339" t="s">
        <v>516</v>
      </c>
      <c r="B21" s="370">
        <v>752.9009773475052</v>
      </c>
      <c r="C21" s="371">
        <v>2557.4062546933537</v>
      </c>
      <c r="D21" s="370">
        <v>2969.142192178012</v>
      </c>
      <c r="E21" s="371">
        <v>2512.6744784901844</v>
      </c>
      <c r="F21" s="351">
        <v>3.3085895067523678E-2</v>
      </c>
      <c r="H21" s="338">
        <v>125.02923450612184</v>
      </c>
    </row>
    <row r="22" spans="1:8" ht="20" customHeight="1" thickBot="1">
      <c r="A22" s="339" t="s">
        <v>517</v>
      </c>
      <c r="B22" s="370">
        <v>675.78100676985821</v>
      </c>
      <c r="C22" s="371">
        <v>2261.3042856542038</v>
      </c>
      <c r="D22" s="370">
        <v>2715.9833553033559</v>
      </c>
      <c r="E22" s="371">
        <v>2244.8268874407449</v>
      </c>
      <c r="F22" s="351">
        <v>1.5153793159790336E-2</v>
      </c>
      <c r="H22" s="338">
        <v>109.87124540182084</v>
      </c>
    </row>
    <row r="23" spans="1:8" ht="20" customHeight="1" thickBot="1">
      <c r="A23" s="339" t="s">
        <v>518</v>
      </c>
      <c r="B23" s="370">
        <v>816.15468156489919</v>
      </c>
      <c r="C23" s="371">
        <v>2742.1935044893926</v>
      </c>
      <c r="D23" s="370">
        <v>3195.3208113949586</v>
      </c>
      <c r="E23" s="371">
        <v>2691.0841115334028</v>
      </c>
      <c r="F23" s="351">
        <v>1.437512041347898E-2</v>
      </c>
      <c r="H23" s="338">
        <v>134.24530167185685</v>
      </c>
    </row>
    <row r="24" spans="1:8" ht="20" customHeight="1" thickBot="1">
      <c r="A24" s="339" t="s">
        <v>519</v>
      </c>
      <c r="B24" s="370">
        <v>838.62707697035478</v>
      </c>
      <c r="C24" s="371">
        <v>2768.4524688306974</v>
      </c>
      <c r="D24" s="370">
        <v>3147.8838967704328</v>
      </c>
      <c r="E24" s="371">
        <v>2724.8531623173362</v>
      </c>
      <c r="F24" s="351">
        <v>1.0922037298214379E-2</v>
      </c>
      <c r="H24" s="338">
        <v>132.91701511018809</v>
      </c>
    </row>
    <row r="25" spans="1:8" ht="20" customHeight="1" thickBot="1">
      <c r="A25" s="339" t="s">
        <v>520</v>
      </c>
      <c r="B25" s="370">
        <v>872.20125984463641</v>
      </c>
      <c r="C25" s="371">
        <v>2969.378135282293</v>
      </c>
      <c r="D25" s="370">
        <v>3413.8454377967764</v>
      </c>
      <c r="E25" s="371">
        <v>2893.5076007445114</v>
      </c>
      <c r="F25" s="351">
        <v>7.1756318379470902E-3</v>
      </c>
      <c r="H25" s="338">
        <v>145.05617363699608</v>
      </c>
    </row>
    <row r="26" spans="1:8" ht="20" customHeight="1" thickBot="1">
      <c r="A26" s="339" t="s">
        <v>521</v>
      </c>
      <c r="B26" s="370">
        <v>836.28132337645718</v>
      </c>
      <c r="C26" s="371">
        <v>2688.9160783568764</v>
      </c>
      <c r="D26" s="370">
        <v>3184.7116778373243</v>
      </c>
      <c r="E26" s="371">
        <v>2686.5419986646843</v>
      </c>
      <c r="F26" s="351">
        <v>9.6813138600558464E-3</v>
      </c>
      <c r="H26" s="338">
        <v>145.7338374894791</v>
      </c>
    </row>
    <row r="27" spans="1:8" ht="20" customHeight="1" thickBot="1">
      <c r="A27" s="339" t="s">
        <v>522</v>
      </c>
      <c r="B27" s="370">
        <v>1020.7953845481089</v>
      </c>
      <c r="C27" s="371">
        <v>3481.9888775359364</v>
      </c>
      <c r="D27" s="370">
        <v>3947.8855576106816</v>
      </c>
      <c r="E27" s="371">
        <v>3404.7260713475607</v>
      </c>
      <c r="F27" s="351">
        <v>3.98829876216717E-3</v>
      </c>
      <c r="H27" s="338">
        <v>199.67764846714121</v>
      </c>
    </row>
    <row r="28" spans="1:8" ht="20" customHeight="1" thickBot="1">
      <c r="A28" s="339" t="s">
        <v>523</v>
      </c>
      <c r="B28" s="370">
        <v>1039.0375014130409</v>
      </c>
      <c r="C28" s="371">
        <v>3610.9827915854457</v>
      </c>
      <c r="D28" s="370">
        <v>4057.1834114923681</v>
      </c>
      <c r="E28" s="371">
        <v>3393.1098034053894</v>
      </c>
      <c r="F28" s="351">
        <v>8.2069924432938181E-3</v>
      </c>
      <c r="H28" s="338">
        <v>203.24357993536964</v>
      </c>
    </row>
    <row r="29" spans="1:8" ht="20" customHeight="1" thickBot="1">
      <c r="A29" s="339" t="s">
        <v>524</v>
      </c>
      <c r="B29" s="370">
        <v>848.51011813363016</v>
      </c>
      <c r="C29" s="371">
        <v>3056.355223547394</v>
      </c>
      <c r="D29" s="370">
        <v>3357.7096384988395</v>
      </c>
      <c r="E29" s="371">
        <v>2860.7696530905746</v>
      </c>
      <c r="F29" s="351">
        <v>1.0911044792468428E-2</v>
      </c>
      <c r="H29" s="338">
        <v>144.85185631308477</v>
      </c>
    </row>
    <row r="30" spans="1:8" ht="20" customHeight="1" thickBot="1">
      <c r="A30" s="339" t="s">
        <v>525</v>
      </c>
      <c r="B30" s="370">
        <v>893.68044459999828</v>
      </c>
      <c r="C30" s="371">
        <v>3265.0709299187411</v>
      </c>
      <c r="D30" s="370">
        <v>3776.005879673904</v>
      </c>
      <c r="E30" s="371">
        <v>3153.0547963343033</v>
      </c>
      <c r="F30" s="351">
        <v>4.1618866406906273E-3</v>
      </c>
      <c r="H30" s="338">
        <v>184.5803903521614</v>
      </c>
    </row>
    <row r="31" spans="1:8" ht="20" customHeight="1" thickBot="1">
      <c r="A31" s="339" t="s">
        <v>526</v>
      </c>
      <c r="B31" s="370">
        <v>1110.9661267695187</v>
      </c>
      <c r="C31" s="371">
        <v>4146.110987924555</v>
      </c>
      <c r="D31" s="370">
        <v>4612.1905163627325</v>
      </c>
      <c r="E31" s="371">
        <v>3859.3311482625522</v>
      </c>
      <c r="F31" s="351">
        <v>1.0933593708147187E-2</v>
      </c>
      <c r="H31" s="338">
        <v>244.01642882305748</v>
      </c>
    </row>
    <row r="32" spans="1:8" ht="20" customHeight="1" thickBot="1">
      <c r="A32" s="234" t="s">
        <v>527</v>
      </c>
      <c r="B32" s="370">
        <v>871.87238586186243</v>
      </c>
      <c r="C32" s="371">
        <v>3197.4374298004818</v>
      </c>
      <c r="D32" s="370">
        <v>3806.6825590196559</v>
      </c>
      <c r="E32" s="371">
        <v>3151.9749327594882</v>
      </c>
      <c r="F32" s="351">
        <v>7.7862835976862778E-3</v>
      </c>
      <c r="H32" s="338">
        <v>200.58331332206401</v>
      </c>
    </row>
    <row r="33" spans="1:8" ht="20" customHeight="1" thickBot="1">
      <c r="A33" s="297" t="s">
        <v>528</v>
      </c>
      <c r="B33" s="370">
        <v>451.9445002293379</v>
      </c>
      <c r="C33" s="371">
        <v>1615.8460354430379</v>
      </c>
      <c r="D33" s="370">
        <v>1588.9280033873679</v>
      </c>
      <c r="E33" s="371">
        <v>1437.0920040315807</v>
      </c>
      <c r="F33" s="351">
        <v>-0.42334055586779173</v>
      </c>
      <c r="H33" s="338">
        <v>244.01642882305748</v>
      </c>
    </row>
    <row r="34" spans="1:8" ht="19.75" hidden="1" customHeight="1" thickBot="1">
      <c r="A34" s="234" t="s">
        <v>529</v>
      </c>
      <c r="B34" s="287" t="s">
        <v>153</v>
      </c>
      <c r="C34" s="288" t="s">
        <v>153</v>
      </c>
      <c r="D34" s="287" t="s">
        <v>153</v>
      </c>
      <c r="E34" s="288" t="s">
        <v>153</v>
      </c>
      <c r="F34" s="351" t="s">
        <v>153</v>
      </c>
      <c r="H34" s="338">
        <v>200.58331332206401</v>
      </c>
    </row>
    <row r="35" spans="1:8" s="410" customFormat="1" ht="30" customHeight="1" thickBot="1">
      <c r="A35" s="354" t="s">
        <v>530</v>
      </c>
      <c r="B35" s="407">
        <v>931.59997469501286</v>
      </c>
      <c r="C35" s="408">
        <v>3162.4137082945649</v>
      </c>
      <c r="D35" s="407">
        <v>3661.0441189832281</v>
      </c>
      <c r="E35" s="408">
        <v>3105.2131200339913</v>
      </c>
      <c r="F35" s="409">
        <v>9.7500278151168782E-3</v>
      </c>
      <c r="H35" s="411">
        <v>167.9825427102873</v>
      </c>
    </row>
    <row r="36" spans="1:8" ht="20" customHeight="1">
      <c r="A36" s="189" t="s">
        <v>346</v>
      </c>
      <c r="B36" s="302"/>
      <c r="C36" s="302"/>
      <c r="D36" s="302"/>
      <c r="E36" s="302"/>
      <c r="F36" s="412"/>
    </row>
    <row r="37" spans="1:8" ht="14.25" customHeight="1">
      <c r="A37" s="219"/>
      <c r="B37" s="413"/>
      <c r="C37" s="413"/>
      <c r="D37" s="413"/>
      <c r="E37" s="413"/>
      <c r="F37" s="220"/>
    </row>
    <row r="38" spans="1:8" ht="18.5" customHeight="1">
      <c r="A38" s="219" t="s">
        <v>639</v>
      </c>
      <c r="B38" s="413"/>
      <c r="C38" s="413"/>
      <c r="D38" s="413"/>
      <c r="E38" s="413"/>
      <c r="F38" s="220"/>
    </row>
    <row r="39" spans="1:8" ht="9.75" customHeight="1">
      <c r="A39" s="219"/>
      <c r="B39" s="413"/>
      <c r="C39" s="413"/>
      <c r="D39" s="413"/>
      <c r="E39" s="413"/>
      <c r="F39" s="220"/>
    </row>
    <row r="40" spans="1:8" ht="15.75" customHeight="1">
      <c r="A40" s="219" t="s">
        <v>640</v>
      </c>
    </row>
    <row r="41" spans="1:8" ht="15.75" customHeight="1">
      <c r="A41" s="219" t="s">
        <v>533</v>
      </c>
    </row>
    <row r="42" spans="1:8" ht="15.75" customHeight="1">
      <c r="A42" s="501" t="s">
        <v>718</v>
      </c>
    </row>
    <row r="43" spans="1:8" ht="15.75" customHeight="1">
      <c r="A43" s="501" t="s">
        <v>719</v>
      </c>
    </row>
    <row r="44" spans="1:8" ht="12" customHeight="1">
      <c r="A44" s="219"/>
    </row>
    <row r="45" spans="1:8" ht="12" customHeight="1"/>
    <row r="46" spans="1:8">
      <c r="A46" s="219" t="s">
        <v>302</v>
      </c>
    </row>
  </sheetData>
  <mergeCells count="1">
    <mergeCell ref="A2:E2"/>
  </mergeCells>
  <pageMargins left="0.55000000000000004" right="0.78740157480314965" top="1.1000000000000001" bottom="0.49" header="0.92" footer="0.4921259845"/>
  <pageSetup paperSize="9" scale="85" orientation="portrait" horizontalDpi="4294967292" verticalDpi="4294967292"/>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B8D72-34E2-BD4B-9264-095503A3DA2D}">
  <sheetPr>
    <pageSetUpPr fitToPage="1"/>
  </sheetPr>
  <dimension ref="A1:K63"/>
  <sheetViews>
    <sheetView zoomScaleNormal="100" workbookViewId="0"/>
  </sheetViews>
  <sheetFormatPr baseColWidth="10" defaultColWidth="11.3984375" defaultRowHeight="13"/>
  <cols>
    <col min="1" max="1" width="23.3984375" style="3" customWidth="1"/>
    <col min="2" max="2" width="18.796875" style="3" customWidth="1"/>
    <col min="3" max="3" width="15.3984375" style="3" customWidth="1"/>
    <col min="4" max="4" width="19.3984375" style="3" customWidth="1"/>
    <col min="5" max="5" width="15.3984375" style="3" customWidth="1"/>
    <col min="6" max="6" width="20" style="3" customWidth="1"/>
    <col min="7" max="7" width="16.3984375" style="3" customWidth="1"/>
    <col min="8" max="8" width="13.796875" style="3" customWidth="1"/>
    <col min="9" max="9" width="13.59765625" style="3" customWidth="1"/>
    <col min="10" max="10" width="13.796875" style="3" customWidth="1"/>
    <col min="11" max="16384" width="11.3984375" style="3"/>
  </cols>
  <sheetData>
    <row r="1" spans="1:11" s="1" customFormat="1" ht="8.25" customHeight="1"/>
    <row r="2" spans="1:11" s="1" customFormat="1" ht="24.5" customHeight="1">
      <c r="A2" s="125" t="s">
        <v>1078</v>
      </c>
      <c r="B2" s="360"/>
      <c r="C2" s="360"/>
      <c r="D2" s="360"/>
      <c r="E2" s="360"/>
      <c r="F2" s="311"/>
      <c r="G2" s="311"/>
    </row>
    <row r="3" spans="1:11" ht="24" customHeight="1">
      <c r="A3" s="224" t="s">
        <v>474</v>
      </c>
      <c r="B3" s="267" t="s">
        <v>446</v>
      </c>
      <c r="C3" s="268" t="s">
        <v>447</v>
      </c>
      <c r="D3" s="267" t="s">
        <v>448</v>
      </c>
      <c r="E3" s="268" t="s">
        <v>449</v>
      </c>
      <c r="F3" s="267" t="s">
        <v>498</v>
      </c>
      <c r="G3" s="305" t="s">
        <v>475</v>
      </c>
    </row>
    <row r="4" spans="1:11" ht="16.75" customHeight="1">
      <c r="A4" s="269"/>
      <c r="B4" s="270" t="s">
        <v>450</v>
      </c>
      <c r="C4" s="271" t="s">
        <v>451</v>
      </c>
      <c r="D4" s="270" t="s">
        <v>483</v>
      </c>
      <c r="E4" s="272" t="s">
        <v>1079</v>
      </c>
      <c r="F4" s="270"/>
      <c r="G4" s="306" t="s">
        <v>476</v>
      </c>
    </row>
    <row r="5" spans="1:11" ht="16.75" customHeight="1">
      <c r="A5" s="269"/>
      <c r="B5" s="270" t="s">
        <v>454</v>
      </c>
      <c r="C5" s="271" t="s">
        <v>455</v>
      </c>
      <c r="D5" s="270" t="s">
        <v>485</v>
      </c>
      <c r="E5" s="272" t="s">
        <v>1080</v>
      </c>
      <c r="F5" s="270"/>
      <c r="G5" s="306" t="s">
        <v>477</v>
      </c>
    </row>
    <row r="6" spans="1:11" ht="20.25" customHeight="1">
      <c r="A6" s="227" t="s">
        <v>537</v>
      </c>
      <c r="B6" s="274"/>
      <c r="C6" s="275"/>
      <c r="D6" s="274"/>
      <c r="E6" s="276" t="s">
        <v>2226</v>
      </c>
      <c r="F6" s="274"/>
      <c r="G6" s="405"/>
    </row>
    <row r="7" spans="1:11" ht="1.25" customHeight="1" thickBot="1">
      <c r="A7" s="277">
        <v>1996</v>
      </c>
      <c r="B7" s="287">
        <v>1524.5463513417667</v>
      </c>
      <c r="C7" s="288">
        <v>1591.881526355354</v>
      </c>
      <c r="D7" s="287">
        <v>1359.088238474134</v>
      </c>
      <c r="E7" s="288">
        <v>1137.2770798904471</v>
      </c>
      <c r="F7" s="287">
        <v>1538.9405008830074</v>
      </c>
      <c r="G7" s="308" t="s">
        <v>153</v>
      </c>
    </row>
    <row r="8" spans="1:11" ht="19.5" hidden="1" customHeight="1" thickBot="1">
      <c r="A8" s="280">
        <v>1997</v>
      </c>
      <c r="B8" s="289">
        <v>1596.7748981305942</v>
      </c>
      <c r="C8" s="159">
        <v>1820.0543916502945</v>
      </c>
      <c r="D8" s="289">
        <v>1429.0086986460665</v>
      </c>
      <c r="E8" s="159">
        <v>1270.8735771137619</v>
      </c>
      <c r="F8" s="289">
        <v>1663.893341996396</v>
      </c>
      <c r="G8" s="309">
        <v>8.1194068933590158E-2</v>
      </c>
      <c r="I8" s="8"/>
      <c r="J8" s="8"/>
      <c r="K8" s="8"/>
    </row>
    <row r="9" spans="1:11" ht="19.5" hidden="1" customHeight="1" thickBot="1">
      <c r="A9" s="280">
        <v>1998</v>
      </c>
      <c r="B9" s="289">
        <v>1665.5565653402912</v>
      </c>
      <c r="C9" s="159">
        <v>1937.4811057809607</v>
      </c>
      <c r="D9" s="289">
        <v>1448.2169878271459</v>
      </c>
      <c r="E9" s="159">
        <v>1463.0710596518434</v>
      </c>
      <c r="F9" s="289">
        <v>1753.6807220915252</v>
      </c>
      <c r="G9" s="309">
        <v>5.3962220912188608E-2</v>
      </c>
    </row>
    <row r="10" spans="1:11" ht="19.75" hidden="1" customHeight="1" thickBot="1">
      <c r="A10" s="280">
        <v>1999</v>
      </c>
      <c r="B10" s="289">
        <v>1698.1180433399416</v>
      </c>
      <c r="C10" s="159">
        <v>1985.9900541831798</v>
      </c>
      <c r="D10" s="289">
        <v>1493.6302697798037</v>
      </c>
      <c r="E10" s="159">
        <v>1527.6216147396292</v>
      </c>
      <c r="F10" s="289">
        <v>1792.6961372402147</v>
      </c>
      <c r="G10" s="309">
        <v>2.2247729964299134E-2</v>
      </c>
    </row>
    <row r="11" spans="1:11" ht="19.75" hidden="1" customHeight="1" thickBot="1">
      <c r="A11" s="280">
        <v>2000</v>
      </c>
      <c r="B11" s="289">
        <v>1758.0451704632812</v>
      </c>
      <c r="C11" s="159">
        <v>2038.1607144334851</v>
      </c>
      <c r="D11" s="289">
        <v>1535.3433088803986</v>
      </c>
      <c r="E11" s="159">
        <v>1583.2530710258736</v>
      </c>
      <c r="F11" s="289">
        <v>1850.1631679231971</v>
      </c>
      <c r="G11" s="309">
        <v>3.2056202659894506E-2</v>
      </c>
    </row>
    <row r="12" spans="1:11" ht="20" hidden="1" customHeight="1" thickBot="1">
      <c r="A12" s="280">
        <v>2001</v>
      </c>
      <c r="B12" s="289">
        <v>1842.9742230994177</v>
      </c>
      <c r="C12" s="159">
        <v>2074.3537866389079</v>
      </c>
      <c r="D12" s="289">
        <v>1595.1792853069078</v>
      </c>
      <c r="E12" s="159">
        <v>1658.0330212983067</v>
      </c>
      <c r="F12" s="289">
        <v>1917.1693080707569</v>
      </c>
      <c r="G12" s="309">
        <v>3.6216340974279504E-2</v>
      </c>
    </row>
    <row r="13" spans="1:11" ht="20" hidden="1" customHeight="1" thickBot="1">
      <c r="A13" s="280">
        <v>2002</v>
      </c>
      <c r="B13" s="289">
        <v>1999.3225217818947</v>
      </c>
      <c r="C13" s="159">
        <v>2236.6776923608968</v>
      </c>
      <c r="D13" s="289">
        <v>1807.8492038743398</v>
      </c>
      <c r="E13" s="159">
        <v>1938.8414423486433</v>
      </c>
      <c r="F13" s="289">
        <v>2090.6453445046668</v>
      </c>
      <c r="G13" s="309">
        <v>9.0485506785250136E-2</v>
      </c>
    </row>
    <row r="14" spans="1:11" ht="20" customHeight="1" thickBot="1">
      <c r="A14" s="280">
        <v>2003</v>
      </c>
      <c r="B14" s="289">
        <v>2216.0796496496105</v>
      </c>
      <c r="C14" s="159">
        <v>2426.9395460837259</v>
      </c>
      <c r="D14" s="289">
        <v>1977.301650220651</v>
      </c>
      <c r="E14" s="159">
        <v>1934.7726722030034</v>
      </c>
      <c r="F14" s="289">
        <v>2281.4625632725915</v>
      </c>
      <c r="G14" s="309">
        <v>9.1271921978299364E-2</v>
      </c>
    </row>
    <row r="15" spans="1:11" ht="20" customHeight="1" thickBot="1">
      <c r="A15" s="280">
        <v>2004</v>
      </c>
      <c r="B15" s="289">
        <v>2343.8682619528158</v>
      </c>
      <c r="C15" s="159">
        <v>2645.1462345444088</v>
      </c>
      <c r="D15" s="289">
        <v>2075.9841086714919</v>
      </c>
      <c r="E15" s="159">
        <v>2100.4541508082671</v>
      </c>
      <c r="F15" s="289">
        <v>2441.8690220833437</v>
      </c>
      <c r="G15" s="309">
        <v>7.0308608781491921E-2</v>
      </c>
    </row>
    <row r="16" spans="1:11" ht="20" customHeight="1" thickBot="1">
      <c r="A16" s="280">
        <v>2005</v>
      </c>
      <c r="B16" s="289">
        <v>2470.8502609985521</v>
      </c>
      <c r="C16" s="159">
        <v>2635.6398124159059</v>
      </c>
      <c r="D16" s="289">
        <v>2194.1314013904234</v>
      </c>
      <c r="E16" s="159">
        <v>2075.4315686877048</v>
      </c>
      <c r="F16" s="289">
        <v>2487.4606144678528</v>
      </c>
      <c r="G16" s="309">
        <v>1.8670777167897112E-2</v>
      </c>
    </row>
    <row r="17" spans="1:7" ht="20" customHeight="1" thickBot="1">
      <c r="A17" s="280">
        <v>2006</v>
      </c>
      <c r="B17" s="289">
        <v>2629.69</v>
      </c>
      <c r="C17" s="159">
        <v>2763.07</v>
      </c>
      <c r="D17" s="289">
        <v>2359.12</v>
      </c>
      <c r="E17" s="159">
        <v>2097.1999999999998</v>
      </c>
      <c r="F17" s="289">
        <v>2582.7199999999998</v>
      </c>
      <c r="G17" s="309">
        <v>3.8295836717208154E-2</v>
      </c>
    </row>
    <row r="18" spans="1:7" ht="20" customHeight="1" thickBot="1">
      <c r="A18" s="280">
        <v>2007</v>
      </c>
      <c r="B18" s="289">
        <v>2723.42</v>
      </c>
      <c r="C18" s="159">
        <v>2817.48</v>
      </c>
      <c r="D18" s="289">
        <v>2454.38</v>
      </c>
      <c r="E18" s="159">
        <v>2134.58</v>
      </c>
      <c r="F18" s="289">
        <v>2612.13</v>
      </c>
      <c r="G18" s="309">
        <v>1.1387219675381033E-2</v>
      </c>
    </row>
    <row r="19" spans="1:7" ht="20" customHeight="1" thickBot="1">
      <c r="A19" s="280">
        <v>2008</v>
      </c>
      <c r="B19" s="289">
        <v>2766.67</v>
      </c>
      <c r="C19" s="159">
        <v>2814.77</v>
      </c>
      <c r="D19" s="289">
        <v>2510.7399999999998</v>
      </c>
      <c r="E19" s="159">
        <v>2114.29</v>
      </c>
      <c r="F19" s="289">
        <v>2585.79</v>
      </c>
      <c r="G19" s="309">
        <v>-1.0083724776332015E-2</v>
      </c>
    </row>
    <row r="20" spans="1:7" ht="20" customHeight="1" thickBot="1">
      <c r="A20" s="280">
        <v>2009</v>
      </c>
      <c r="B20" s="289">
        <v>2823.6745881888778</v>
      </c>
      <c r="C20" s="159">
        <v>2837.4638725119903</v>
      </c>
      <c r="D20" s="289">
        <v>2582.6714722167626</v>
      </c>
      <c r="E20" s="159">
        <v>2220.8587243287579</v>
      </c>
      <c r="F20" s="289">
        <v>2610.6060854467783</v>
      </c>
      <c r="G20" s="309">
        <v>9.5971000919556904E-3</v>
      </c>
    </row>
    <row r="21" spans="1:7" ht="20" customHeight="1" thickBot="1">
      <c r="A21" s="280">
        <v>2010</v>
      </c>
      <c r="B21" s="289">
        <v>3145.2431348976961</v>
      </c>
      <c r="C21" s="159">
        <v>3211.532192096673</v>
      </c>
      <c r="D21" s="289">
        <v>2821.8130817782608</v>
      </c>
      <c r="E21" s="159">
        <v>2440.6088467563409</v>
      </c>
      <c r="F21" s="289">
        <v>2834.4985554616119</v>
      </c>
      <c r="G21" s="309">
        <v>8.5762640048591132E-2</v>
      </c>
    </row>
    <row r="22" spans="1:7" ht="20" customHeight="1" thickBot="1">
      <c r="A22" s="280">
        <v>2011</v>
      </c>
      <c r="B22" s="289">
        <v>3394.564555374136</v>
      </c>
      <c r="C22" s="159">
        <v>3454.0913551945878</v>
      </c>
      <c r="D22" s="289">
        <v>3019.459664395612</v>
      </c>
      <c r="E22" s="159">
        <v>2632.9810008432919</v>
      </c>
      <c r="F22" s="289">
        <v>3005.4531830980982</v>
      </c>
      <c r="G22" s="309">
        <v>6.031212374657402E-2</v>
      </c>
    </row>
    <row r="23" spans="1:7" ht="20" customHeight="1" thickBot="1">
      <c r="A23" s="280">
        <v>2012</v>
      </c>
      <c r="B23" s="289">
        <v>3522.7591313918697</v>
      </c>
      <c r="C23" s="159">
        <v>3590.2671027195524</v>
      </c>
      <c r="D23" s="289">
        <v>3101.5088173115278</v>
      </c>
      <c r="E23" s="159">
        <v>2718.085828165586</v>
      </c>
      <c r="F23" s="289">
        <v>3075.2295426022538</v>
      </c>
      <c r="G23" s="309">
        <v>2.3216585071615947E-2</v>
      </c>
    </row>
    <row r="24" spans="1:7" ht="22.5" customHeight="1" thickBot="1">
      <c r="A24" s="283">
        <v>2013</v>
      </c>
      <c r="B24" s="290">
        <v>3597.0262629736103</v>
      </c>
      <c r="C24" s="291">
        <v>3655.1914756167985</v>
      </c>
      <c r="D24" s="290">
        <v>3193.0834432178322</v>
      </c>
      <c r="E24" s="291">
        <v>2764.1823372923691</v>
      </c>
      <c r="F24" s="290">
        <v>3105.2130968778333</v>
      </c>
      <c r="G24" s="648">
        <v>9.7500215382970712E-3</v>
      </c>
    </row>
    <row r="25" spans="1:7" ht="20" customHeight="1">
      <c r="A25" s="189" t="s">
        <v>346</v>
      </c>
      <c r="B25" s="457"/>
      <c r="C25" s="457"/>
      <c r="D25" s="457"/>
      <c r="E25" s="457"/>
      <c r="F25" s="457"/>
      <c r="G25" s="529"/>
    </row>
    <row r="26" spans="1:7" ht="13.5" customHeight="1">
      <c r="A26" s="219"/>
      <c r="B26" s="459"/>
      <c r="C26" s="459"/>
      <c r="D26" s="459"/>
      <c r="E26" s="459"/>
      <c r="F26" s="459"/>
      <c r="G26" s="530"/>
    </row>
    <row r="27" spans="1:7">
      <c r="A27" s="3" t="s">
        <v>1081</v>
      </c>
      <c r="G27" s="530"/>
    </row>
    <row r="28" spans="1:7">
      <c r="G28" s="530"/>
    </row>
    <row r="29" spans="1:7">
      <c r="G29" s="530"/>
    </row>
    <row r="30" spans="1:7" ht="18">
      <c r="A30" s="649" t="s">
        <v>2232</v>
      </c>
      <c r="G30" s="530"/>
    </row>
    <row r="31" spans="1:7">
      <c r="G31" s="530"/>
    </row>
    <row r="32" spans="1:7" ht="19.5" customHeight="1">
      <c r="A32" s="224" t="s">
        <v>460</v>
      </c>
      <c r="B32" s="267" t="s">
        <v>495</v>
      </c>
      <c r="C32" s="519" t="s">
        <v>475</v>
      </c>
      <c r="D32" s="267" t="s">
        <v>496</v>
      </c>
      <c r="E32" s="519" t="s">
        <v>475</v>
      </c>
      <c r="F32" s="267" t="s">
        <v>1082</v>
      </c>
      <c r="G32" s="519" t="s">
        <v>475</v>
      </c>
    </row>
    <row r="33" spans="1:7" ht="19.5" customHeight="1">
      <c r="A33" s="650"/>
      <c r="B33" s="270" t="s">
        <v>499</v>
      </c>
      <c r="C33" s="521" t="s">
        <v>476</v>
      </c>
      <c r="D33" s="270" t="s">
        <v>500</v>
      </c>
      <c r="E33" s="521" t="s">
        <v>476</v>
      </c>
      <c r="F33" s="270" t="s">
        <v>1083</v>
      </c>
      <c r="G33" s="521" t="s">
        <v>476</v>
      </c>
    </row>
    <row r="34" spans="1:7" ht="19.5" customHeight="1">
      <c r="A34" s="269"/>
      <c r="B34" s="270"/>
      <c r="C34" s="521" t="s">
        <v>477</v>
      </c>
      <c r="D34" s="270"/>
      <c r="E34" s="521" t="s">
        <v>477</v>
      </c>
      <c r="F34" s="270"/>
      <c r="G34" s="521" t="s">
        <v>477</v>
      </c>
    </row>
    <row r="35" spans="1:7" ht="19.5" customHeight="1">
      <c r="A35" s="273"/>
      <c r="B35" s="274"/>
      <c r="C35" s="471"/>
      <c r="D35" s="274"/>
      <c r="E35" s="471"/>
      <c r="F35" s="274"/>
      <c r="G35" s="471"/>
    </row>
    <row r="36" spans="1:7" ht="1.25" customHeight="1" thickBot="1">
      <c r="A36" s="277">
        <v>1996</v>
      </c>
      <c r="B36" s="287" t="s">
        <v>153</v>
      </c>
      <c r="C36" s="651" t="s">
        <v>153</v>
      </c>
      <c r="D36" s="287" t="s">
        <v>153</v>
      </c>
      <c r="E36" s="651" t="s">
        <v>153</v>
      </c>
      <c r="F36" s="287" t="s">
        <v>153</v>
      </c>
      <c r="G36" s="308" t="s">
        <v>153</v>
      </c>
    </row>
    <row r="37" spans="1:7" ht="0.75" hidden="1" customHeight="1" thickBot="1">
      <c r="A37" s="280">
        <v>1997</v>
      </c>
      <c r="B37" s="287">
        <v>571.27</v>
      </c>
      <c r="C37" s="651" t="s">
        <v>153</v>
      </c>
      <c r="D37" s="287">
        <v>1459.12</v>
      </c>
      <c r="E37" s="651" t="s">
        <v>153</v>
      </c>
      <c r="F37" s="287">
        <v>2024.73</v>
      </c>
      <c r="G37" s="309" t="s">
        <v>153</v>
      </c>
    </row>
    <row r="38" spans="1:7" ht="19.5" hidden="1" customHeight="1" thickBot="1">
      <c r="A38" s="280">
        <v>1998</v>
      </c>
      <c r="B38" s="289">
        <v>588.77</v>
      </c>
      <c r="C38" s="309">
        <v>3.0633500796471091E-2</v>
      </c>
      <c r="D38" s="289">
        <v>1563.95</v>
      </c>
      <c r="E38" s="309">
        <v>7.1844673501836764E-2</v>
      </c>
      <c r="F38" s="289">
        <v>2142.38</v>
      </c>
      <c r="G38" s="309">
        <v>5.8106512967161184E-2</v>
      </c>
    </row>
    <row r="39" spans="1:7" ht="0.5" hidden="1" customHeight="1" thickBot="1">
      <c r="A39" s="280">
        <v>1999</v>
      </c>
      <c r="B39" s="289">
        <v>603.19000000000005</v>
      </c>
      <c r="C39" s="309">
        <v>2.4491737011057113E-2</v>
      </c>
      <c r="D39" s="289">
        <v>1581.32</v>
      </c>
      <c r="E39" s="309">
        <v>1.1106493174334098E-2</v>
      </c>
      <c r="F39" s="289">
        <v>2190.21</v>
      </c>
      <c r="G39" s="309">
        <v>2.2325637842026014E-2</v>
      </c>
    </row>
    <row r="40" spans="1:7" ht="19.25" hidden="1" customHeight="1" thickBot="1">
      <c r="A40" s="280">
        <v>2000</v>
      </c>
      <c r="B40" s="289">
        <v>621.73</v>
      </c>
      <c r="C40" s="309">
        <v>3.073658382930744E-2</v>
      </c>
      <c r="D40" s="289">
        <v>1566.95</v>
      </c>
      <c r="E40" s="309">
        <v>-9.0873447499556503E-3</v>
      </c>
      <c r="F40" s="289">
        <v>2256.67</v>
      </c>
      <c r="G40" s="309">
        <v>3.0344122253117334E-2</v>
      </c>
    </row>
    <row r="41" spans="1:7" ht="19.5" hidden="1" customHeight="1" thickBot="1">
      <c r="A41" s="280">
        <v>2001</v>
      </c>
      <c r="B41" s="289">
        <v>652.66999999999996</v>
      </c>
      <c r="C41" s="309">
        <v>4.9764367169028212E-2</v>
      </c>
      <c r="D41" s="289">
        <v>1580.79</v>
      </c>
      <c r="E41" s="309">
        <v>8.8324451960815065E-3</v>
      </c>
      <c r="F41" s="289">
        <v>2352.56</v>
      </c>
      <c r="G41" s="309">
        <v>4.2491813158326064E-2</v>
      </c>
    </row>
    <row r="42" spans="1:7" ht="19.5" hidden="1" customHeight="1" thickBot="1">
      <c r="A42" s="280">
        <v>2002</v>
      </c>
      <c r="B42" s="289">
        <v>712.31</v>
      </c>
      <c r="C42" s="309">
        <v>9.1378491427520858E-2</v>
      </c>
      <c r="D42" s="289">
        <v>1782.56</v>
      </c>
      <c r="E42" s="309">
        <v>0.12763871228942492</v>
      </c>
      <c r="F42" s="289">
        <v>2553.98</v>
      </c>
      <c r="G42" s="309">
        <v>8.5617370013942207E-2</v>
      </c>
    </row>
    <row r="43" spans="1:7" ht="19.5" customHeight="1" thickBot="1">
      <c r="A43" s="280">
        <v>2003</v>
      </c>
      <c r="B43" s="289">
        <v>775.13</v>
      </c>
      <c r="C43" s="309">
        <v>8.8191938903005695E-2</v>
      </c>
      <c r="D43" s="289">
        <v>2027.01</v>
      </c>
      <c r="E43" s="309">
        <v>0.13713423391077995</v>
      </c>
      <c r="F43" s="289">
        <v>2767.57</v>
      </c>
      <c r="G43" s="309">
        <v>8.3630255522752828E-2</v>
      </c>
    </row>
    <row r="44" spans="1:7" ht="19.5" customHeight="1" thickBot="1">
      <c r="A44" s="280">
        <v>2004</v>
      </c>
      <c r="B44" s="289">
        <v>811.85</v>
      </c>
      <c r="C44" s="309">
        <v>4.7372698773109123E-2</v>
      </c>
      <c r="D44" s="289">
        <v>2229.4699999999998</v>
      </c>
      <c r="E44" s="309">
        <v>9.9881105667954273E-2</v>
      </c>
      <c r="F44" s="289">
        <v>2944.97</v>
      </c>
      <c r="G44" s="309">
        <v>6.4099553037502144E-2</v>
      </c>
    </row>
    <row r="45" spans="1:7" ht="19.5" customHeight="1" thickBot="1">
      <c r="A45" s="280">
        <v>2005</v>
      </c>
      <c r="B45" s="289">
        <v>810.41</v>
      </c>
      <c r="C45" s="309">
        <v>-1.773726673646725E-3</v>
      </c>
      <c r="D45" s="289">
        <v>2295.98</v>
      </c>
      <c r="E45" s="309">
        <v>2.9832202272288999E-2</v>
      </c>
      <c r="F45" s="289">
        <v>3001.01</v>
      </c>
      <c r="G45" s="309">
        <v>1.9029056323154547E-2</v>
      </c>
    </row>
    <row r="46" spans="1:7" ht="19.5" customHeight="1" thickBot="1">
      <c r="A46" s="280">
        <v>2006</v>
      </c>
      <c r="B46" s="289">
        <v>831.45</v>
      </c>
      <c r="C46" s="309">
        <v>2.5962167298034355E-2</v>
      </c>
      <c r="D46" s="289">
        <v>2397.42</v>
      </c>
      <c r="E46" s="309">
        <v>4.4181569525866937E-2</v>
      </c>
      <c r="F46" s="289">
        <v>3120.11</v>
      </c>
      <c r="G46" s="309">
        <v>3.9686638831593291E-2</v>
      </c>
    </row>
    <row r="47" spans="1:7" ht="19.5" customHeight="1" thickBot="1">
      <c r="A47" s="280">
        <v>2007</v>
      </c>
      <c r="B47" s="289">
        <v>830.97</v>
      </c>
      <c r="C47" s="309">
        <v>-5.7730470864159056E-4</v>
      </c>
      <c r="D47" s="289">
        <v>2410.9299999999998</v>
      </c>
      <c r="E47" s="309">
        <v>5.6352245330395512E-3</v>
      </c>
      <c r="F47" s="289">
        <v>3148.34</v>
      </c>
      <c r="G47" s="309">
        <v>9.0477579316114998E-3</v>
      </c>
    </row>
    <row r="48" spans="1:7" ht="19.5" customHeight="1" thickBot="1">
      <c r="A48" s="280">
        <v>2008</v>
      </c>
      <c r="B48" s="289">
        <v>805.67</v>
      </c>
      <c r="C48" s="309">
        <v>-3.0446345836793176E-2</v>
      </c>
      <c r="D48" s="289">
        <v>2390.77</v>
      </c>
      <c r="E48" s="309">
        <v>-8.3619184298174831E-3</v>
      </c>
      <c r="F48" s="289">
        <v>3113.11</v>
      </c>
      <c r="G48" s="309">
        <v>-1.1190023949128713E-2</v>
      </c>
    </row>
    <row r="49" spans="1:7" ht="19.5" customHeight="1" thickBot="1">
      <c r="A49" s="280">
        <v>2009</v>
      </c>
      <c r="B49" s="289">
        <v>803.29852245883592</v>
      </c>
      <c r="C49" s="309">
        <v>-2.9434849766828419E-3</v>
      </c>
      <c r="D49" s="289">
        <v>2417.2719920855861</v>
      </c>
      <c r="E49" s="309">
        <v>1.1085128258086829E-2</v>
      </c>
      <c r="F49" s="289">
        <v>3124.0890560836219</v>
      </c>
      <c r="G49" s="309">
        <v>3.5267163973073945E-3</v>
      </c>
    </row>
    <row r="50" spans="1:7" ht="19.5" customHeight="1" thickBot="1">
      <c r="A50" s="280">
        <v>2010</v>
      </c>
      <c r="B50" s="289">
        <v>870.57920238879058</v>
      </c>
      <c r="C50" s="309">
        <v>8.3755513111132718E-2</v>
      </c>
      <c r="D50" s="289">
        <v>2689.4943448135232</v>
      </c>
      <c r="E50" s="309">
        <v>0.11261552428490584</v>
      </c>
      <c r="F50" s="289">
        <v>3377.364823956269</v>
      </c>
      <c r="G50" s="309">
        <v>8.1071878338242698E-2</v>
      </c>
    </row>
    <row r="51" spans="1:7" ht="19.5" customHeight="1" thickBot="1">
      <c r="A51" s="280">
        <v>2011</v>
      </c>
      <c r="B51" s="289">
        <v>917.72072268156774</v>
      </c>
      <c r="C51" s="309">
        <v>5.4149605416055291E-2</v>
      </c>
      <c r="D51" s="289">
        <v>2952.2169073771702</v>
      </c>
      <c r="E51" s="309">
        <v>9.7684742513136857E-2</v>
      </c>
      <c r="F51" s="289">
        <v>3563.1174309275543</v>
      </c>
      <c r="G51" s="309">
        <v>5.4999272111116992E-2</v>
      </c>
    </row>
    <row r="52" spans="1:7" ht="19.5" customHeight="1" thickBot="1">
      <c r="A52" s="280">
        <v>2012</v>
      </c>
      <c r="B52" s="289">
        <v>937.32185790567917</v>
      </c>
      <c r="C52" s="309">
        <v>2.1358496914875236E-2</v>
      </c>
      <c r="D52" s="289">
        <v>3083.0007719019436</v>
      </c>
      <c r="E52" s="309">
        <v>4.4300222046003146E-2</v>
      </c>
      <c r="F52" s="289">
        <v>3632.8506403951742</v>
      </c>
      <c r="G52" s="309">
        <v>1.9570842336640748E-2</v>
      </c>
    </row>
    <row r="53" spans="1:7" ht="21.75" customHeight="1" thickBot="1">
      <c r="A53" s="652">
        <v>2013</v>
      </c>
      <c r="B53" s="619">
        <v>931.59997469501286</v>
      </c>
      <c r="C53" s="648">
        <v>-6.1045020580775544E-3</v>
      </c>
      <c r="D53" s="619">
        <v>3162.4137082945649</v>
      </c>
      <c r="E53" s="648">
        <v>2.5758325173441454E-2</v>
      </c>
      <c r="F53" s="619">
        <v>3661.0441189832281</v>
      </c>
      <c r="G53" s="648">
        <v>7.7607040252518633E-3</v>
      </c>
    </row>
    <row r="54" spans="1:7" ht="15" customHeight="1">
      <c r="A54" s="189" t="s">
        <v>346</v>
      </c>
    </row>
    <row r="56" spans="1:7">
      <c r="A56" s="653" t="s">
        <v>1084</v>
      </c>
    </row>
    <row r="57" spans="1:7">
      <c r="A57" s="43"/>
    </row>
    <row r="58" spans="1:7" ht="12" customHeight="1">
      <c r="A58" s="43" t="s">
        <v>1085</v>
      </c>
      <c r="B58" s="200"/>
      <c r="F58" s="200"/>
      <c r="G58" s="654"/>
    </row>
    <row r="59" spans="1:7" ht="12" customHeight="1">
      <c r="A59" s="1520" t="s">
        <v>2234</v>
      </c>
      <c r="B59" s="200"/>
      <c r="F59" s="200"/>
      <c r="G59" s="654"/>
    </row>
    <row r="60" spans="1:7">
      <c r="A60" s="43" t="s">
        <v>2233</v>
      </c>
    </row>
    <row r="63" spans="1:7">
      <c r="A63" s="3" t="s">
        <v>302</v>
      </c>
    </row>
  </sheetData>
  <pageMargins left="0.34" right="0.34" top="0.43307086614173229" bottom="0.35433070866141736" header="0.31496062992125984" footer="0.27559055118110237"/>
  <pageSetup paperSize="9" scale="67" orientation="portrait"/>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593D3-4A75-B942-AB7C-EB3698626D16}">
  <sheetPr>
    <pageSetUpPr fitToPage="1"/>
  </sheetPr>
  <dimension ref="A1:G44"/>
  <sheetViews>
    <sheetView zoomScaleNormal="100" workbookViewId="0">
      <selection activeCell="A22" sqref="A22:E24"/>
    </sheetView>
  </sheetViews>
  <sheetFormatPr baseColWidth="10" defaultColWidth="11.3984375" defaultRowHeight="13"/>
  <cols>
    <col min="1" max="1" width="21.3984375" style="3" customWidth="1"/>
    <col min="2" max="5" width="20.3984375" style="3" customWidth="1"/>
    <col min="6" max="6" width="11.3984375" style="3"/>
    <col min="7" max="7" width="14.59765625" style="3" customWidth="1"/>
    <col min="8" max="16384" width="11.3984375" style="3"/>
  </cols>
  <sheetData>
    <row r="1" spans="1:7" s="1" customFormat="1" ht="14" customHeight="1"/>
    <row r="2" spans="1:7" s="1" customFormat="1" ht="28" customHeight="1">
      <c r="A2" s="311" t="s">
        <v>641</v>
      </c>
      <c r="E2" s="311">
        <v>2013</v>
      </c>
    </row>
    <row r="3" spans="1:7" ht="27" customHeight="1">
      <c r="A3" s="224" t="s">
        <v>67</v>
      </c>
      <c r="B3" s="267" t="s">
        <v>495</v>
      </c>
      <c r="C3" s="268" t="s">
        <v>637</v>
      </c>
      <c r="D3" s="267" t="s">
        <v>497</v>
      </c>
      <c r="E3" s="268" t="s">
        <v>381</v>
      </c>
    </row>
    <row r="4" spans="1:7" ht="21.75" customHeight="1">
      <c r="A4" s="306"/>
      <c r="B4" s="270"/>
      <c r="C4" s="271" t="s">
        <v>497</v>
      </c>
      <c r="D4" s="332"/>
      <c r="E4" s="271"/>
    </row>
    <row r="5" spans="1:7" ht="21.75" customHeight="1">
      <c r="A5" s="306"/>
      <c r="B5" s="270" t="s">
        <v>499</v>
      </c>
      <c r="C5" s="271" t="s">
        <v>500</v>
      </c>
      <c r="D5" s="270" t="s">
        <v>501</v>
      </c>
      <c r="E5" s="271"/>
    </row>
    <row r="6" spans="1:7" ht="14.5" customHeight="1">
      <c r="A6" s="307"/>
      <c r="B6" s="229"/>
      <c r="C6" s="307"/>
      <c r="D6" s="229"/>
      <c r="E6" s="275"/>
    </row>
    <row r="7" spans="1:7" ht="25.25" customHeight="1" thickBot="1">
      <c r="A7" s="334" t="s">
        <v>502</v>
      </c>
      <c r="B7" s="335">
        <v>250174735.37</v>
      </c>
      <c r="C7" s="336">
        <v>337504540.31</v>
      </c>
      <c r="D7" s="335">
        <v>3786305537.79</v>
      </c>
      <c r="E7" s="336">
        <v>4373984813.4799995</v>
      </c>
      <c r="G7" s="338"/>
    </row>
    <row r="8" spans="1:7" ht="20" customHeight="1" thickBot="1">
      <c r="A8" s="339" t="s">
        <v>503</v>
      </c>
      <c r="B8" s="335">
        <v>170052107.02000001</v>
      </c>
      <c r="C8" s="336">
        <v>261115240.61000001</v>
      </c>
      <c r="D8" s="335">
        <v>2860959739.5700002</v>
      </c>
      <c r="E8" s="336">
        <v>3292127087.2199998</v>
      </c>
      <c r="G8" s="338"/>
    </row>
    <row r="9" spans="1:7" ht="20" customHeight="1" thickBot="1">
      <c r="A9" s="339" t="s">
        <v>504</v>
      </c>
      <c r="B9" s="335">
        <v>58230013.520000003</v>
      </c>
      <c r="C9" s="336">
        <v>95384058.209999993</v>
      </c>
      <c r="D9" s="335">
        <v>885229525.5</v>
      </c>
      <c r="E9" s="336">
        <v>1038843597.27</v>
      </c>
      <c r="G9" s="338"/>
    </row>
    <row r="10" spans="1:7" ht="20" customHeight="1" thickBot="1">
      <c r="A10" s="339" t="s">
        <v>505</v>
      </c>
      <c r="B10" s="335">
        <v>5200964.66</v>
      </c>
      <c r="C10" s="336">
        <v>7994151.9199999999</v>
      </c>
      <c r="D10" s="335">
        <v>77452215.959999993</v>
      </c>
      <c r="E10" s="336">
        <v>90647332.569999993</v>
      </c>
      <c r="G10" s="338"/>
    </row>
    <row r="11" spans="1:7" ht="20" customHeight="1" thickBot="1">
      <c r="A11" s="339" t="s">
        <v>506</v>
      </c>
      <c r="B11" s="335">
        <v>22626900.859999999</v>
      </c>
      <c r="C11" s="336">
        <v>34291745</v>
      </c>
      <c r="D11" s="335">
        <v>341090427.04000002</v>
      </c>
      <c r="E11" s="336">
        <v>398009072.89999998</v>
      </c>
      <c r="G11" s="338"/>
    </row>
    <row r="12" spans="1:7" ht="20" customHeight="1" thickBot="1">
      <c r="A12" s="339" t="s">
        <v>507</v>
      </c>
      <c r="B12" s="335">
        <v>5297777.51</v>
      </c>
      <c r="C12" s="336">
        <v>8361631.4199999999</v>
      </c>
      <c r="D12" s="335">
        <v>77106537.719999999</v>
      </c>
      <c r="E12" s="336">
        <v>90765946.659999996</v>
      </c>
      <c r="G12" s="338"/>
    </row>
    <row r="13" spans="1:7" ht="20" customHeight="1" thickBot="1">
      <c r="A13" s="339" t="s">
        <v>508</v>
      </c>
      <c r="B13" s="335">
        <v>5065332.46</v>
      </c>
      <c r="C13" s="336">
        <v>8430003.4499999993</v>
      </c>
      <c r="D13" s="335">
        <v>84792651.019999996</v>
      </c>
      <c r="E13" s="336">
        <v>98287986.930000007</v>
      </c>
      <c r="G13" s="338"/>
    </row>
    <row r="14" spans="1:7" ht="20" customHeight="1" thickBot="1">
      <c r="A14" s="339" t="s">
        <v>509</v>
      </c>
      <c r="B14" s="335">
        <v>5832657.21</v>
      </c>
      <c r="C14" s="336">
        <v>10068814.18</v>
      </c>
      <c r="D14" s="335">
        <v>93848363.409999996</v>
      </c>
      <c r="E14" s="336">
        <v>109749834.81999999</v>
      </c>
      <c r="G14" s="338"/>
    </row>
    <row r="15" spans="1:7" ht="20" customHeight="1" thickBot="1">
      <c r="A15" s="339" t="s">
        <v>510</v>
      </c>
      <c r="B15" s="335">
        <v>17385000.84</v>
      </c>
      <c r="C15" s="336">
        <v>24383497.199999999</v>
      </c>
      <c r="D15" s="335">
        <v>264570914.52000001</v>
      </c>
      <c r="E15" s="336">
        <v>306339412.57999998</v>
      </c>
      <c r="G15" s="338"/>
    </row>
    <row r="16" spans="1:7" ht="20" customHeight="1" thickBot="1">
      <c r="A16" s="339" t="s">
        <v>511</v>
      </c>
      <c r="B16" s="335">
        <v>56761047.579999998</v>
      </c>
      <c r="C16" s="336">
        <v>82269581.090000004</v>
      </c>
      <c r="D16" s="335">
        <v>717572159.75999999</v>
      </c>
      <c r="E16" s="336">
        <v>856602788.44000006</v>
      </c>
      <c r="G16" s="338"/>
    </row>
    <row r="17" spans="1:7" ht="20" customHeight="1" thickBot="1">
      <c r="A17" s="339" t="s">
        <v>512</v>
      </c>
      <c r="B17" s="335">
        <v>41477055.670000002</v>
      </c>
      <c r="C17" s="336">
        <v>67616842.060000002</v>
      </c>
      <c r="D17" s="335">
        <v>671020793.10000002</v>
      </c>
      <c r="E17" s="336">
        <v>780114690.82000005</v>
      </c>
      <c r="G17" s="338"/>
    </row>
    <row r="18" spans="1:7" ht="20" customHeight="1" thickBot="1">
      <c r="A18" s="339" t="s">
        <v>513</v>
      </c>
      <c r="B18" s="335">
        <v>36613088.710000001</v>
      </c>
      <c r="C18" s="336">
        <v>56257523.479999997</v>
      </c>
      <c r="D18" s="335">
        <v>693796144.63</v>
      </c>
      <c r="E18" s="336">
        <v>786666756.83000004</v>
      </c>
      <c r="G18" s="338"/>
    </row>
    <row r="19" spans="1:7" ht="20" customHeight="1" thickBot="1">
      <c r="A19" s="339" t="s">
        <v>514</v>
      </c>
      <c r="B19" s="335">
        <v>50340647.149999999</v>
      </c>
      <c r="C19" s="336">
        <v>71399205.319999993</v>
      </c>
      <c r="D19" s="335">
        <v>810907678.73000002</v>
      </c>
      <c r="E19" s="336">
        <v>932647531.20000005</v>
      </c>
      <c r="G19" s="338"/>
    </row>
    <row r="20" spans="1:7" ht="20" customHeight="1" thickBot="1">
      <c r="A20" s="339" t="s">
        <v>515</v>
      </c>
      <c r="B20" s="335">
        <v>12165773.109999999</v>
      </c>
      <c r="C20" s="336">
        <v>20114702.66</v>
      </c>
      <c r="D20" s="335">
        <v>199846745.84999999</v>
      </c>
      <c r="E20" s="336">
        <v>232127221.62</v>
      </c>
      <c r="G20" s="338"/>
    </row>
    <row r="21" spans="1:7" ht="20" customHeight="1" thickBot="1">
      <c r="A21" s="339" t="s">
        <v>516</v>
      </c>
      <c r="B21" s="335">
        <v>7745882.9000000004</v>
      </c>
      <c r="C21" s="336">
        <v>12600800.949999999</v>
      </c>
      <c r="D21" s="335">
        <v>116328912.69</v>
      </c>
      <c r="E21" s="336">
        <v>136675596.53999999</v>
      </c>
      <c r="G21" s="338"/>
    </row>
    <row r="22" spans="1:7" ht="20" customHeight="1" thickBot="1">
      <c r="A22" s="339" t="s">
        <v>517</v>
      </c>
      <c r="B22" s="335">
        <v>2227029.5499999998</v>
      </c>
      <c r="C22" s="336">
        <v>3763692.24</v>
      </c>
      <c r="D22" s="335">
        <v>29648733.539999999</v>
      </c>
      <c r="E22" s="336">
        <v>35639455.32</v>
      </c>
      <c r="G22" s="338"/>
    </row>
    <row r="23" spans="1:7" ht="20" customHeight="1" thickBot="1">
      <c r="A23" s="339" t="s">
        <v>518</v>
      </c>
      <c r="B23" s="335">
        <v>77596118.549999997</v>
      </c>
      <c r="C23" s="336">
        <v>126628298.68000001</v>
      </c>
      <c r="D23" s="335">
        <v>1114664307.26</v>
      </c>
      <c r="E23" s="336">
        <v>1318888724.49</v>
      </c>
      <c r="G23" s="338"/>
    </row>
    <row r="24" spans="1:7" ht="20" customHeight="1" thickBot="1">
      <c r="A24" s="339" t="s">
        <v>519</v>
      </c>
      <c r="B24" s="335">
        <v>28053727.82</v>
      </c>
      <c r="C24" s="336">
        <v>48897542.57</v>
      </c>
      <c r="D24" s="335">
        <v>463798101.31999999</v>
      </c>
      <c r="E24" s="336">
        <v>540749371.69000006</v>
      </c>
      <c r="G24" s="338"/>
    </row>
    <row r="25" spans="1:7" ht="20" customHeight="1" thickBot="1">
      <c r="A25" s="339" t="s">
        <v>520</v>
      </c>
      <c r="B25" s="335">
        <v>105118751.2</v>
      </c>
      <c r="C25" s="336">
        <v>160149668.31</v>
      </c>
      <c r="D25" s="335">
        <v>1571437844.6700001</v>
      </c>
      <c r="E25" s="336">
        <v>1836706264.1900001</v>
      </c>
      <c r="G25" s="338"/>
    </row>
    <row r="26" spans="1:7" ht="20" customHeight="1" thickBot="1">
      <c r="A26" s="339" t="s">
        <v>521</v>
      </c>
      <c r="B26" s="335">
        <v>41585293.049999997</v>
      </c>
      <c r="C26" s="336">
        <v>65111699.5</v>
      </c>
      <c r="D26" s="335">
        <v>587816024.17999995</v>
      </c>
      <c r="E26" s="336">
        <v>694513016.71000004</v>
      </c>
      <c r="G26" s="338"/>
    </row>
    <row r="27" spans="1:7" ht="20" customHeight="1" thickBot="1">
      <c r="A27" s="339" t="s">
        <v>522</v>
      </c>
      <c r="B27" s="335">
        <v>60693227.020000003</v>
      </c>
      <c r="C27" s="336">
        <v>85740633.400000006</v>
      </c>
      <c r="D27" s="335">
        <v>1016397862.42</v>
      </c>
      <c r="E27" s="336">
        <v>1162831722.8399999</v>
      </c>
      <c r="G27" s="338"/>
    </row>
    <row r="28" spans="1:7" ht="20" customHeight="1" thickBot="1">
      <c r="A28" s="339" t="s">
        <v>523</v>
      </c>
      <c r="B28" s="335">
        <v>157174683.31999999</v>
      </c>
      <c r="C28" s="336">
        <v>222386527.84999999</v>
      </c>
      <c r="D28" s="335">
        <v>2093624542.0799999</v>
      </c>
      <c r="E28" s="336">
        <v>2473185753.2600002</v>
      </c>
      <c r="G28" s="338"/>
    </row>
    <row r="29" spans="1:7" ht="20" customHeight="1" thickBot="1">
      <c r="A29" s="339" t="s">
        <v>524</v>
      </c>
      <c r="B29" s="335">
        <v>52192578.600000001</v>
      </c>
      <c r="C29" s="336">
        <v>89262199.099999994</v>
      </c>
      <c r="D29" s="335">
        <v>797727946.47000003</v>
      </c>
      <c r="E29" s="336">
        <v>939182724.16999996</v>
      </c>
      <c r="G29" s="338"/>
    </row>
    <row r="30" spans="1:7" ht="20" customHeight="1" thickBot="1">
      <c r="A30" s="339" t="s">
        <v>525</v>
      </c>
      <c r="B30" s="335">
        <v>31585553.5</v>
      </c>
      <c r="C30" s="336">
        <v>51054020.390000001</v>
      </c>
      <c r="D30" s="335">
        <v>473414093.95999998</v>
      </c>
      <c r="E30" s="336">
        <v>556053667.89999998</v>
      </c>
      <c r="G30" s="338"/>
    </row>
    <row r="31" spans="1:7" ht="20" customHeight="1" thickBot="1">
      <c r="A31" s="339" t="s">
        <v>526</v>
      </c>
      <c r="B31" s="335">
        <v>98022341.129999995</v>
      </c>
      <c r="C31" s="336">
        <v>147156632</v>
      </c>
      <c r="D31" s="335">
        <v>1423210885.6800001</v>
      </c>
      <c r="E31" s="336">
        <v>1668389858.8199999</v>
      </c>
      <c r="G31" s="338"/>
    </row>
    <row r="32" spans="1:7" ht="20" customHeight="1" thickBot="1">
      <c r="A32" s="234" t="s">
        <v>527</v>
      </c>
      <c r="B32" s="335">
        <v>12783061.609999999</v>
      </c>
      <c r="C32" s="336">
        <v>20581936.710000001</v>
      </c>
      <c r="D32" s="335">
        <v>192671697.50999999</v>
      </c>
      <c r="E32" s="336">
        <v>226036695.80000001</v>
      </c>
      <c r="G32" s="338"/>
    </row>
    <row r="33" spans="1:7" ht="20" customHeight="1" thickBot="1">
      <c r="A33" s="297" t="s">
        <v>528</v>
      </c>
      <c r="B33" s="335">
        <v>364570.07</v>
      </c>
      <c r="C33" s="336">
        <v>797823.98</v>
      </c>
      <c r="D33" s="335">
        <v>7392614.6500000004</v>
      </c>
      <c r="E33" s="336">
        <v>8555008.6999999993</v>
      </c>
      <c r="G33" s="338"/>
    </row>
    <row r="34" spans="1:7" ht="0.5" customHeight="1" thickBot="1">
      <c r="A34" s="234" t="s">
        <v>529</v>
      </c>
      <c r="B34" s="335">
        <v>0</v>
      </c>
      <c r="C34" s="336">
        <v>0</v>
      </c>
      <c r="D34" s="335">
        <v>0</v>
      </c>
      <c r="E34" s="336" t="s">
        <v>537</v>
      </c>
      <c r="G34" s="338"/>
    </row>
    <row r="35" spans="1:7" ht="30" customHeight="1" thickBot="1">
      <c r="A35" s="354" t="s">
        <v>530</v>
      </c>
      <c r="B35" s="355">
        <v>1412365920</v>
      </c>
      <c r="C35" s="356">
        <v>2119323012.6300001</v>
      </c>
      <c r="D35" s="355">
        <v>21452633001.049999</v>
      </c>
      <c r="E35" s="356">
        <v>24984321933.700001</v>
      </c>
      <c r="G35" s="338"/>
    </row>
    <row r="36" spans="1:7" ht="20" customHeight="1">
      <c r="A36" s="189" t="s">
        <v>346</v>
      </c>
      <c r="B36" s="189"/>
      <c r="C36" s="189"/>
      <c r="D36" s="189"/>
      <c r="E36" s="189"/>
    </row>
    <row r="37" spans="1:7" ht="13.5" customHeight="1">
      <c r="A37" s="219"/>
      <c r="B37" s="219"/>
      <c r="C37" s="219"/>
      <c r="D37" s="219"/>
      <c r="E37" s="219"/>
    </row>
    <row r="38" spans="1:7" ht="13.5" customHeight="1">
      <c r="A38" s="219" t="s">
        <v>642</v>
      </c>
      <c r="B38" s="219"/>
      <c r="C38" s="219"/>
      <c r="D38" s="219"/>
      <c r="E38" s="219"/>
    </row>
    <row r="39" spans="1:7" ht="12.75" customHeight="1">
      <c r="A39" s="219"/>
      <c r="B39" s="219"/>
      <c r="C39" s="219"/>
      <c r="D39" s="219"/>
      <c r="E39" s="219"/>
    </row>
    <row r="40" spans="1:7" ht="12" customHeight="1">
      <c r="A40" s="219" t="s">
        <v>640</v>
      </c>
    </row>
    <row r="41" spans="1:7" ht="14.25" customHeight="1">
      <c r="A41" s="219" t="s">
        <v>533</v>
      </c>
    </row>
    <row r="42" spans="1:7" ht="14.25" customHeight="1">
      <c r="A42" s="219"/>
    </row>
    <row r="43" spans="1:7" ht="12" customHeight="1"/>
    <row r="44" spans="1:7">
      <c r="A44" s="219" t="s">
        <v>302</v>
      </c>
    </row>
  </sheetData>
  <pageMargins left="0.56000000000000005" right="1.03" top="0.81" bottom="0.49" header="0.44" footer="0.4921259845"/>
  <pageSetup paperSize="9" scale="83" orientation="portrait" horizontalDpi="1200" verticalDpi="1200"/>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BFAE9-A74A-A940-A34C-CE34D9737946}">
  <sheetPr>
    <pageSetUpPr fitToPage="1"/>
  </sheetPr>
  <dimension ref="A1:J48"/>
  <sheetViews>
    <sheetView zoomScaleNormal="100" workbookViewId="0"/>
  </sheetViews>
  <sheetFormatPr baseColWidth="10" defaultColWidth="11.3984375" defaultRowHeight="13"/>
  <cols>
    <col min="1" max="1" width="22.59765625" style="3" customWidth="1"/>
    <col min="2" max="2" width="14.796875" style="369" customWidth="1"/>
    <col min="3" max="3" width="14.796875" style="245" customWidth="1"/>
    <col min="4" max="4" width="16" style="369" customWidth="1"/>
    <col min="5" max="5" width="15.796875" style="245" customWidth="1"/>
    <col min="6" max="6" width="16" style="369" customWidth="1"/>
    <col min="7" max="7" width="13.59765625" style="3" customWidth="1"/>
    <col min="8" max="8" width="15.59765625" style="3" customWidth="1"/>
    <col min="9" max="9" width="7.796875" style="3" customWidth="1"/>
    <col min="10" max="10" width="9" style="3" customWidth="1"/>
    <col min="11" max="16384" width="11.3984375" style="3"/>
  </cols>
  <sheetData>
    <row r="1" spans="1:10" s="1" customFormat="1" ht="18.75" customHeight="1">
      <c r="A1" s="631"/>
      <c r="B1" s="632"/>
      <c r="C1" s="221"/>
      <c r="D1" s="358"/>
      <c r="E1" s="221"/>
      <c r="F1" s="358"/>
    </row>
    <row r="2" spans="1:10" s="1" customFormat="1" ht="24" customHeight="1">
      <c r="A2" s="633" t="s">
        <v>1048</v>
      </c>
      <c r="B2" s="360"/>
      <c r="C2" s="360"/>
      <c r="D2" s="360"/>
      <c r="E2" s="360"/>
      <c r="F2" s="569"/>
      <c r="H2" s="569">
        <v>2013</v>
      </c>
    </row>
    <row r="3" spans="1:10" ht="27" customHeight="1">
      <c r="A3" s="224" t="s">
        <v>1049</v>
      </c>
      <c r="B3" s="2013" t="s">
        <v>1050</v>
      </c>
      <c r="C3" s="2014"/>
      <c r="D3" s="2015" t="s">
        <v>1051</v>
      </c>
      <c r="E3" s="2014"/>
      <c r="F3" s="2013" t="s">
        <v>498</v>
      </c>
      <c r="G3" s="2014"/>
      <c r="H3" s="2014"/>
    </row>
    <row r="4" spans="1:10" ht="17.5" customHeight="1">
      <c r="A4" s="306"/>
      <c r="B4" s="614" t="s">
        <v>843</v>
      </c>
      <c r="C4" s="634" t="s">
        <v>2213</v>
      </c>
      <c r="D4" s="614" t="s">
        <v>843</v>
      </c>
      <c r="E4" s="634" t="s">
        <v>2213</v>
      </c>
      <c r="F4" s="614" t="s">
        <v>843</v>
      </c>
      <c r="G4" s="634" t="s">
        <v>1004</v>
      </c>
      <c r="H4" s="614" t="s">
        <v>2213</v>
      </c>
    </row>
    <row r="5" spans="1:10" ht="18.5" customHeight="1">
      <c r="A5" s="306"/>
      <c r="B5" s="614"/>
      <c r="C5" s="634" t="s">
        <v>2214</v>
      </c>
      <c r="D5" s="614"/>
      <c r="E5" s="634" t="s">
        <v>2214</v>
      </c>
      <c r="F5" s="614"/>
      <c r="G5" s="634"/>
      <c r="H5" s="614" t="s">
        <v>2214</v>
      </c>
    </row>
    <row r="6" spans="1:10" ht="17.5" customHeight="1">
      <c r="A6" s="307"/>
      <c r="B6" s="362"/>
      <c r="C6" s="635"/>
      <c r="D6" s="362"/>
      <c r="E6" s="635"/>
      <c r="F6" s="362"/>
      <c r="G6" s="636"/>
      <c r="H6" s="362"/>
    </row>
    <row r="7" spans="1:10" ht="30" customHeight="1" thickBot="1">
      <c r="A7" s="334" t="s">
        <v>1052</v>
      </c>
      <c r="B7" s="278">
        <v>217.63040086000001</v>
      </c>
      <c r="C7" s="637">
        <v>931.07615211744678</v>
      </c>
      <c r="D7" s="278">
        <v>205.80400147</v>
      </c>
      <c r="E7" s="637">
        <v>930.60309943590187</v>
      </c>
      <c r="F7" s="278">
        <v>423.43440233999996</v>
      </c>
      <c r="G7" s="638">
        <v>1.694800457119313E-2</v>
      </c>
      <c r="H7" s="287">
        <v>930.84629463363001</v>
      </c>
      <c r="I7" s="639"/>
      <c r="J7" s="639"/>
    </row>
    <row r="8" spans="1:10" ht="20" customHeight="1" thickBot="1">
      <c r="A8" s="339" t="s">
        <v>1053</v>
      </c>
      <c r="B8" s="278">
        <v>186.53875577000002</v>
      </c>
      <c r="C8" s="637">
        <v>927.22228649848682</v>
      </c>
      <c r="D8" s="278">
        <v>177.19166978999999</v>
      </c>
      <c r="E8" s="637">
        <v>925.87567313986244</v>
      </c>
      <c r="F8" s="278">
        <v>363.73042554</v>
      </c>
      <c r="G8" s="638">
        <v>1.4558346890728321E-2</v>
      </c>
      <c r="H8" s="287">
        <v>926.56574612235261</v>
      </c>
      <c r="I8" s="639"/>
      <c r="J8" s="639"/>
    </row>
    <row r="9" spans="1:10" ht="20" customHeight="1" thickBot="1">
      <c r="A9" s="339" t="s">
        <v>1054</v>
      </c>
      <c r="B9" s="278">
        <v>196.13590718</v>
      </c>
      <c r="C9" s="637">
        <v>937.40749362383281</v>
      </c>
      <c r="D9" s="278">
        <v>185.51731665</v>
      </c>
      <c r="E9" s="637">
        <v>935.7621500021387</v>
      </c>
      <c r="F9" s="278">
        <v>381.65322385000002</v>
      </c>
      <c r="G9" s="638">
        <v>1.5275708696967554E-2</v>
      </c>
      <c r="H9" s="287">
        <v>936.60705762611224</v>
      </c>
      <c r="I9" s="639"/>
      <c r="J9" s="639"/>
    </row>
    <row r="10" spans="1:10" ht="20" customHeight="1" thickBot="1">
      <c r="A10" s="339" t="s">
        <v>1055</v>
      </c>
      <c r="B10" s="278">
        <v>124.73284356999999</v>
      </c>
      <c r="C10" s="637">
        <v>930.56683507953301</v>
      </c>
      <c r="D10" s="278">
        <v>118.81502465000001</v>
      </c>
      <c r="E10" s="637">
        <v>934.88341204087726</v>
      </c>
      <c r="F10" s="278">
        <v>243.54786824000001</v>
      </c>
      <c r="G10" s="638">
        <v>9.7480279387444149E-3</v>
      </c>
      <c r="H10" s="287">
        <v>932.66768975712444</v>
      </c>
      <c r="I10" s="639"/>
      <c r="J10" s="639"/>
    </row>
    <row r="11" spans="1:10" ht="20" customHeight="1" thickBot="1">
      <c r="A11" s="640" t="s">
        <v>1056</v>
      </c>
      <c r="B11" s="641">
        <v>725.03790738999999</v>
      </c>
      <c r="C11" s="642">
        <v>931.69445503343707</v>
      </c>
      <c r="D11" s="641">
        <v>687.32801257000006</v>
      </c>
      <c r="E11" s="642">
        <v>931.50036932558919</v>
      </c>
      <c r="F11" s="641">
        <v>1412.3659199599999</v>
      </c>
      <c r="G11" s="643">
        <v>5.6530088097233165E-2</v>
      </c>
      <c r="H11" s="644">
        <v>931.59998081348476</v>
      </c>
      <c r="I11" s="639"/>
      <c r="J11" s="639"/>
    </row>
    <row r="12" spans="1:10" ht="20" customHeight="1" thickBot="1">
      <c r="A12" s="339" t="s">
        <v>1057</v>
      </c>
      <c r="B12" s="278">
        <v>287.97933412999998</v>
      </c>
      <c r="C12" s="637">
        <v>3181.8719957050484</v>
      </c>
      <c r="D12" s="278">
        <v>291.78091638999996</v>
      </c>
      <c r="E12" s="637">
        <v>3338.386048958494</v>
      </c>
      <c r="F12" s="278">
        <v>579.76025052</v>
      </c>
      <c r="G12" s="638">
        <v>2.3204962378374133E-2</v>
      </c>
      <c r="H12" s="287">
        <v>3258.7639979355627</v>
      </c>
      <c r="I12" s="639"/>
      <c r="J12" s="639"/>
    </row>
    <row r="13" spans="1:10" ht="20" customHeight="1" thickBot="1">
      <c r="A13" s="339" t="s">
        <v>1058</v>
      </c>
      <c r="B13" s="278">
        <v>759.74220115000003</v>
      </c>
      <c r="C13" s="637">
        <v>3048.3984765755604</v>
      </c>
      <c r="D13" s="278">
        <v>779.81875964999995</v>
      </c>
      <c r="E13" s="637">
        <v>3208.7452525764497</v>
      </c>
      <c r="F13" s="278">
        <v>1539.56096082</v>
      </c>
      <c r="G13" s="638">
        <v>6.1621082409493703E-2</v>
      </c>
      <c r="H13" s="287">
        <v>3127.5624215918442</v>
      </c>
      <c r="I13" s="639"/>
      <c r="J13" s="639"/>
    </row>
    <row r="14" spans="1:10" ht="20" customHeight="1" thickBot="1">
      <c r="A14" s="640" t="s">
        <v>1059</v>
      </c>
      <c r="B14" s="641">
        <v>1047.7215352999999</v>
      </c>
      <c r="C14" s="642">
        <v>3083.956556637389</v>
      </c>
      <c r="D14" s="641">
        <v>1071.5996760399998</v>
      </c>
      <c r="E14" s="642">
        <v>3243.0365364068789</v>
      </c>
      <c r="F14" s="641">
        <v>2119.3212113099999</v>
      </c>
      <c r="G14" s="643">
        <v>8.4826044786667082E-2</v>
      </c>
      <c r="H14" s="644">
        <v>3162.392428082032</v>
      </c>
      <c r="I14" s="639"/>
      <c r="J14" s="639"/>
    </row>
    <row r="15" spans="1:10" ht="20" customHeight="1" thickBot="1">
      <c r="A15" s="339" t="s">
        <v>1060</v>
      </c>
      <c r="B15" s="278">
        <v>865.6078129</v>
      </c>
      <c r="C15" s="637">
        <v>3178.8860591166112</v>
      </c>
      <c r="D15" s="278">
        <v>894.94751411000004</v>
      </c>
      <c r="E15" s="637">
        <v>3375.6123620363837</v>
      </c>
      <c r="F15" s="278">
        <v>1760.5553269899999</v>
      </c>
      <c r="G15" s="638">
        <v>7.0466404157936993E-2</v>
      </c>
      <c r="H15" s="287">
        <v>3275.9353296726626</v>
      </c>
      <c r="I15" s="639"/>
      <c r="J15" s="639"/>
    </row>
    <row r="16" spans="1:10" ht="20" customHeight="1" thickBot="1">
      <c r="A16" s="339" t="s">
        <v>1061</v>
      </c>
      <c r="B16" s="278">
        <v>889.54629138999996</v>
      </c>
      <c r="C16" s="637">
        <v>3115.5001370993891</v>
      </c>
      <c r="D16" s="278">
        <v>940.28489376999994</v>
      </c>
      <c r="E16" s="637">
        <v>3371.237243760072</v>
      </c>
      <c r="F16" s="278">
        <v>1829.83118515</v>
      </c>
      <c r="G16" s="638">
        <v>7.3239177353219942E-2</v>
      </c>
      <c r="H16" s="287">
        <v>3241.8716125738538</v>
      </c>
      <c r="I16" s="639"/>
      <c r="J16" s="639"/>
    </row>
    <row r="17" spans="1:10" ht="20" customHeight="1" thickBot="1">
      <c r="A17" s="339" t="s">
        <v>1062</v>
      </c>
      <c r="B17" s="278">
        <v>886.95415938999997</v>
      </c>
      <c r="C17" s="637">
        <v>3153.053349256068</v>
      </c>
      <c r="D17" s="278">
        <v>955.98713637000003</v>
      </c>
      <c r="E17" s="637">
        <v>3454.2886722485978</v>
      </c>
      <c r="F17" s="278">
        <v>1842.94129574</v>
      </c>
      <c r="G17" s="638">
        <v>7.3763910849082084E-2</v>
      </c>
      <c r="H17" s="287">
        <v>3302.4438894401897</v>
      </c>
      <c r="I17" s="639"/>
      <c r="J17" s="639"/>
    </row>
    <row r="18" spans="1:10" ht="20" customHeight="1" thickBot="1">
      <c r="A18" s="339" t="s">
        <v>1063</v>
      </c>
      <c r="B18" s="278">
        <v>1007.09606033</v>
      </c>
      <c r="C18" s="637">
        <v>3240.5210297155427</v>
      </c>
      <c r="D18" s="278">
        <v>1082.31064801</v>
      </c>
      <c r="E18" s="637">
        <v>3535.7788782625639</v>
      </c>
      <c r="F18" s="278">
        <v>2089.4067083300001</v>
      </c>
      <c r="G18" s="638">
        <v>8.3628713794078255E-2</v>
      </c>
      <c r="H18" s="287">
        <v>3387.0298802220136</v>
      </c>
      <c r="I18" s="639"/>
      <c r="J18" s="639"/>
    </row>
    <row r="19" spans="1:10" ht="20" customHeight="1" thickBot="1">
      <c r="A19" s="339" t="s">
        <v>1064</v>
      </c>
      <c r="B19" s="278">
        <v>1134.06444678</v>
      </c>
      <c r="C19" s="637">
        <v>3355.0023801117054</v>
      </c>
      <c r="D19" s="278">
        <v>1182.12693474</v>
      </c>
      <c r="E19" s="637">
        <v>3598.6391260300798</v>
      </c>
      <c r="F19" s="278">
        <v>2316.1913814899999</v>
      </c>
      <c r="G19" s="638">
        <v>9.2705793162575129E-2</v>
      </c>
      <c r="H19" s="287">
        <v>3475.0791644043384</v>
      </c>
      <c r="I19" s="639"/>
      <c r="J19" s="639"/>
    </row>
    <row r="20" spans="1:10" ht="20" customHeight="1" thickBot="1">
      <c r="A20" s="339" t="s">
        <v>1065</v>
      </c>
      <c r="B20" s="278">
        <v>1048.7632046599999</v>
      </c>
      <c r="C20" s="637">
        <v>3473.2109427071632</v>
      </c>
      <c r="D20" s="278">
        <v>1088.7429423499998</v>
      </c>
      <c r="E20" s="637">
        <v>3689.2361246040418</v>
      </c>
      <c r="F20" s="278">
        <v>2137.5061470099999</v>
      </c>
      <c r="G20" s="638">
        <v>8.5553898668324482E-2</v>
      </c>
      <c r="H20" s="287">
        <v>3579.9852868638568</v>
      </c>
      <c r="I20" s="639"/>
      <c r="J20" s="639"/>
    </row>
    <row r="21" spans="1:10" ht="20" customHeight="1" thickBot="1">
      <c r="A21" s="339" t="s">
        <v>1066</v>
      </c>
      <c r="B21" s="278">
        <v>926.84270485000002</v>
      </c>
      <c r="C21" s="637">
        <v>3631.1475137423276</v>
      </c>
      <c r="D21" s="278">
        <v>961.48133466000002</v>
      </c>
      <c r="E21" s="637">
        <v>3812.8782081194586</v>
      </c>
      <c r="F21" s="278">
        <v>1888.32403948</v>
      </c>
      <c r="G21" s="638">
        <v>7.5580359734926786E-2</v>
      </c>
      <c r="H21" s="287">
        <v>3721.4608978627975</v>
      </c>
      <c r="I21" s="639"/>
      <c r="J21" s="639"/>
    </row>
    <row r="22" spans="1:10" ht="20" customHeight="1" thickBot="1">
      <c r="A22" s="339" t="s">
        <v>1067</v>
      </c>
      <c r="B22" s="278">
        <v>853.73254312000006</v>
      </c>
      <c r="C22" s="637">
        <v>3833.5515480545682</v>
      </c>
      <c r="D22" s="278">
        <v>917.33854875999998</v>
      </c>
      <c r="E22" s="637">
        <v>3995.6884650850393</v>
      </c>
      <c r="F22" s="278">
        <v>1771.0710918699999</v>
      </c>
      <c r="G22" s="638">
        <v>7.0887298705642462E-2</v>
      </c>
      <c r="H22" s="287">
        <v>3915.8532002468369</v>
      </c>
      <c r="I22" s="639"/>
      <c r="J22" s="639"/>
    </row>
    <row r="23" spans="1:10" ht="20" customHeight="1" thickBot="1">
      <c r="A23" s="339" t="s">
        <v>1068</v>
      </c>
      <c r="B23" s="278">
        <v>805.35674991999997</v>
      </c>
      <c r="C23" s="637">
        <v>4025.6014304598739</v>
      </c>
      <c r="D23" s="278">
        <v>890.07637763000002</v>
      </c>
      <c r="E23" s="637">
        <v>4160.5533716965765</v>
      </c>
      <c r="F23" s="278">
        <v>1695.4331275499999</v>
      </c>
      <c r="G23" s="638">
        <v>6.7859881570976624E-2</v>
      </c>
      <c r="H23" s="287">
        <v>4095.3381294520896</v>
      </c>
      <c r="I23" s="639"/>
      <c r="J23" s="639"/>
    </row>
    <row r="24" spans="1:10" ht="20" customHeight="1" thickBot="1">
      <c r="A24" s="339" t="s">
        <v>1069</v>
      </c>
      <c r="B24" s="278">
        <v>612.41930429000001</v>
      </c>
      <c r="C24" s="637">
        <v>4133.1009872900349</v>
      </c>
      <c r="D24" s="278">
        <v>736.06830146000004</v>
      </c>
      <c r="E24" s="637">
        <v>4272.8263502808513</v>
      </c>
      <c r="F24" s="278">
        <v>1348.4876057500001</v>
      </c>
      <c r="G24" s="638">
        <v>5.3973352141797271E-2</v>
      </c>
      <c r="H24" s="287">
        <v>4208.2160353197551</v>
      </c>
      <c r="I24" s="639"/>
      <c r="J24" s="639"/>
    </row>
    <row r="25" spans="1:10" ht="20" customHeight="1" thickBot="1">
      <c r="A25" s="339" t="s">
        <v>1070</v>
      </c>
      <c r="B25" s="278">
        <v>475.15282447000004</v>
      </c>
      <c r="C25" s="637">
        <v>4274.6400018820359</v>
      </c>
      <c r="D25" s="278">
        <v>637.94076357000006</v>
      </c>
      <c r="E25" s="637">
        <v>4412.2570850794673</v>
      </c>
      <c r="F25" s="278">
        <v>1113.0935880499999</v>
      </c>
      <c r="G25" s="638">
        <v>4.4551682891579493E-2</v>
      </c>
      <c r="H25" s="287">
        <v>4352.4429582690163</v>
      </c>
      <c r="I25" s="639"/>
      <c r="J25" s="639"/>
    </row>
    <row r="26" spans="1:10" ht="20" customHeight="1" thickBot="1">
      <c r="A26" s="339" t="s">
        <v>1071</v>
      </c>
      <c r="B26" s="278">
        <v>332.25864383999999</v>
      </c>
      <c r="C26" s="637">
        <v>4363.5576159796219</v>
      </c>
      <c r="D26" s="278">
        <v>533.78584819000002</v>
      </c>
      <c r="E26" s="637">
        <v>4497.8260480747604</v>
      </c>
      <c r="F26" s="278">
        <v>866.04449202000001</v>
      </c>
      <c r="G26" s="638">
        <v>3.466351795815116E-2</v>
      </c>
      <c r="H26" s="287">
        <v>4445.347400270085</v>
      </c>
      <c r="I26" s="639"/>
      <c r="J26" s="639"/>
    </row>
    <row r="27" spans="1:10" ht="20" customHeight="1" thickBot="1">
      <c r="A27" s="339" t="s">
        <v>1072</v>
      </c>
      <c r="B27" s="278">
        <v>174.35921761</v>
      </c>
      <c r="C27" s="637">
        <v>4436.3199143976735</v>
      </c>
      <c r="D27" s="278">
        <v>357.55599131000002</v>
      </c>
      <c r="E27" s="637">
        <v>4563.8712532495738</v>
      </c>
      <c r="F27" s="278">
        <v>531.91520891000005</v>
      </c>
      <c r="G27" s="638">
        <v>2.1289959772459028E-2</v>
      </c>
      <c r="H27" s="287">
        <v>4521.2603994728324</v>
      </c>
      <c r="I27" s="639"/>
      <c r="J27" s="639"/>
    </row>
    <row r="28" spans="1:10" ht="20" customHeight="1" thickBot="1">
      <c r="A28" s="339" t="s">
        <v>1073</v>
      </c>
      <c r="B28" s="278">
        <v>58.04138253</v>
      </c>
      <c r="C28" s="637">
        <v>4464.2169331621735</v>
      </c>
      <c r="D28" s="278">
        <v>154.59239102000001</v>
      </c>
      <c r="E28" s="637">
        <v>4612.7058258716315</v>
      </c>
      <c r="F28" s="278">
        <v>212.63377356000001</v>
      </c>
      <c r="G28" s="638">
        <v>8.5106881877568645E-3</v>
      </c>
      <c r="H28" s="287">
        <v>4571.2003699375446</v>
      </c>
      <c r="I28" s="639"/>
      <c r="J28" s="639"/>
    </row>
    <row r="29" spans="1:10" ht="20" customHeight="1" thickBot="1">
      <c r="A29" s="339" t="s">
        <v>1074</v>
      </c>
      <c r="B29" s="278">
        <v>9.4806026400000007</v>
      </c>
      <c r="C29" s="637">
        <v>4639.8713055904946</v>
      </c>
      <c r="D29" s="278">
        <v>34.55408551</v>
      </c>
      <c r="E29" s="637">
        <v>4712.9833148746256</v>
      </c>
      <c r="F29" s="278">
        <v>44.034688179999996</v>
      </c>
      <c r="G29" s="638">
        <v>1.7624928263775238E-3</v>
      </c>
      <c r="H29" s="287">
        <v>4697.0283957030442</v>
      </c>
      <c r="I29" s="639"/>
      <c r="J29" s="639"/>
    </row>
    <row r="30" spans="1:10" ht="20" customHeight="1" thickBot="1">
      <c r="A30" s="339" t="s">
        <v>1075</v>
      </c>
      <c r="B30" s="278">
        <v>0.83490869999999995</v>
      </c>
      <c r="C30" s="637">
        <v>4588.4188832710479</v>
      </c>
      <c r="D30" s="278">
        <v>4.3302336600000002</v>
      </c>
      <c r="E30" s="637">
        <v>4771.3444548509724</v>
      </c>
      <c r="F30" s="278">
        <v>5.1651423300000001</v>
      </c>
      <c r="G30" s="638">
        <v>2.0673534161594443E-4</v>
      </c>
      <c r="H30" s="287">
        <v>4740.7938706390951</v>
      </c>
      <c r="I30" s="639"/>
      <c r="J30" s="639"/>
    </row>
    <row r="31" spans="1:10" ht="20" customHeight="1" thickBot="1">
      <c r="A31" s="640" t="s">
        <v>1076</v>
      </c>
      <c r="B31" s="641">
        <v>10080.5108573</v>
      </c>
      <c r="C31" s="642">
        <v>3527.2506957429327</v>
      </c>
      <c r="D31" s="641">
        <v>11372.1239451</v>
      </c>
      <c r="E31" s="642">
        <v>3788.4285852450203</v>
      </c>
      <c r="F31" s="641">
        <v>21452.634802380002</v>
      </c>
      <c r="G31" s="643">
        <v>0.85864386711529939</v>
      </c>
      <c r="H31" s="644">
        <v>3661.0468380578068</v>
      </c>
      <c r="I31" s="639"/>
      <c r="J31" s="639"/>
    </row>
    <row r="32" spans="1:10" ht="20" customHeight="1" thickBot="1">
      <c r="A32" s="339" t="s">
        <v>529</v>
      </c>
      <c r="B32" s="278">
        <v>0</v>
      </c>
      <c r="C32" s="637" t="s">
        <v>153</v>
      </c>
      <c r="D32" s="278">
        <v>0</v>
      </c>
      <c r="E32" s="637" t="s">
        <v>153</v>
      </c>
      <c r="F32" s="278" t="s">
        <v>153</v>
      </c>
      <c r="G32" s="638" t="s">
        <v>153</v>
      </c>
      <c r="H32" s="287" t="s">
        <v>153</v>
      </c>
      <c r="I32" s="639"/>
      <c r="J32" s="639"/>
    </row>
    <row r="33" spans="1:10" s="200" customFormat="1" ht="24.75" customHeight="1" thickBot="1">
      <c r="A33" s="354" t="s">
        <v>381</v>
      </c>
      <c r="B33" s="524">
        <v>11853.27029998</v>
      </c>
      <c r="C33" s="249">
        <v>2981.339526472012</v>
      </c>
      <c r="D33" s="524">
        <v>13131.05163369</v>
      </c>
      <c r="E33" s="249">
        <v>3226.2170664236346</v>
      </c>
      <c r="F33" s="524">
        <v>24984.321933669999</v>
      </c>
      <c r="G33" s="645">
        <v>1</v>
      </c>
      <c r="H33" s="619">
        <v>3105.2131007334642</v>
      </c>
      <c r="I33" s="646"/>
      <c r="J33" s="646"/>
    </row>
    <row r="34" spans="1:10" ht="20" customHeight="1">
      <c r="A34" s="189" t="s">
        <v>346</v>
      </c>
      <c r="B34" s="365"/>
      <c r="C34" s="301"/>
      <c r="D34" s="365"/>
      <c r="E34" s="301"/>
      <c r="F34" s="365"/>
    </row>
    <row r="35" spans="1:10" ht="12.75" customHeight="1">
      <c r="A35" s="219"/>
      <c r="B35" s="366"/>
      <c r="C35" s="218"/>
      <c r="D35" s="366"/>
      <c r="E35" s="218"/>
      <c r="F35" s="366"/>
    </row>
    <row r="36" spans="1:10" ht="16.5" customHeight="1">
      <c r="A36" s="219" t="s">
        <v>1077</v>
      </c>
      <c r="B36" s="366"/>
      <c r="C36" s="218"/>
      <c r="D36" s="366"/>
      <c r="E36" s="218"/>
      <c r="F36" s="366"/>
    </row>
    <row r="37" spans="1:10" ht="12" customHeight="1">
      <c r="A37" s="219"/>
      <c r="B37" s="366"/>
      <c r="C37" s="218"/>
      <c r="D37" s="366"/>
      <c r="E37" s="218"/>
      <c r="F37" s="366"/>
    </row>
    <row r="38" spans="1:10" ht="14.25" customHeight="1">
      <c r="A38" s="219"/>
      <c r="B38" s="366"/>
      <c r="C38" s="218"/>
      <c r="D38" s="366"/>
      <c r="E38" s="218"/>
      <c r="F38" s="366"/>
    </row>
    <row r="39" spans="1:10" ht="15.75" customHeight="1">
      <c r="A39" s="219" t="s">
        <v>302</v>
      </c>
      <c r="B39" s="366"/>
      <c r="C39" s="218"/>
      <c r="D39" s="366"/>
      <c r="E39" s="218"/>
      <c r="F39" s="366"/>
    </row>
    <row r="40" spans="1:10" ht="18" customHeight="1">
      <c r="A40"/>
    </row>
    <row r="41" spans="1:10" ht="30" customHeight="1"/>
    <row r="42" spans="1:10" ht="30" customHeight="1">
      <c r="H42" s="647"/>
    </row>
    <row r="43" spans="1:10" ht="30" customHeight="1"/>
    <row r="44" spans="1:10" ht="30" customHeight="1"/>
    <row r="45" spans="1:10" ht="30" customHeight="1"/>
    <row r="46" spans="1:10" ht="30" customHeight="1"/>
    <row r="47" spans="1:10" ht="30" customHeight="1"/>
    <row r="48" spans="1:10" ht="30" customHeight="1"/>
  </sheetData>
  <mergeCells count="3">
    <mergeCell ref="B3:C3"/>
    <mergeCell ref="D3:E3"/>
    <mergeCell ref="F3:H3"/>
  </mergeCells>
  <pageMargins left="0.56000000000000005" right="0.54" top="0.74" bottom="0.49" header="0.44" footer="0.4921259845"/>
  <pageSetup paperSize="9" scale="72" orientation="portrait"/>
  <headerFooter alignWithMargins="0"/>
  <rowBreaks count="1" manualBreakCount="1">
    <brk id="39" max="16383"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6DC34-58BA-4641-AF3D-C5CE5048AED1}">
  <sheetPr>
    <pageSetUpPr fitToPage="1"/>
  </sheetPr>
  <dimension ref="A1:S43"/>
  <sheetViews>
    <sheetView zoomScaleNormal="100" workbookViewId="0"/>
  </sheetViews>
  <sheetFormatPr baseColWidth="10" defaultColWidth="11.3984375" defaultRowHeight="13"/>
  <cols>
    <col min="1" max="1" width="16.3984375" style="3" customWidth="1"/>
    <col min="2" max="16" width="10.796875" style="3" customWidth="1"/>
    <col min="17" max="16384" width="11.3984375" style="3"/>
  </cols>
  <sheetData>
    <row r="1" spans="1:19" s="1" customFormat="1" ht="14" customHeight="1"/>
    <row r="2" spans="1:19" s="1" customFormat="1" ht="30.75" customHeight="1">
      <c r="A2" s="125" t="s">
        <v>1040</v>
      </c>
      <c r="B2" s="360"/>
      <c r="C2" s="360"/>
      <c r="D2" s="360"/>
      <c r="E2" s="360"/>
      <c r="F2" s="360"/>
      <c r="G2" s="360"/>
      <c r="H2" s="360"/>
      <c r="I2" s="311"/>
      <c r="J2" s="311"/>
      <c r="K2" s="311"/>
      <c r="L2" s="311"/>
    </row>
    <row r="3" spans="1:19" ht="24" customHeight="1">
      <c r="A3" s="612" t="s">
        <v>67</v>
      </c>
      <c r="B3" s="268">
        <v>1996</v>
      </c>
      <c r="C3" s="267">
        <v>1997</v>
      </c>
      <c r="D3" s="268">
        <v>1998</v>
      </c>
      <c r="E3" s="267">
        <v>1999</v>
      </c>
      <c r="F3" s="268">
        <v>2000</v>
      </c>
      <c r="G3" s="267">
        <v>2001</v>
      </c>
      <c r="H3" s="268">
        <v>2002</v>
      </c>
      <c r="I3" s="267">
        <v>2003</v>
      </c>
      <c r="J3" s="268">
        <v>2004</v>
      </c>
      <c r="K3" s="267">
        <v>2005</v>
      </c>
      <c r="L3" s="268">
        <v>2006</v>
      </c>
      <c r="M3" s="267">
        <v>2007</v>
      </c>
      <c r="N3" s="268">
        <v>2008</v>
      </c>
      <c r="O3" s="267">
        <v>2009</v>
      </c>
      <c r="P3" s="268">
        <v>2010</v>
      </c>
      <c r="Q3" s="267">
        <v>2011</v>
      </c>
      <c r="R3" s="268">
        <v>2012</v>
      </c>
      <c r="S3" s="267">
        <v>2013</v>
      </c>
    </row>
    <row r="4" spans="1:19" ht="15" customHeight="1">
      <c r="A4" s="613"/>
      <c r="B4" s="271"/>
      <c r="C4" s="270"/>
      <c r="D4" s="271"/>
      <c r="E4" s="614"/>
      <c r="F4" s="272"/>
      <c r="G4" s="270"/>
      <c r="H4" s="271"/>
      <c r="I4" s="270"/>
      <c r="J4" s="271"/>
      <c r="K4" s="270"/>
      <c r="L4" s="271"/>
      <c r="M4" s="270"/>
      <c r="N4" s="271"/>
      <c r="O4" s="270"/>
      <c r="P4" s="271"/>
      <c r="Q4" s="270"/>
      <c r="R4" s="271"/>
      <c r="S4" s="270"/>
    </row>
    <row r="5" spans="1:19" ht="16" customHeight="1">
      <c r="A5" s="615"/>
      <c r="B5" s="275"/>
      <c r="C5" s="274"/>
      <c r="D5" s="275"/>
      <c r="E5" s="362"/>
      <c r="F5" s="276"/>
      <c r="G5" s="274"/>
      <c r="H5" s="275"/>
      <c r="I5" s="274"/>
      <c r="J5" s="275"/>
      <c r="K5" s="274"/>
      <c r="L5" s="275"/>
      <c r="M5" s="274"/>
      <c r="N5" s="275"/>
      <c r="O5" s="274"/>
      <c r="P5" s="275"/>
      <c r="Q5" s="274"/>
      <c r="R5" s="275"/>
      <c r="S5" s="274"/>
    </row>
    <row r="6" spans="1:19" ht="30" customHeight="1" thickBot="1">
      <c r="A6" s="616" t="s">
        <v>502</v>
      </c>
      <c r="B6" s="353">
        <v>1512.7278548766653</v>
      </c>
      <c r="C6" s="352">
        <v>1690.4682648276428</v>
      </c>
      <c r="D6" s="353">
        <v>1786.7638261345123</v>
      </c>
      <c r="E6" s="352">
        <v>1850.2378191327716</v>
      </c>
      <c r="F6" s="353">
        <v>1919.051518810124</v>
      </c>
      <c r="G6" s="352">
        <v>1976.8212819287562</v>
      </c>
      <c r="H6" s="288">
        <v>2159.2798764460244</v>
      </c>
      <c r="I6" s="287">
        <v>2353.3393199429302</v>
      </c>
      <c r="J6" s="288">
        <v>2492.4202002955412</v>
      </c>
      <c r="K6" s="287">
        <v>2505.6468635796055</v>
      </c>
      <c r="L6" s="288">
        <v>2579.1355787180837</v>
      </c>
      <c r="M6" s="287">
        <v>2595.7230249620488</v>
      </c>
      <c r="N6" s="288">
        <v>2561.3104380170212</v>
      </c>
      <c r="O6" s="287">
        <v>2553.0417138843345</v>
      </c>
      <c r="P6" s="288">
        <v>2776.320883235062</v>
      </c>
      <c r="Q6" s="287">
        <v>2947.375923834792</v>
      </c>
      <c r="R6" s="288">
        <v>3061.8613694223127</v>
      </c>
      <c r="S6" s="287">
        <v>3102.7449858023383</v>
      </c>
    </row>
    <row r="7" spans="1:19" ht="20" customHeight="1" thickBot="1">
      <c r="A7" s="617" t="s">
        <v>503</v>
      </c>
      <c r="B7" s="159">
        <v>1496.5880644384356</v>
      </c>
      <c r="C7" s="289">
        <v>1599.5458393409558</v>
      </c>
      <c r="D7" s="159">
        <v>1690.3815381114243</v>
      </c>
      <c r="E7" s="289">
        <v>1762.4320316284072</v>
      </c>
      <c r="F7" s="159">
        <v>1803.1485925383765</v>
      </c>
      <c r="G7" s="289">
        <v>1852.232176297025</v>
      </c>
      <c r="H7" s="288">
        <v>2045.656327850518</v>
      </c>
      <c r="I7" s="287">
        <v>2242.2825383559061</v>
      </c>
      <c r="J7" s="288">
        <v>2405.958768189671</v>
      </c>
      <c r="K7" s="287">
        <v>2463.9298694595982</v>
      </c>
      <c r="L7" s="288">
        <v>2642.1397449747906</v>
      </c>
      <c r="M7" s="287">
        <v>2717.2576736993597</v>
      </c>
      <c r="N7" s="288">
        <v>2699.9144765268679</v>
      </c>
      <c r="O7" s="287">
        <v>2759.6216653565525</v>
      </c>
      <c r="P7" s="288">
        <v>3066.9952969527417</v>
      </c>
      <c r="Q7" s="287">
        <v>3295.3220655909427</v>
      </c>
      <c r="R7" s="288">
        <v>3283.5301518429064</v>
      </c>
      <c r="S7" s="287">
        <v>3312.5805829033307</v>
      </c>
    </row>
    <row r="8" spans="1:19" ht="20" customHeight="1" thickBot="1">
      <c r="A8" s="617" t="s">
        <v>504</v>
      </c>
      <c r="B8" s="159">
        <v>1264.7539129021991</v>
      </c>
      <c r="C8" s="289">
        <v>1292.9185463072927</v>
      </c>
      <c r="D8" s="159">
        <v>1361.5901144612462</v>
      </c>
      <c r="E8" s="289">
        <v>1365.3904963868044</v>
      </c>
      <c r="F8" s="159">
        <v>1440.1292213830022</v>
      </c>
      <c r="G8" s="289">
        <v>1511.8839050654096</v>
      </c>
      <c r="H8" s="288">
        <v>1668.1137447159015</v>
      </c>
      <c r="I8" s="287">
        <v>1819.4834782945495</v>
      </c>
      <c r="J8" s="288">
        <v>1961.4638186220066</v>
      </c>
      <c r="K8" s="287">
        <v>2008.91188361891</v>
      </c>
      <c r="L8" s="288">
        <v>2073.9452150695606</v>
      </c>
      <c r="M8" s="287">
        <v>2130.7126484963214</v>
      </c>
      <c r="N8" s="288">
        <v>2109.7970680523613</v>
      </c>
      <c r="O8" s="287">
        <v>2171.352517674145</v>
      </c>
      <c r="P8" s="288">
        <v>2401.9040700129181</v>
      </c>
      <c r="Q8" s="287">
        <v>2566.0498148764823</v>
      </c>
      <c r="R8" s="288">
        <v>2640.768868328114</v>
      </c>
      <c r="S8" s="287">
        <v>2670.5508095313685</v>
      </c>
    </row>
    <row r="9" spans="1:19" ht="20" customHeight="1" thickBot="1">
      <c r="A9" s="617" t="s">
        <v>505</v>
      </c>
      <c r="B9" s="159">
        <v>1283.7049916745705</v>
      </c>
      <c r="C9" s="289">
        <v>1323.187640547761</v>
      </c>
      <c r="D9" s="159">
        <v>1341.9131806270102</v>
      </c>
      <c r="E9" s="289">
        <v>1349.2621368050134</v>
      </c>
      <c r="F9" s="159">
        <v>1385.6329145041038</v>
      </c>
      <c r="G9" s="289">
        <v>1427.6289225723506</v>
      </c>
      <c r="H9" s="288">
        <v>1560.7602667092981</v>
      </c>
      <c r="I9" s="287">
        <v>1717.3481583157482</v>
      </c>
      <c r="J9" s="288">
        <v>1827.2942907370123</v>
      </c>
      <c r="K9" s="287">
        <v>1869.6008044084128</v>
      </c>
      <c r="L9" s="288">
        <v>1893.5458296718957</v>
      </c>
      <c r="M9" s="287">
        <v>1925.9720196197322</v>
      </c>
      <c r="N9" s="288">
        <v>1903.8905380120916</v>
      </c>
      <c r="O9" s="287">
        <v>1955.006748060292</v>
      </c>
      <c r="P9" s="288">
        <v>2218.3498646214603</v>
      </c>
      <c r="Q9" s="287">
        <v>2408.0723911271975</v>
      </c>
      <c r="R9" s="288">
        <v>2503.2977864654331</v>
      </c>
      <c r="S9" s="287">
        <v>2524.6275422828371</v>
      </c>
    </row>
    <row r="10" spans="1:19" ht="20" customHeight="1" thickBot="1">
      <c r="A10" s="617" t="s">
        <v>506</v>
      </c>
      <c r="B10" s="159">
        <v>1274.1975828909499</v>
      </c>
      <c r="C10" s="289">
        <v>1358.1597068831431</v>
      </c>
      <c r="D10" s="159">
        <v>1387.4588069577039</v>
      </c>
      <c r="E10" s="289">
        <v>1395.2856339532652</v>
      </c>
      <c r="F10" s="159">
        <v>1424.9980709085219</v>
      </c>
      <c r="G10" s="289">
        <v>1486.1515165568649</v>
      </c>
      <c r="H10" s="288">
        <v>1646.6159773148697</v>
      </c>
      <c r="I10" s="287">
        <v>1820.6576168670324</v>
      </c>
      <c r="J10" s="288">
        <v>1956.2475958099869</v>
      </c>
      <c r="K10" s="287">
        <v>2015.092203070071</v>
      </c>
      <c r="L10" s="288">
        <v>2070.3233661823961</v>
      </c>
      <c r="M10" s="287">
        <v>2104.4671218361436</v>
      </c>
      <c r="N10" s="288">
        <v>2093.4186615928788</v>
      </c>
      <c r="O10" s="287">
        <v>2138.5684760685695</v>
      </c>
      <c r="P10" s="288">
        <v>2377.2945251429996</v>
      </c>
      <c r="Q10" s="287">
        <v>2522.5622645774943</v>
      </c>
      <c r="R10" s="288">
        <v>2598.5463110981682</v>
      </c>
      <c r="S10" s="287">
        <v>2634.6223110088827</v>
      </c>
    </row>
    <row r="11" spans="1:19" ht="20" customHeight="1" thickBot="1">
      <c r="A11" s="617" t="s">
        <v>507</v>
      </c>
      <c r="B11" s="159">
        <v>1243.2114386384837</v>
      </c>
      <c r="C11" s="289">
        <v>1304.4535433971391</v>
      </c>
      <c r="D11" s="159">
        <v>1320.0366294859739</v>
      </c>
      <c r="E11" s="289">
        <v>1347.0959040317259</v>
      </c>
      <c r="F11" s="159">
        <v>1376.7111042831873</v>
      </c>
      <c r="G11" s="289">
        <v>1427.1790847864725</v>
      </c>
      <c r="H11" s="288">
        <v>1523.9847837432212</v>
      </c>
      <c r="I11" s="287">
        <v>1615.5146859127801</v>
      </c>
      <c r="J11" s="288">
        <v>1736.7186272054973</v>
      </c>
      <c r="K11" s="287">
        <v>1797.2900613304164</v>
      </c>
      <c r="L11" s="288">
        <v>1851.681033450858</v>
      </c>
      <c r="M11" s="287">
        <v>1891.2966624753446</v>
      </c>
      <c r="N11" s="288">
        <v>1884.8057100982198</v>
      </c>
      <c r="O11" s="287">
        <v>1944.3164077974288</v>
      </c>
      <c r="P11" s="288">
        <v>2198.9616541804353</v>
      </c>
      <c r="Q11" s="287">
        <v>2375.5218943472978</v>
      </c>
      <c r="R11" s="288">
        <v>2416.2712446807577</v>
      </c>
      <c r="S11" s="287">
        <v>2460.1504415160321</v>
      </c>
    </row>
    <row r="12" spans="1:19" ht="20" customHeight="1" thickBot="1">
      <c r="A12" s="617" t="s">
        <v>508</v>
      </c>
      <c r="B12" s="159">
        <v>1214.9307276924769</v>
      </c>
      <c r="C12" s="289">
        <v>1266.118836983019</v>
      </c>
      <c r="D12" s="159">
        <v>1295.7900233358537</v>
      </c>
      <c r="E12" s="289">
        <v>1277.6212506182928</v>
      </c>
      <c r="F12" s="159">
        <v>1305.8385719120508</v>
      </c>
      <c r="G12" s="289">
        <v>1347.6778695992052</v>
      </c>
      <c r="H12" s="288">
        <v>1461.6954401022306</v>
      </c>
      <c r="I12" s="287">
        <v>1582.4544625683175</v>
      </c>
      <c r="J12" s="288">
        <v>1704.3352440630301</v>
      </c>
      <c r="K12" s="287">
        <v>1731.3225876828974</v>
      </c>
      <c r="L12" s="288">
        <v>1784.2849383276041</v>
      </c>
      <c r="M12" s="287">
        <v>1817.7752893874101</v>
      </c>
      <c r="N12" s="288">
        <v>1803.0935553154891</v>
      </c>
      <c r="O12" s="287">
        <v>1867.5283697227594</v>
      </c>
      <c r="P12" s="288">
        <v>2048.914851429085</v>
      </c>
      <c r="Q12" s="287">
        <v>2236.0843756082245</v>
      </c>
      <c r="R12" s="288">
        <v>2337.1229784361672</v>
      </c>
      <c r="S12" s="287">
        <v>2374.5774385638888</v>
      </c>
    </row>
    <row r="13" spans="1:19" ht="20" customHeight="1" thickBot="1">
      <c r="A13" s="617" t="s">
        <v>509</v>
      </c>
      <c r="B13" s="159">
        <v>1198.3740333745261</v>
      </c>
      <c r="C13" s="289">
        <v>1297.3320819790542</v>
      </c>
      <c r="D13" s="159">
        <v>1354.4946046966113</v>
      </c>
      <c r="E13" s="289">
        <v>1392.697869544131</v>
      </c>
      <c r="F13" s="159">
        <v>1414.7931696969233</v>
      </c>
      <c r="G13" s="289">
        <v>1506.2915726656754</v>
      </c>
      <c r="H13" s="288">
        <v>1671.0568705401902</v>
      </c>
      <c r="I13" s="287">
        <v>1875.7946117866009</v>
      </c>
      <c r="J13" s="288">
        <v>1996.9107804120981</v>
      </c>
      <c r="K13" s="287">
        <v>2054.4674310978558</v>
      </c>
      <c r="L13" s="288">
        <v>2129.0070154057216</v>
      </c>
      <c r="M13" s="287">
        <v>2179.7101269508044</v>
      </c>
      <c r="N13" s="288">
        <v>2158.4121284594676</v>
      </c>
      <c r="O13" s="287">
        <v>2204.6169963077955</v>
      </c>
      <c r="P13" s="288">
        <v>2435.2221064710629</v>
      </c>
      <c r="Q13" s="287">
        <v>2616.4591018354249</v>
      </c>
      <c r="R13" s="288">
        <v>2716.9562268505065</v>
      </c>
      <c r="S13" s="287">
        <v>2763.4339557175094</v>
      </c>
    </row>
    <row r="14" spans="1:19" ht="20" customHeight="1" thickBot="1">
      <c r="A14" s="617" t="s">
        <v>510</v>
      </c>
      <c r="B14" s="159">
        <v>1253.5171294618378</v>
      </c>
      <c r="C14" s="289">
        <v>1400.3478967023677</v>
      </c>
      <c r="D14" s="159">
        <v>1373.4113579987272</v>
      </c>
      <c r="E14" s="289">
        <v>1377.2250963641409</v>
      </c>
      <c r="F14" s="159">
        <v>1419.1255885373778</v>
      </c>
      <c r="G14" s="289">
        <v>1471.0485635859277</v>
      </c>
      <c r="H14" s="288">
        <v>1627.2423468346346</v>
      </c>
      <c r="I14" s="287">
        <v>1850.5402485014397</v>
      </c>
      <c r="J14" s="288">
        <v>1963.5117068989878</v>
      </c>
      <c r="K14" s="287">
        <v>2011.3532466369977</v>
      </c>
      <c r="L14" s="288">
        <v>2075.651262141364</v>
      </c>
      <c r="M14" s="287">
        <v>2105.7716453745988</v>
      </c>
      <c r="N14" s="288">
        <v>2070.3218561356912</v>
      </c>
      <c r="O14" s="287">
        <v>2124.2562209431949</v>
      </c>
      <c r="P14" s="288">
        <v>2327.9773214911061</v>
      </c>
      <c r="Q14" s="287">
        <v>2491.4256055843312</v>
      </c>
      <c r="R14" s="288">
        <v>2596.8081863269508</v>
      </c>
      <c r="S14" s="287">
        <v>2605.7771789996445</v>
      </c>
    </row>
    <row r="15" spans="1:19" ht="20" customHeight="1" thickBot="1">
      <c r="A15" s="617" t="s">
        <v>511</v>
      </c>
      <c r="B15" s="159">
        <v>1598.8685198081489</v>
      </c>
      <c r="C15" s="289">
        <v>1659.0886104976244</v>
      </c>
      <c r="D15" s="159">
        <v>1674.7305534979612</v>
      </c>
      <c r="E15" s="289">
        <v>1705.5435518433258</v>
      </c>
      <c r="F15" s="159">
        <v>1792.5921885530313</v>
      </c>
      <c r="G15" s="289">
        <v>1873.2961835664028</v>
      </c>
      <c r="H15" s="288">
        <v>2011.8324829122876</v>
      </c>
      <c r="I15" s="287">
        <v>2133.3207028574438</v>
      </c>
      <c r="J15" s="288">
        <v>2222.7575924015277</v>
      </c>
      <c r="K15" s="287">
        <v>2280.732083672829</v>
      </c>
      <c r="L15" s="288">
        <v>2364.7798578203287</v>
      </c>
      <c r="M15" s="287">
        <v>2375.0390172724083</v>
      </c>
      <c r="N15" s="288">
        <v>2344.5923085432219</v>
      </c>
      <c r="O15" s="287">
        <v>2384.3628245658833</v>
      </c>
      <c r="P15" s="288">
        <v>2601.5028989787161</v>
      </c>
      <c r="Q15" s="287">
        <v>2752.9327196134404</v>
      </c>
      <c r="R15" s="288">
        <v>2876.9558932525547</v>
      </c>
      <c r="S15" s="287">
        <v>2903.9785578189708</v>
      </c>
    </row>
    <row r="16" spans="1:19" ht="20" customHeight="1" thickBot="1">
      <c r="A16" s="617" t="s">
        <v>512</v>
      </c>
      <c r="B16" s="159">
        <v>1432.0540697646038</v>
      </c>
      <c r="C16" s="289">
        <v>1546.0757185444368</v>
      </c>
      <c r="D16" s="159">
        <v>1670.2122551894063</v>
      </c>
      <c r="E16" s="289">
        <v>1690.360521472358</v>
      </c>
      <c r="F16" s="159">
        <v>1748.7938485973016</v>
      </c>
      <c r="G16" s="289">
        <v>1791.4647816610463</v>
      </c>
      <c r="H16" s="288">
        <v>1919.2684223971701</v>
      </c>
      <c r="I16" s="287">
        <v>2083.8284927301152</v>
      </c>
      <c r="J16" s="288">
        <v>2235.982610007572</v>
      </c>
      <c r="K16" s="287">
        <v>2283.3794466850818</v>
      </c>
      <c r="L16" s="288">
        <v>2322.8332723261396</v>
      </c>
      <c r="M16" s="287">
        <v>2363.6875610633019</v>
      </c>
      <c r="N16" s="288">
        <v>2360.2666473094714</v>
      </c>
      <c r="O16" s="287">
        <v>2430.7046474771378</v>
      </c>
      <c r="P16" s="288">
        <v>2679.5115744097079</v>
      </c>
      <c r="Q16" s="287">
        <v>2834.2621938929856</v>
      </c>
      <c r="R16" s="288">
        <v>2937.0289595476042</v>
      </c>
      <c r="S16" s="287">
        <v>2976.7690496180776</v>
      </c>
    </row>
    <row r="17" spans="1:19" ht="20" customHeight="1" thickBot="1">
      <c r="A17" s="617" t="s">
        <v>1041</v>
      </c>
      <c r="B17" s="159">
        <v>1779.0716956039746</v>
      </c>
      <c r="C17" s="289">
        <v>1980.1286207444</v>
      </c>
      <c r="D17" s="159">
        <v>2325.1884256767662</v>
      </c>
      <c r="E17" s="289">
        <v>2468.7395837395525</v>
      </c>
      <c r="F17" s="159">
        <v>2556.388603057927</v>
      </c>
      <c r="G17" s="289">
        <v>2667.9533276530469</v>
      </c>
      <c r="H17" s="288">
        <v>2873.2285637607215</v>
      </c>
      <c r="I17" s="287">
        <v>3144.1726359207455</v>
      </c>
      <c r="J17" s="288">
        <v>3390.8382944172918</v>
      </c>
      <c r="K17" s="287">
        <v>3465.1178920107632</v>
      </c>
      <c r="L17" s="288">
        <v>3572.5031117061712</v>
      </c>
      <c r="M17" s="287">
        <v>3609.5021774338197</v>
      </c>
      <c r="N17" s="288">
        <v>3579.7912682098909</v>
      </c>
      <c r="O17" s="287">
        <v>3636.9303412384484</v>
      </c>
      <c r="P17" s="288">
        <v>3963.5004883465881</v>
      </c>
      <c r="Q17" s="287">
        <v>4213.1756987740328</v>
      </c>
      <c r="R17" s="288">
        <v>4313.6316542296499</v>
      </c>
      <c r="S17" s="287">
        <v>4317.4212969221098</v>
      </c>
    </row>
    <row r="18" spans="1:19" ht="20" customHeight="1" thickBot="1">
      <c r="A18" s="617" t="s">
        <v>514</v>
      </c>
      <c r="B18" s="159">
        <v>1576.3385142672505</v>
      </c>
      <c r="C18" s="289">
        <v>1772.7380414639133</v>
      </c>
      <c r="D18" s="159">
        <v>1852.5938087977788</v>
      </c>
      <c r="E18" s="289">
        <v>1855.719700876213</v>
      </c>
      <c r="F18" s="159">
        <v>1914.1321999689392</v>
      </c>
      <c r="G18" s="289">
        <v>1965.3534704811639</v>
      </c>
      <c r="H18" s="288">
        <v>2129.9146402115421</v>
      </c>
      <c r="I18" s="287">
        <v>2323.4267215082082</v>
      </c>
      <c r="J18" s="288">
        <v>2511.1817544584183</v>
      </c>
      <c r="K18" s="287">
        <v>2543.1840087506721</v>
      </c>
      <c r="L18" s="288">
        <v>2635.2629047824526</v>
      </c>
      <c r="M18" s="287">
        <v>2670.4562706659181</v>
      </c>
      <c r="N18" s="288">
        <v>2649.1798448962313</v>
      </c>
      <c r="O18" s="287">
        <v>2720.5119199181258</v>
      </c>
      <c r="P18" s="288">
        <v>3012.8106660836356</v>
      </c>
      <c r="Q18" s="287">
        <v>3243.0385745899566</v>
      </c>
      <c r="R18" s="288">
        <v>3337.2255127605313</v>
      </c>
      <c r="S18" s="287">
        <v>3375.2264389734178</v>
      </c>
    </row>
    <row r="19" spans="1:19" ht="20" customHeight="1" thickBot="1">
      <c r="A19" s="617" t="s">
        <v>515</v>
      </c>
      <c r="B19" s="159">
        <v>1377.4433608787208</v>
      </c>
      <c r="C19" s="289">
        <v>1496.085735075158</v>
      </c>
      <c r="D19" s="159">
        <v>1550.1089878371702</v>
      </c>
      <c r="E19" s="289">
        <v>1621.2920897617873</v>
      </c>
      <c r="F19" s="159">
        <v>1686.9323864525529</v>
      </c>
      <c r="G19" s="289">
        <v>1755.3711632421132</v>
      </c>
      <c r="H19" s="288">
        <v>1964.1156528535771</v>
      </c>
      <c r="I19" s="287">
        <v>2118.1459782521838</v>
      </c>
      <c r="J19" s="288">
        <v>2333.3747091400724</v>
      </c>
      <c r="K19" s="287">
        <v>2347.6561302217251</v>
      </c>
      <c r="L19" s="288">
        <v>2424.4107082919618</v>
      </c>
      <c r="M19" s="287">
        <v>2489.9160664760416</v>
      </c>
      <c r="N19" s="288">
        <v>2487.0259022335358</v>
      </c>
      <c r="O19" s="287">
        <v>2492.4390560167353</v>
      </c>
      <c r="P19" s="288">
        <v>2705.1575783276594</v>
      </c>
      <c r="Q19" s="287">
        <v>2857.6918336619397</v>
      </c>
      <c r="R19" s="288">
        <v>2948.3678905912739</v>
      </c>
      <c r="S19" s="287">
        <v>2970.5869800658729</v>
      </c>
    </row>
    <row r="20" spans="1:19" ht="20" customHeight="1" thickBot="1">
      <c r="A20" s="617" t="s">
        <v>516</v>
      </c>
      <c r="B20" s="159">
        <v>1088.2631097960402</v>
      </c>
      <c r="C20" s="289">
        <v>1219.1232978865526</v>
      </c>
      <c r="D20" s="159">
        <v>1281.7803147765962</v>
      </c>
      <c r="E20" s="289">
        <v>1295.3360153745725</v>
      </c>
      <c r="F20" s="159">
        <v>1323.5018460517797</v>
      </c>
      <c r="G20" s="289">
        <v>1381.1762586810332</v>
      </c>
      <c r="H20" s="288">
        <v>1490.3963038968932</v>
      </c>
      <c r="I20" s="287">
        <v>1673.1785117574805</v>
      </c>
      <c r="J20" s="288">
        <v>1783.5989266764338</v>
      </c>
      <c r="K20" s="287">
        <v>1833.8149969101737</v>
      </c>
      <c r="L20" s="288">
        <v>1908.2347339982916</v>
      </c>
      <c r="M20" s="287">
        <v>1929.0275823865018</v>
      </c>
      <c r="N20" s="288">
        <v>1927.2506540682261</v>
      </c>
      <c r="O20" s="287">
        <v>1980.3919865184796</v>
      </c>
      <c r="P20" s="288">
        <v>2189.786105109592</v>
      </c>
      <c r="Q20" s="287">
        <v>2311.3404754148719</v>
      </c>
      <c r="R20" s="288">
        <v>2432.2028695648323</v>
      </c>
      <c r="S20" s="287">
        <v>2512.6744784901844</v>
      </c>
    </row>
    <row r="21" spans="1:19" ht="20" customHeight="1" thickBot="1">
      <c r="A21" s="617" t="s">
        <v>517</v>
      </c>
      <c r="B21" s="159">
        <v>1063.9670413831095</v>
      </c>
      <c r="C21" s="289">
        <v>1133.5896136637402</v>
      </c>
      <c r="D21" s="159">
        <v>1149.5816729512298</v>
      </c>
      <c r="E21" s="289">
        <v>1132.1987248610853</v>
      </c>
      <c r="F21" s="159">
        <v>1153.6563486767391</v>
      </c>
      <c r="G21" s="289">
        <v>1206.5368275627904</v>
      </c>
      <c r="H21" s="288">
        <v>1329.5316032117605</v>
      </c>
      <c r="I21" s="287">
        <v>1457.285464187351</v>
      </c>
      <c r="J21" s="288">
        <v>1569.3448708775961</v>
      </c>
      <c r="K21" s="287">
        <v>1616.5031213778504</v>
      </c>
      <c r="L21" s="288">
        <v>1708.8239272302951</v>
      </c>
      <c r="M21" s="287">
        <v>1753.2072160251437</v>
      </c>
      <c r="N21" s="288">
        <v>1772.4265745911973</v>
      </c>
      <c r="O21" s="287">
        <v>1808.2572305818178</v>
      </c>
      <c r="P21" s="288">
        <v>1959.3141936106897</v>
      </c>
      <c r="Q21" s="287">
        <v>2100.6724768157483</v>
      </c>
      <c r="R21" s="288">
        <v>2211.317046310241</v>
      </c>
      <c r="S21" s="287">
        <v>2244.8268874407449</v>
      </c>
    </row>
    <row r="22" spans="1:19" ht="20" customHeight="1" thickBot="1">
      <c r="A22" s="617" t="s">
        <v>518</v>
      </c>
      <c r="B22" s="159">
        <v>1188.3889362651646</v>
      </c>
      <c r="C22" s="289">
        <v>1304.2886879059893</v>
      </c>
      <c r="D22" s="159">
        <v>1369.0446563687569</v>
      </c>
      <c r="E22" s="289">
        <v>1401.9716323562091</v>
      </c>
      <c r="F22" s="159">
        <v>1438.2798432384884</v>
      </c>
      <c r="G22" s="289">
        <v>1498.2165892317853</v>
      </c>
      <c r="H22" s="288">
        <v>1628.1859223180359</v>
      </c>
      <c r="I22" s="287">
        <v>1779.1011543200063</v>
      </c>
      <c r="J22" s="288">
        <v>1925.2469157131877</v>
      </c>
      <c r="K22" s="287">
        <v>1983.710377581416</v>
      </c>
      <c r="L22" s="288">
        <v>2063.0210904751507</v>
      </c>
      <c r="M22" s="287">
        <v>2097.6601681024395</v>
      </c>
      <c r="N22" s="288">
        <v>2102.885021901081</v>
      </c>
      <c r="O22" s="287">
        <v>2162.9519973111946</v>
      </c>
      <c r="P22" s="288">
        <v>2389.0288696900816</v>
      </c>
      <c r="Q22" s="287">
        <v>2551.6856928849529</v>
      </c>
      <c r="R22" s="288">
        <v>2652.9476693360389</v>
      </c>
      <c r="S22" s="287">
        <v>2691.0841115334028</v>
      </c>
    </row>
    <row r="23" spans="1:19" ht="20" customHeight="1" thickBot="1">
      <c r="A23" s="617" t="s">
        <v>519</v>
      </c>
      <c r="B23" s="159">
        <v>1143.0492063265676</v>
      </c>
      <c r="C23" s="289">
        <v>1118.7264708589582</v>
      </c>
      <c r="D23" s="159">
        <v>1230.4546176647252</v>
      </c>
      <c r="E23" s="289">
        <v>1336.8496660502983</v>
      </c>
      <c r="F23" s="159">
        <v>1406.1163676195615</v>
      </c>
      <c r="G23" s="289">
        <v>1487.4162136975867</v>
      </c>
      <c r="H23" s="288">
        <v>1688.6776910005324</v>
      </c>
      <c r="I23" s="287">
        <v>1919.3632236727024</v>
      </c>
      <c r="J23" s="288">
        <v>2060.0819990324671</v>
      </c>
      <c r="K23" s="287">
        <v>2103.6861391914222</v>
      </c>
      <c r="L23" s="288">
        <v>2169.9849681912365</v>
      </c>
      <c r="M23" s="287">
        <v>2201.0081903069449</v>
      </c>
      <c r="N23" s="288">
        <v>2220.7397464059109</v>
      </c>
      <c r="O23" s="287">
        <v>2260.611571997274</v>
      </c>
      <c r="P23" s="288">
        <v>2528.7313729979492</v>
      </c>
      <c r="Q23" s="287">
        <v>2633.4601943736357</v>
      </c>
      <c r="R23" s="288">
        <v>2695.4137527754033</v>
      </c>
      <c r="S23" s="287">
        <v>2724.8531623173362</v>
      </c>
    </row>
    <row r="24" spans="1:19" ht="20" customHeight="1" thickBot="1">
      <c r="A24" s="617" t="s">
        <v>520</v>
      </c>
      <c r="B24" s="159">
        <v>1230.393303349367</v>
      </c>
      <c r="C24" s="289">
        <v>1330.9781495724483</v>
      </c>
      <c r="D24" s="159">
        <v>1405.9852586348795</v>
      </c>
      <c r="E24" s="289">
        <v>1469.6726041508725</v>
      </c>
      <c r="F24" s="159">
        <v>1549.1699069322558</v>
      </c>
      <c r="G24" s="289">
        <v>1635.8907364935624</v>
      </c>
      <c r="H24" s="288">
        <v>1816.6441908039451</v>
      </c>
      <c r="I24" s="287">
        <v>1997.8601434259615</v>
      </c>
      <c r="J24" s="288">
        <v>2140.1435254865942</v>
      </c>
      <c r="K24" s="287">
        <v>2174.3274668790045</v>
      </c>
      <c r="L24" s="288">
        <v>2261.0179236407416</v>
      </c>
      <c r="M24" s="287">
        <v>2313.0454326980785</v>
      </c>
      <c r="N24" s="288">
        <v>2335.8854448503616</v>
      </c>
      <c r="O24" s="287">
        <v>2380.1168143167224</v>
      </c>
      <c r="P24" s="288">
        <v>2628.6802500576746</v>
      </c>
      <c r="Q24" s="287">
        <v>2796.1245676731214</v>
      </c>
      <c r="R24" s="288">
        <v>2872.892779846437</v>
      </c>
      <c r="S24" s="287">
        <v>2893.5076007445114</v>
      </c>
    </row>
    <row r="25" spans="1:19" ht="20" customHeight="1" thickBot="1">
      <c r="A25" s="617" t="s">
        <v>521</v>
      </c>
      <c r="B25" s="159">
        <v>1159.474855393762</v>
      </c>
      <c r="C25" s="289">
        <v>1328.9310231083491</v>
      </c>
      <c r="D25" s="159">
        <v>1424.2062478349167</v>
      </c>
      <c r="E25" s="289">
        <v>1499.208030123239</v>
      </c>
      <c r="F25" s="159">
        <v>1553.2244240914515</v>
      </c>
      <c r="G25" s="289">
        <v>1661.7386576828317</v>
      </c>
      <c r="H25" s="288">
        <v>1834.2044347153485</v>
      </c>
      <c r="I25" s="287">
        <v>2048.4142232764871</v>
      </c>
      <c r="J25" s="288">
        <v>2185.335824306746</v>
      </c>
      <c r="K25" s="287">
        <v>2217.2402153263711</v>
      </c>
      <c r="L25" s="288">
        <v>2283.3758420037034</v>
      </c>
      <c r="M25" s="287">
        <v>2295.2652584431348</v>
      </c>
      <c r="N25" s="288">
        <v>2279.0884858210197</v>
      </c>
      <c r="O25" s="287">
        <v>2310.2839491028731</v>
      </c>
      <c r="P25" s="288">
        <v>2491.2944287675346</v>
      </c>
      <c r="Q25" s="287">
        <v>2598.8359363478257</v>
      </c>
      <c r="R25" s="288">
        <v>2660.7821317341377</v>
      </c>
      <c r="S25" s="287">
        <v>2686.5419986646843</v>
      </c>
    </row>
    <row r="26" spans="1:19" ht="20" customHeight="1" thickBot="1">
      <c r="A26" s="617" t="s">
        <v>522</v>
      </c>
      <c r="B26" s="159">
        <v>1920.211422462608</v>
      </c>
      <c r="C26" s="289">
        <v>2093.5784969576162</v>
      </c>
      <c r="D26" s="159">
        <v>2183.6764640346432</v>
      </c>
      <c r="E26" s="289">
        <v>2180.8658737487976</v>
      </c>
      <c r="F26" s="159">
        <v>2209.7472935521837</v>
      </c>
      <c r="G26" s="289">
        <v>2261.3042021099595</v>
      </c>
      <c r="H26" s="288">
        <v>2455.9261698805649</v>
      </c>
      <c r="I26" s="287">
        <v>2659.8152582525563</v>
      </c>
      <c r="J26" s="288">
        <v>2945.1851385564305</v>
      </c>
      <c r="K26" s="287">
        <v>3013.0448522524503</v>
      </c>
      <c r="L26" s="288">
        <v>3139.534487394506</v>
      </c>
      <c r="M26" s="287">
        <v>3169.8223243558823</v>
      </c>
      <c r="N26" s="288">
        <v>3125.0045807300799</v>
      </c>
      <c r="O26" s="287">
        <v>3113.9964674152993</v>
      </c>
      <c r="P26" s="288">
        <v>3258.4000702781441</v>
      </c>
      <c r="Q26" s="287">
        <v>3448.0707009371499</v>
      </c>
      <c r="R26" s="288">
        <v>3391.2009488011968</v>
      </c>
      <c r="S26" s="287">
        <v>3404.7260713475607</v>
      </c>
    </row>
    <row r="27" spans="1:19" ht="20" customHeight="1" thickBot="1">
      <c r="A27" s="617" t="s">
        <v>523</v>
      </c>
      <c r="B27" s="159">
        <v>2123.7022616874642</v>
      </c>
      <c r="C27" s="289">
        <v>2188.5978122919905</v>
      </c>
      <c r="D27" s="159">
        <v>2262.0665036594364</v>
      </c>
      <c r="E27" s="289">
        <v>2312.2186861426335</v>
      </c>
      <c r="F27" s="159">
        <v>2316.3375313816941</v>
      </c>
      <c r="G27" s="289">
        <v>2380.1958460230621</v>
      </c>
      <c r="H27" s="288">
        <v>2554.8427885240826</v>
      </c>
      <c r="I27" s="287">
        <v>2773.1739770111981</v>
      </c>
      <c r="J27" s="288">
        <v>2944.2591828792392</v>
      </c>
      <c r="K27" s="287">
        <v>2988.5411219630787</v>
      </c>
      <c r="L27" s="288">
        <v>3103.1064497360926</v>
      </c>
      <c r="M27" s="287">
        <v>3073.8913428932055</v>
      </c>
      <c r="N27" s="288">
        <v>2988.2071859643597</v>
      </c>
      <c r="O27" s="287">
        <v>2982.6854115033552</v>
      </c>
      <c r="P27" s="288">
        <v>3140.9802005474835</v>
      </c>
      <c r="Q27" s="287">
        <v>3308.0510513450499</v>
      </c>
      <c r="R27" s="288">
        <v>3365.4892584929512</v>
      </c>
      <c r="S27" s="287">
        <v>3393.1098034053894</v>
      </c>
    </row>
    <row r="28" spans="1:19" ht="20" customHeight="1" thickBot="1">
      <c r="A28" s="617" t="s">
        <v>524</v>
      </c>
      <c r="B28" s="159">
        <v>1523.0862537186249</v>
      </c>
      <c r="C28" s="289">
        <v>1528.2235423576719</v>
      </c>
      <c r="D28" s="159">
        <v>1520.7734947996855</v>
      </c>
      <c r="E28" s="289">
        <v>1512.315774872128</v>
      </c>
      <c r="F28" s="159">
        <v>1565.0382066640796</v>
      </c>
      <c r="G28" s="289">
        <v>1611.8069928879931</v>
      </c>
      <c r="H28" s="288">
        <v>1740.4035512056632</v>
      </c>
      <c r="I28" s="287">
        <v>1894.4509552934464</v>
      </c>
      <c r="J28" s="288">
        <v>2065.9446432202062</v>
      </c>
      <c r="K28" s="287">
        <v>2150.4788048623009</v>
      </c>
      <c r="L28" s="288">
        <v>2233.854286832724</v>
      </c>
      <c r="M28" s="287">
        <v>2300.3259863497678</v>
      </c>
      <c r="N28" s="288">
        <v>2281.6342887948704</v>
      </c>
      <c r="O28" s="287">
        <v>2341.0548273196509</v>
      </c>
      <c r="P28" s="288">
        <v>2568.2788659171997</v>
      </c>
      <c r="Q28" s="287">
        <v>2758.7597357230779</v>
      </c>
      <c r="R28" s="288">
        <v>2829.8925685176055</v>
      </c>
      <c r="S28" s="287">
        <v>2860.7696530905746</v>
      </c>
    </row>
    <row r="29" spans="1:19" ht="20" customHeight="1" thickBot="1">
      <c r="A29" s="617" t="s">
        <v>525</v>
      </c>
      <c r="B29" s="159">
        <v>1646.3624740952964</v>
      </c>
      <c r="C29" s="289">
        <v>1879.9747320853974</v>
      </c>
      <c r="D29" s="159">
        <v>2069.35224515651</v>
      </c>
      <c r="E29" s="289">
        <v>2121.724134131829</v>
      </c>
      <c r="F29" s="159">
        <v>2178.2282725122873</v>
      </c>
      <c r="G29" s="289">
        <v>2226.3886221358225</v>
      </c>
      <c r="H29" s="288">
        <v>2442.2463006271605</v>
      </c>
      <c r="I29" s="287">
        <v>2644.2879266571426</v>
      </c>
      <c r="J29" s="288">
        <v>2860.2934659084876</v>
      </c>
      <c r="K29" s="287">
        <v>2940.8560577149369</v>
      </c>
      <c r="L29" s="288">
        <v>3020.0836352379274</v>
      </c>
      <c r="M29" s="287">
        <v>3036.6447662858664</v>
      </c>
      <c r="N29" s="288">
        <v>2985.7510655824785</v>
      </c>
      <c r="O29" s="287">
        <v>2927.0194519439683</v>
      </c>
      <c r="P29" s="288">
        <v>2974.5856498318376</v>
      </c>
      <c r="Q29" s="287">
        <v>3090.0521795018044</v>
      </c>
      <c r="R29" s="288">
        <v>3139.9865283500149</v>
      </c>
      <c r="S29" s="287">
        <v>3153.0547963343033</v>
      </c>
    </row>
    <row r="30" spans="1:19" ht="20" customHeight="1" thickBot="1">
      <c r="A30" s="617" t="s">
        <v>526</v>
      </c>
      <c r="B30" s="159">
        <v>2220.6501203576581</v>
      </c>
      <c r="C30" s="289">
        <v>2493.6749107586593</v>
      </c>
      <c r="D30" s="159">
        <v>2561.7921105578544</v>
      </c>
      <c r="E30" s="289">
        <v>2603.6595742963436</v>
      </c>
      <c r="F30" s="159">
        <v>2734.6485196897552</v>
      </c>
      <c r="G30" s="289">
        <v>2841.8547383361183</v>
      </c>
      <c r="H30" s="288">
        <v>3059.4100324412902</v>
      </c>
      <c r="I30" s="287">
        <v>3320.3890189876888</v>
      </c>
      <c r="J30" s="288">
        <v>3481.6460008994604</v>
      </c>
      <c r="K30" s="287">
        <v>3552.0553634331818</v>
      </c>
      <c r="L30" s="288">
        <v>3652.1506224056161</v>
      </c>
      <c r="M30" s="287">
        <v>3622.8650823319726</v>
      </c>
      <c r="N30" s="288">
        <v>3559.7613049734655</v>
      </c>
      <c r="O30" s="287">
        <v>3476.4972788144619</v>
      </c>
      <c r="P30" s="288">
        <v>3621.8603945653181</v>
      </c>
      <c r="Q30" s="287">
        <v>3727.8868506990025</v>
      </c>
      <c r="R30" s="288">
        <v>3817.5911576015219</v>
      </c>
      <c r="S30" s="287">
        <v>3859.3311482625522</v>
      </c>
    </row>
    <row r="31" spans="1:19" ht="20" customHeight="1" thickBot="1">
      <c r="A31" s="617" t="s">
        <v>527</v>
      </c>
      <c r="B31" s="159">
        <v>1693.2060147156392</v>
      </c>
      <c r="C31" s="289">
        <v>1771.8388464541085</v>
      </c>
      <c r="D31" s="159">
        <v>1906.8006626155413</v>
      </c>
      <c r="E31" s="289">
        <v>1937.3880227473887</v>
      </c>
      <c r="F31" s="159">
        <v>2029.2697954509338</v>
      </c>
      <c r="G31" s="289">
        <v>2148.616923310622</v>
      </c>
      <c r="H31" s="288">
        <v>2294.2217121062836</v>
      </c>
      <c r="I31" s="287">
        <v>2448.0281481617167</v>
      </c>
      <c r="J31" s="288">
        <v>2616.9536771306425</v>
      </c>
      <c r="K31" s="287">
        <v>2669.8602402292095</v>
      </c>
      <c r="L31" s="288">
        <v>2741.23867601759</v>
      </c>
      <c r="M31" s="287">
        <v>2725.6473968139912</v>
      </c>
      <c r="N31" s="288">
        <v>2677.0243457222141</v>
      </c>
      <c r="O31" s="287">
        <v>2671.0952437588021</v>
      </c>
      <c r="P31" s="288">
        <v>2841.9202686687795</v>
      </c>
      <c r="Q31" s="287">
        <v>3009.3957843509947</v>
      </c>
      <c r="R31" s="288">
        <v>3127.6223779383899</v>
      </c>
      <c r="S31" s="287">
        <v>3151.9749327594882</v>
      </c>
    </row>
    <row r="32" spans="1:19" ht="30" customHeight="1" thickBot="1">
      <c r="A32" s="618" t="s">
        <v>530</v>
      </c>
      <c r="B32" s="291">
        <v>1538.9393456106852</v>
      </c>
      <c r="C32" s="290">
        <v>1663.8889491853145</v>
      </c>
      <c r="D32" s="291">
        <v>1753.683394842503</v>
      </c>
      <c r="E32" s="290">
        <v>1792.6969718267824</v>
      </c>
      <c r="F32" s="291">
        <v>1850.1645719756871</v>
      </c>
      <c r="G32" s="290">
        <v>1917.1642434992227</v>
      </c>
      <c r="H32" s="241">
        <v>2090.6486849170938</v>
      </c>
      <c r="I32" s="619">
        <v>2281.464868725081</v>
      </c>
      <c r="J32" s="244">
        <v>2441.8668834361247</v>
      </c>
      <c r="K32" s="619">
        <v>2487.4603849935415</v>
      </c>
      <c r="L32" s="244">
        <v>2582.7207564451369</v>
      </c>
      <c r="M32" s="619">
        <v>2612.1277928402606</v>
      </c>
      <c r="N32" s="244">
        <v>2585.7925929424218</v>
      </c>
      <c r="O32" s="619">
        <v>2610.6061328786159</v>
      </c>
      <c r="P32" s="244">
        <v>2834.4986028216172</v>
      </c>
      <c r="Q32" s="619">
        <v>3005.4532863037525</v>
      </c>
      <c r="R32" s="244">
        <v>3075.2295464185413</v>
      </c>
      <c r="S32" s="619">
        <v>3105.2131200339913</v>
      </c>
    </row>
    <row r="33" spans="1:19" ht="20" customHeight="1">
      <c r="A33" s="189" t="s">
        <v>346</v>
      </c>
      <c r="B33" s="457"/>
      <c r="C33" s="457"/>
      <c r="D33" s="457"/>
      <c r="E33" s="457"/>
      <c r="F33" s="620"/>
      <c r="G33" s="457"/>
      <c r="H33" s="610"/>
    </row>
    <row r="34" spans="1:19" ht="15.75" customHeight="1">
      <c r="A34" s="219"/>
      <c r="B34" s="459"/>
      <c r="C34" s="459"/>
      <c r="D34" s="459"/>
      <c r="E34" s="459"/>
      <c r="F34" s="459"/>
      <c r="G34" s="459"/>
      <c r="H34" s="611"/>
    </row>
    <row r="35" spans="1:19" ht="14.25" customHeight="1">
      <c r="A35" s="461" t="s">
        <v>1042</v>
      </c>
      <c r="B35" s="459"/>
      <c r="C35" s="459"/>
      <c r="D35" s="459"/>
      <c r="E35" s="459"/>
      <c r="F35" s="459"/>
      <c r="G35" s="459"/>
      <c r="H35" s="611"/>
    </row>
    <row r="36" spans="1:19" ht="14.25" customHeight="1">
      <c r="A36" s="461" t="s">
        <v>1043</v>
      </c>
      <c r="B36" s="459"/>
      <c r="C36" s="459"/>
      <c r="D36" s="459"/>
      <c r="E36" s="459"/>
      <c r="F36" s="459"/>
      <c r="G36" s="459"/>
      <c r="H36" s="611"/>
    </row>
    <row r="37" spans="1:19" ht="13.5" customHeight="1">
      <c r="A37" s="219"/>
      <c r="B37" s="459"/>
      <c r="C37" s="459"/>
      <c r="D37" s="459"/>
      <c r="E37" s="459"/>
      <c r="F37" s="459"/>
      <c r="G37" s="459"/>
      <c r="H37" s="611"/>
    </row>
    <row r="38" spans="1:19" ht="12.75" customHeight="1">
      <c r="A38" s="219" t="s">
        <v>1044</v>
      </c>
      <c r="B38" s="459"/>
      <c r="C38" s="459"/>
      <c r="D38" s="459"/>
      <c r="E38" s="459"/>
      <c r="F38" s="459"/>
      <c r="G38" s="459"/>
      <c r="H38" s="611"/>
    </row>
    <row r="39" spans="1:19" ht="12.75" customHeight="1" thickBot="1">
      <c r="A39" s="461" t="s">
        <v>1045</v>
      </c>
      <c r="B39" s="621"/>
      <c r="C39" s="621"/>
      <c r="D39" s="621"/>
      <c r="E39" s="621"/>
      <c r="F39" s="621"/>
      <c r="G39" s="621"/>
      <c r="H39" s="622"/>
      <c r="L39" s="623"/>
      <c r="M39" s="624"/>
      <c r="N39" s="625"/>
      <c r="O39" s="625"/>
      <c r="P39" s="625"/>
      <c r="Q39" s="625"/>
      <c r="R39" s="625"/>
      <c r="S39" s="625"/>
    </row>
    <row r="40" spans="1:19" ht="12.75" customHeight="1" thickBot="1">
      <c r="A40" s="626" t="s">
        <v>1046</v>
      </c>
      <c r="B40" s="627">
        <v>76.900000000000006</v>
      </c>
      <c r="C40" s="628">
        <v>48.4</v>
      </c>
      <c r="D40" s="627">
        <v>47</v>
      </c>
      <c r="E40" s="628">
        <v>35.5</v>
      </c>
      <c r="F40" s="627">
        <v>34.6</v>
      </c>
      <c r="G40" s="628">
        <v>34.4</v>
      </c>
      <c r="H40" s="627">
        <v>46.1</v>
      </c>
      <c r="I40" s="628">
        <v>21.7</v>
      </c>
      <c r="J40" s="627">
        <v>19.600000000000001</v>
      </c>
      <c r="K40" s="628">
        <v>21.6</v>
      </c>
      <c r="L40" s="627">
        <v>23</v>
      </c>
      <c r="M40" s="628">
        <v>18.400000000000002</v>
      </c>
      <c r="N40" s="627">
        <v>16.099999999999998</v>
      </c>
      <c r="O40" s="628">
        <v>13.799999999999999</v>
      </c>
      <c r="P40" s="627">
        <v>11.5</v>
      </c>
      <c r="Q40" s="628">
        <v>9.2000000000000011</v>
      </c>
      <c r="R40" s="627">
        <v>4.6000000000000005</v>
      </c>
      <c r="S40" s="628">
        <v>0</v>
      </c>
    </row>
    <row r="41" spans="1:19" ht="14" thickBot="1">
      <c r="A41" s="626" t="s">
        <v>1047</v>
      </c>
      <c r="B41" s="629">
        <v>2158.3621413319015</v>
      </c>
      <c r="C41" s="630">
        <v>2225.7179081802751</v>
      </c>
      <c r="D41" s="629">
        <v>2570.6589718226173</v>
      </c>
      <c r="E41" s="630">
        <v>2656.1844723022464</v>
      </c>
      <c r="F41" s="629">
        <v>2741.6283171677323</v>
      </c>
      <c r="G41" s="630">
        <v>2853.1036277149433</v>
      </c>
      <c r="H41" s="629">
        <v>3122.0143165939648</v>
      </c>
      <c r="I41" s="630">
        <v>3262.194010298686</v>
      </c>
      <c r="J41" s="629">
        <v>3497.7545778763606</v>
      </c>
      <c r="K41" s="630">
        <v>3583.6000045029468</v>
      </c>
      <c r="L41" s="629">
        <v>3700.8455964166751</v>
      </c>
      <c r="M41" s="630">
        <v>3712.6215380937838</v>
      </c>
      <c r="N41" s="629">
        <v>3669.7243490602891</v>
      </c>
      <c r="O41" s="630">
        <v>3714.9932541764088</v>
      </c>
      <c r="P41" s="629">
        <v>4028.1300499642716</v>
      </c>
      <c r="Q41" s="630">
        <v>4264.2967983799945</v>
      </c>
      <c r="R41" s="629">
        <v>4339.151071454924</v>
      </c>
      <c r="S41" s="630" t="s">
        <v>153</v>
      </c>
    </row>
    <row r="42" spans="1:19">
      <c r="A42" s="219"/>
    </row>
    <row r="43" spans="1:19">
      <c r="A43" s="219" t="s">
        <v>302</v>
      </c>
    </row>
  </sheetData>
  <pageMargins left="0.38" right="0.33" top="0.35" bottom="0.27" header="0.31" footer="0.38"/>
  <pageSetup paperSize="9" scale="67" orientation="landscape"/>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F746E-447C-DA4D-950D-2E9E96BA8B31}">
  <sheetPr>
    <pageSetUpPr fitToPage="1"/>
  </sheetPr>
  <dimension ref="A1:H16"/>
  <sheetViews>
    <sheetView workbookViewId="0">
      <selection activeCell="C34" sqref="C34"/>
    </sheetView>
  </sheetViews>
  <sheetFormatPr baseColWidth="10" defaultColWidth="11.59765625" defaultRowHeight="13"/>
  <cols>
    <col min="1" max="1" width="5.59765625" style="1013" customWidth="1"/>
    <col min="2" max="16384" width="11.59765625" style="1013"/>
  </cols>
  <sheetData>
    <row r="1" spans="1:8" ht="16">
      <c r="A1" s="1089" t="s">
        <v>1620</v>
      </c>
    </row>
    <row r="2" spans="1:8" ht="16">
      <c r="A2" s="1089"/>
    </row>
    <row r="3" spans="1:8">
      <c r="A3" s="1070">
        <v>4.01</v>
      </c>
      <c r="B3" s="1090" t="s">
        <v>1621</v>
      </c>
    </row>
    <row r="4" spans="1:8">
      <c r="A4" s="1070">
        <v>4.0199999999999996</v>
      </c>
      <c r="B4" s="1091" t="s">
        <v>1622</v>
      </c>
    </row>
    <row r="5" spans="1:8">
      <c r="A5" s="1070">
        <v>4.03</v>
      </c>
      <c r="B5" s="1091" t="s">
        <v>1623</v>
      </c>
    </row>
    <row r="6" spans="1:8">
      <c r="A6" s="1070">
        <v>4.04</v>
      </c>
      <c r="B6" s="1091" t="s">
        <v>1624</v>
      </c>
    </row>
    <row r="7" spans="1:8">
      <c r="A7" s="1070">
        <v>4.05</v>
      </c>
      <c r="B7" s="1091" t="s">
        <v>1625</v>
      </c>
    </row>
    <row r="8" spans="1:8">
      <c r="A8" s="1070">
        <v>4.0599999999999996</v>
      </c>
      <c r="B8" s="1013" t="s">
        <v>1626</v>
      </c>
    </row>
    <row r="9" spans="1:8">
      <c r="A9" s="1070">
        <v>4.07</v>
      </c>
      <c r="B9" s="1070" t="s">
        <v>1627</v>
      </c>
    </row>
    <row r="10" spans="1:8">
      <c r="A10" s="1070">
        <v>4.08</v>
      </c>
      <c r="B10" s="1091" t="s">
        <v>1628</v>
      </c>
    </row>
    <row r="11" spans="1:8">
      <c r="A11" s="1070">
        <v>4.09</v>
      </c>
      <c r="B11" s="1090" t="s">
        <v>1629</v>
      </c>
    </row>
    <row r="12" spans="1:8">
      <c r="A12" s="1092">
        <v>4.0999999999999996</v>
      </c>
      <c r="B12" s="1090" t="s">
        <v>1630</v>
      </c>
      <c r="H12" s="1093"/>
    </row>
    <row r="13" spans="1:8">
      <c r="A13" s="1092">
        <v>4.1100000000000003</v>
      </c>
      <c r="B13" s="1090" t="s">
        <v>1631</v>
      </c>
      <c r="H13" s="1093"/>
    </row>
    <row r="14" spans="1:8">
      <c r="A14" s="1092"/>
    </row>
    <row r="16" spans="1:8">
      <c r="A16" s="1069" t="s">
        <v>302</v>
      </c>
    </row>
  </sheetData>
  <pageMargins left="0.59055118110236227" right="0.59055118110236227" top="0.78740157480314965" bottom="0.47244094488188981" header="0.47244094488188981" footer="0.51181102362204722"/>
  <pageSetup paperSize="9" scale="94" orientation="portrait"/>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29B3-F615-5E45-9052-4727145174F0}">
  <sheetPr>
    <pageSetUpPr fitToPage="1"/>
  </sheetPr>
  <dimension ref="A1:BH52"/>
  <sheetViews>
    <sheetView zoomScaleNormal="100" workbookViewId="0">
      <selection activeCell="B43" sqref="B43"/>
    </sheetView>
  </sheetViews>
  <sheetFormatPr baseColWidth="10" defaultColWidth="11.3984375" defaultRowHeight="13"/>
  <cols>
    <col min="1" max="1" width="10.59765625" style="3" customWidth="1"/>
    <col min="2" max="2" width="16" style="3" customWidth="1"/>
    <col min="3" max="3" width="14.59765625" style="3" customWidth="1"/>
    <col min="4" max="4" width="13.796875" style="3" customWidth="1"/>
    <col min="5" max="5" width="12.796875" style="3" customWidth="1"/>
    <col min="6" max="6" width="14.59765625" style="3" customWidth="1"/>
    <col min="7" max="8" width="14.3984375" style="3" customWidth="1"/>
    <col min="9" max="16384" width="11.3984375" style="3"/>
  </cols>
  <sheetData>
    <row r="1" spans="1:60" s="1" customFormat="1" ht="14" customHeight="1"/>
    <row r="2" spans="1:60" s="1" customFormat="1" ht="37.5" customHeight="1">
      <c r="A2" s="2010" t="s">
        <v>1632</v>
      </c>
      <c r="B2" s="2016"/>
      <c r="C2" s="2016"/>
      <c r="D2" s="2016"/>
      <c r="E2" s="2016"/>
      <c r="F2" s="2016"/>
      <c r="G2" s="2016"/>
      <c r="H2" s="360"/>
    </row>
    <row r="3" spans="1:60" ht="21" customHeight="1">
      <c r="A3" s="224" t="s">
        <v>460</v>
      </c>
      <c r="B3" s="267" t="s">
        <v>1633</v>
      </c>
      <c r="C3" s="268"/>
      <c r="D3" s="267" t="s">
        <v>1634</v>
      </c>
      <c r="E3" s="268" t="s">
        <v>1635</v>
      </c>
      <c r="F3" s="267" t="s">
        <v>1636</v>
      </c>
      <c r="G3" s="268" t="s">
        <v>1637</v>
      </c>
      <c r="H3" s="267" t="s">
        <v>1636</v>
      </c>
    </row>
    <row r="4" spans="1:60" ht="15" customHeight="1">
      <c r="A4" s="269"/>
      <c r="B4" s="270" t="s">
        <v>1638</v>
      </c>
      <c r="C4" s="272" t="s">
        <v>1639</v>
      </c>
      <c r="D4" s="270" t="s">
        <v>1640</v>
      </c>
      <c r="E4" s="271" t="s">
        <v>1641</v>
      </c>
      <c r="F4" s="270" t="s">
        <v>1642</v>
      </c>
      <c r="G4" s="271" t="s">
        <v>1643</v>
      </c>
      <c r="H4" s="270" t="s">
        <v>1642</v>
      </c>
    </row>
    <row r="5" spans="1:60" ht="15" customHeight="1">
      <c r="A5" s="269"/>
      <c r="B5" s="270" t="s">
        <v>1644</v>
      </c>
      <c r="C5" s="272" t="s">
        <v>1645</v>
      </c>
      <c r="D5" s="270"/>
      <c r="E5" s="271"/>
      <c r="F5" s="270" t="s">
        <v>1646</v>
      </c>
      <c r="G5" s="271" t="s">
        <v>1647</v>
      </c>
      <c r="H5" s="270" t="s">
        <v>1648</v>
      </c>
    </row>
    <row r="6" spans="1:60" ht="21" customHeight="1">
      <c r="A6" s="273"/>
      <c r="B6" s="274" t="s">
        <v>1649</v>
      </c>
      <c r="C6" s="1094" t="s">
        <v>648</v>
      </c>
      <c r="D6" s="274"/>
      <c r="E6" s="275"/>
      <c r="F6" s="315" t="s">
        <v>1650</v>
      </c>
      <c r="G6" s="275"/>
      <c r="H6" s="315" t="s">
        <v>1650</v>
      </c>
      <c r="I6" s="185"/>
      <c r="J6" s="185"/>
      <c r="K6" s="185"/>
      <c r="L6" s="185"/>
      <c r="M6" s="185"/>
      <c r="N6" s="185"/>
      <c r="O6" s="185"/>
      <c r="P6" s="185"/>
      <c r="Q6" s="185"/>
      <c r="R6" s="185"/>
      <c r="S6" s="185"/>
      <c r="T6" s="185"/>
      <c r="U6" s="185"/>
      <c r="V6" s="185"/>
      <c r="W6" s="185"/>
      <c r="X6" s="185"/>
      <c r="Y6" s="185"/>
      <c r="Z6" s="185"/>
      <c r="AA6" s="185"/>
      <c r="AB6" s="185"/>
      <c r="AC6" s="185"/>
      <c r="AD6" s="185"/>
      <c r="AE6" s="185"/>
      <c r="AF6" s="185"/>
      <c r="AG6" s="185"/>
      <c r="AH6" s="185"/>
      <c r="AI6" s="185"/>
      <c r="AJ6" s="185"/>
      <c r="AK6" s="185"/>
      <c r="AL6" s="185"/>
      <c r="AM6" s="185"/>
      <c r="AN6" s="185"/>
      <c r="AO6" s="185"/>
      <c r="AP6" s="185"/>
      <c r="AQ6" s="185"/>
      <c r="AR6" s="185"/>
      <c r="AS6" s="185"/>
      <c r="AT6" s="185"/>
      <c r="AU6" s="185"/>
      <c r="AV6" s="185"/>
      <c r="AW6" s="185"/>
      <c r="AX6" s="185"/>
      <c r="AY6" s="185"/>
      <c r="AZ6" s="185"/>
      <c r="BA6" s="185"/>
      <c r="BB6" s="185"/>
      <c r="BC6" s="185"/>
      <c r="BD6" s="185"/>
      <c r="BE6" s="185"/>
      <c r="BF6" s="185"/>
      <c r="BG6" s="185"/>
      <c r="BH6" s="185"/>
    </row>
    <row r="7" spans="1:60" ht="22.5" customHeight="1" thickBot="1">
      <c r="A7" s="421">
        <v>1996</v>
      </c>
      <c r="B7" s="1095">
        <v>1467.1668685500001</v>
      </c>
      <c r="C7" s="321">
        <v>0.19641864881833015</v>
      </c>
      <c r="D7" s="352">
        <v>1656431</v>
      </c>
      <c r="E7" s="321">
        <v>0.22900000000000001</v>
      </c>
      <c r="F7" s="352">
        <v>901.63486133741753</v>
      </c>
      <c r="G7" s="353">
        <v>821972</v>
      </c>
      <c r="H7" s="352">
        <v>1508.6632014229194</v>
      </c>
    </row>
    <row r="8" spans="1:60" ht="22.5" customHeight="1" thickBot="1">
      <c r="A8" s="280">
        <v>1997</v>
      </c>
      <c r="B8" s="281">
        <v>1994.2314670000001</v>
      </c>
      <c r="C8" s="741">
        <v>0.32454456351229566</v>
      </c>
      <c r="D8" s="289">
        <v>1955994</v>
      </c>
      <c r="E8" s="741">
        <v>0.27</v>
      </c>
      <c r="F8" s="352">
        <v>1019.5488672255641</v>
      </c>
      <c r="G8" s="159">
        <v>988940</v>
      </c>
      <c r="H8" s="289">
        <v>2016.5343367646167</v>
      </c>
    </row>
    <row r="9" spans="1:60" ht="22.5" customHeight="1" thickBot="1">
      <c r="A9" s="280">
        <v>1998</v>
      </c>
      <c r="B9" s="281">
        <v>2446.4709480000001</v>
      </c>
      <c r="C9" s="741">
        <v>0.3175521493515443</v>
      </c>
      <c r="D9" s="289">
        <v>2240522</v>
      </c>
      <c r="E9" s="741">
        <v>0.309</v>
      </c>
      <c r="F9" s="352">
        <v>1091.9200739827595</v>
      </c>
      <c r="G9" s="159">
        <v>1178551</v>
      </c>
      <c r="H9" s="289">
        <v>2075.8295126812504</v>
      </c>
    </row>
    <row r="10" spans="1:60" ht="22.5" customHeight="1" thickBot="1">
      <c r="A10" s="280">
        <v>1999</v>
      </c>
      <c r="B10" s="281">
        <v>2689.6721769999999</v>
      </c>
      <c r="C10" s="741">
        <v>0.33145279359936858</v>
      </c>
      <c r="D10" s="289">
        <v>2334267</v>
      </c>
      <c r="E10" s="741">
        <v>0.32100000000000001</v>
      </c>
      <c r="F10" s="352">
        <v>1152.2555804455958</v>
      </c>
      <c r="G10" s="159">
        <v>1230090</v>
      </c>
      <c r="H10" s="289">
        <v>2186.5653545675523</v>
      </c>
    </row>
    <row r="11" spans="1:60" ht="22.5" customHeight="1" thickBot="1">
      <c r="A11" s="280">
        <v>2000</v>
      </c>
      <c r="B11" s="281">
        <v>2545.3263492000001</v>
      </c>
      <c r="C11" s="741">
        <v>0.3246756501223273</v>
      </c>
      <c r="D11" s="289">
        <v>2337717</v>
      </c>
      <c r="E11" s="741">
        <v>0.32177297173492003</v>
      </c>
      <c r="F11" s="352">
        <v>1088.8085894058177</v>
      </c>
      <c r="G11" s="159">
        <v>1242695</v>
      </c>
      <c r="H11" s="289">
        <v>2048</v>
      </c>
    </row>
    <row r="12" spans="1:60" ht="22.5" customHeight="1" thickBot="1">
      <c r="A12" s="280">
        <v>2001</v>
      </c>
      <c r="B12" s="281">
        <v>2657.2</v>
      </c>
      <c r="C12" s="741">
        <v>0.32300000000000001</v>
      </c>
      <c r="D12" s="289">
        <v>2376421</v>
      </c>
      <c r="E12" s="741">
        <v>0.32500000000000001</v>
      </c>
      <c r="F12" s="352">
        <v>1118</v>
      </c>
      <c r="G12" s="159">
        <v>1268943</v>
      </c>
      <c r="H12" s="289">
        <v>2094</v>
      </c>
    </row>
    <row r="13" spans="1:60" ht="22.5" customHeight="1" thickBot="1">
      <c r="A13" s="280">
        <v>2002</v>
      </c>
      <c r="B13" s="281">
        <v>2892</v>
      </c>
      <c r="C13" s="741">
        <v>0.33503586516078104</v>
      </c>
      <c r="D13" s="289">
        <v>2433822</v>
      </c>
      <c r="E13" s="741">
        <v>0.33137426082069188</v>
      </c>
      <c r="F13" s="352">
        <v>1188.2690726766377</v>
      </c>
      <c r="G13" s="159">
        <v>1289405</v>
      </c>
      <c r="H13" s="289">
        <v>2242.922441746387</v>
      </c>
      <c r="I13" s="185"/>
      <c r="J13" s="185"/>
      <c r="K13" s="185"/>
      <c r="L13" s="185"/>
      <c r="M13" s="185"/>
      <c r="N13" s="185"/>
      <c r="O13" s="185"/>
      <c r="P13" s="185"/>
      <c r="Q13" s="185"/>
      <c r="R13" s="185"/>
      <c r="S13" s="185"/>
      <c r="T13" s="185"/>
      <c r="U13" s="185"/>
      <c r="V13" s="185"/>
      <c r="W13" s="185"/>
      <c r="X13" s="185"/>
      <c r="Y13" s="185"/>
      <c r="Z13" s="185"/>
      <c r="AA13" s="185"/>
      <c r="AB13" s="185"/>
      <c r="AC13" s="185"/>
      <c r="AD13" s="185"/>
      <c r="AE13" s="185"/>
      <c r="AF13" s="185"/>
      <c r="AG13" s="185"/>
      <c r="AH13" s="185"/>
      <c r="AI13" s="185"/>
      <c r="AJ13" s="185"/>
      <c r="AK13" s="185"/>
      <c r="AL13" s="185"/>
      <c r="AM13" s="185"/>
      <c r="AN13" s="185"/>
      <c r="AO13" s="185"/>
      <c r="AP13" s="185"/>
      <c r="AQ13" s="185"/>
      <c r="AR13" s="185"/>
      <c r="AS13" s="185"/>
      <c r="AT13" s="185"/>
      <c r="AU13" s="185"/>
      <c r="AV13" s="185"/>
      <c r="AW13" s="185"/>
      <c r="AX13" s="185"/>
      <c r="AY13" s="185"/>
      <c r="AZ13" s="185"/>
      <c r="BA13" s="185"/>
      <c r="BB13" s="185"/>
      <c r="BC13" s="185"/>
      <c r="BD13" s="185"/>
      <c r="BE13" s="185"/>
      <c r="BF13" s="185"/>
      <c r="BG13" s="185"/>
      <c r="BH13" s="185"/>
    </row>
    <row r="14" spans="1:60" s="185" customFormat="1" ht="22.5" customHeight="1" thickBot="1">
      <c r="A14" s="280">
        <v>2003</v>
      </c>
      <c r="B14" s="281">
        <v>3065.5</v>
      </c>
      <c r="C14" s="741">
        <v>0.34986041988328265</v>
      </c>
      <c r="D14" s="289">
        <v>2427518.2400000002</v>
      </c>
      <c r="E14" s="741">
        <v>0.32926640809331431</v>
      </c>
      <c r="F14" s="352">
        <v>1262.8124985787954</v>
      </c>
      <c r="G14" s="159">
        <v>1287365.05</v>
      </c>
      <c r="H14" s="289">
        <v>2381.2207531966164</v>
      </c>
    </row>
    <row r="15" spans="1:60" s="185" customFormat="1" ht="22.5" customHeight="1" thickBot="1">
      <c r="A15" s="280">
        <v>2004</v>
      </c>
      <c r="B15" s="281">
        <v>3169.8</v>
      </c>
      <c r="C15" s="741">
        <v>0.35221732419197194</v>
      </c>
      <c r="D15" s="289">
        <v>2361377</v>
      </c>
      <c r="E15" s="741">
        <v>0.31981490264741708</v>
      </c>
      <c r="F15" s="352">
        <v>1342.3653663095729</v>
      </c>
      <c r="G15" s="159">
        <v>1245875</v>
      </c>
      <c r="H15" s="289">
        <v>2544.2606213303907</v>
      </c>
    </row>
    <row r="16" spans="1:60" s="185" customFormat="1" ht="22.5" customHeight="1" thickBot="1">
      <c r="A16" s="280">
        <v>2005</v>
      </c>
      <c r="B16" s="281">
        <v>3201.7620889999998</v>
      </c>
      <c r="C16" s="741">
        <v>0.35637005695084922</v>
      </c>
      <c r="D16" s="289">
        <v>2262160</v>
      </c>
      <c r="E16" s="741">
        <v>0.30422284428240698</v>
      </c>
      <c r="F16" s="352">
        <v>1415.3561591576192</v>
      </c>
      <c r="G16" s="159">
        <v>1215989</v>
      </c>
      <c r="H16" s="289">
        <v>2633.0518524427443</v>
      </c>
    </row>
    <row r="17" spans="1:10" s="185" customFormat="1" ht="22.5" customHeight="1" thickBot="1">
      <c r="A17" s="280">
        <v>2006</v>
      </c>
      <c r="B17" s="281">
        <v>3308.7390919999998</v>
      </c>
      <c r="C17" s="741">
        <v>0.35384170478437954</v>
      </c>
      <c r="D17" s="289">
        <v>2178397</v>
      </c>
      <c r="E17" s="741">
        <v>0.2912908088184103</v>
      </c>
      <c r="F17" s="352">
        <v>1518.8870954192464</v>
      </c>
      <c r="G17" s="159">
        <v>1182675</v>
      </c>
      <c r="H17" s="289">
        <v>2797.6739949690323</v>
      </c>
    </row>
    <row r="18" spans="1:10" s="185" customFormat="1" ht="22.5" customHeight="1" thickBot="1">
      <c r="A18" s="280">
        <v>2007</v>
      </c>
      <c r="B18" s="281">
        <v>3420.5200599999998</v>
      </c>
      <c r="C18" s="741">
        <v>0.35134625317765278</v>
      </c>
      <c r="D18" s="289">
        <v>2271950</v>
      </c>
      <c r="E18" s="741">
        <v>0.30161607339582402</v>
      </c>
      <c r="F18" s="352">
        <v>1505.5437223530448</v>
      </c>
      <c r="G18" s="159">
        <v>1225436</v>
      </c>
      <c r="H18" s="289">
        <v>2791.2678099876289</v>
      </c>
    </row>
    <row r="19" spans="1:10" s="185" customFormat="1" ht="22.5" customHeight="1" thickBot="1">
      <c r="A19" s="280">
        <v>2008</v>
      </c>
      <c r="B19" s="281">
        <v>3398.253929</v>
      </c>
      <c r="C19" s="741">
        <v>0.47648657864613625</v>
      </c>
      <c r="D19" s="289">
        <v>2249481</v>
      </c>
      <c r="E19" s="741">
        <v>0.29579460935900997</v>
      </c>
      <c r="F19" s="352">
        <v>1510.6835438930136</v>
      </c>
      <c r="G19" s="159">
        <v>1211669.9745008873</v>
      </c>
      <c r="H19" s="289">
        <v>2804.603564101531</v>
      </c>
    </row>
    <row r="20" spans="1:10" s="185" customFormat="1" ht="22.5" customHeight="1" thickBot="1">
      <c r="A20" s="280">
        <v>2009</v>
      </c>
      <c r="B20" s="281">
        <v>3542.4140867700003</v>
      </c>
      <c r="C20" s="741">
        <v>0.48763624888153639</v>
      </c>
      <c r="D20" s="289">
        <v>2254890</v>
      </c>
      <c r="E20" s="741">
        <v>0.29250672209346623</v>
      </c>
      <c r="F20" s="352">
        <v>1570.991971568458</v>
      </c>
      <c r="G20" s="159">
        <v>1229418</v>
      </c>
      <c r="H20" s="289">
        <v>2881.37483489749</v>
      </c>
    </row>
    <row r="21" spans="1:10" s="185" customFormat="1" ht="22.5" customHeight="1" thickBot="1">
      <c r="A21" s="280">
        <v>2010</v>
      </c>
      <c r="B21" s="281">
        <v>3979.8429310299998</v>
      </c>
      <c r="C21" s="741">
        <v>0.50358678665524759</v>
      </c>
      <c r="D21" s="289">
        <v>2315252</v>
      </c>
      <c r="E21" s="741">
        <v>0.29760312239746117</v>
      </c>
      <c r="F21" s="352">
        <v>1718.9674951279601</v>
      </c>
      <c r="G21" s="159">
        <v>1270592</v>
      </c>
      <c r="H21" s="289">
        <v>3132.2745074972922</v>
      </c>
      <c r="J21" s="1096"/>
    </row>
    <row r="22" spans="1:10" s="185" customFormat="1" ht="22.5" customHeight="1" thickBot="1">
      <c r="A22" s="280">
        <v>2011</v>
      </c>
      <c r="B22" s="281">
        <v>4070.3476851999999</v>
      </c>
      <c r="C22" s="741">
        <v>0.48015848870747058</v>
      </c>
      <c r="D22" s="289">
        <v>2273693</v>
      </c>
      <c r="E22" s="741">
        <v>0.28917199317343922</v>
      </c>
      <c r="F22" s="352">
        <v>1790.1922929788673</v>
      </c>
      <c r="G22" s="159">
        <v>1274390</v>
      </c>
      <c r="H22" s="289">
        <v>3193.957646560315</v>
      </c>
    </row>
    <row r="23" spans="1:10" s="185" customFormat="1" ht="22.5" customHeight="1" thickBot="1">
      <c r="A23" s="280" t="s">
        <v>1651</v>
      </c>
      <c r="B23" s="281">
        <v>3967.7031699399995</v>
      </c>
      <c r="C23" s="741">
        <v>0.45779670802267358</v>
      </c>
      <c r="D23" s="289">
        <v>2308013.1255999999</v>
      </c>
      <c r="E23" s="741">
        <v>0.29019354159588945</v>
      </c>
      <c r="F23" s="352">
        <v>1719.0990492779542</v>
      </c>
      <c r="G23" s="159">
        <v>1317820.2429706492</v>
      </c>
      <c r="H23" s="289">
        <v>3010.8075749359764</v>
      </c>
    </row>
    <row r="24" spans="1:10" ht="25.5" customHeight="1" thickBot="1">
      <c r="A24" s="354">
        <v>2013</v>
      </c>
      <c r="B24" s="284">
        <v>4014.7222994999988</v>
      </c>
      <c r="C24" s="742">
        <v>0.45713862917207737</v>
      </c>
      <c r="D24" s="290">
        <v>2253279</v>
      </c>
      <c r="E24" s="742">
        <v>0.28005209174053625</v>
      </c>
      <c r="F24" s="1097">
        <v>1781.7244555600967</v>
      </c>
      <c r="G24" s="291">
        <v>1307345</v>
      </c>
      <c r="H24" s="290">
        <v>3070.8973526498353</v>
      </c>
    </row>
    <row r="25" spans="1:10" ht="16.5" customHeight="1">
      <c r="A25" s="1098" t="s">
        <v>1652</v>
      </c>
      <c r="B25" s="189"/>
      <c r="C25" s="189"/>
      <c r="D25" s="189"/>
      <c r="E25" s="189"/>
      <c r="F25" s="189"/>
      <c r="G25" s="189"/>
      <c r="H25" s="189"/>
    </row>
    <row r="26" spans="1:10" ht="10.5" customHeight="1">
      <c r="A26" s="1099"/>
      <c r="B26" s="219"/>
      <c r="C26" s="219"/>
      <c r="D26" s="219"/>
      <c r="E26" s="219"/>
      <c r="F26" s="219"/>
      <c r="G26" s="219"/>
      <c r="H26" s="219"/>
    </row>
    <row r="27" spans="1:10" ht="16.5" customHeight="1">
      <c r="A27" s="1099" t="s">
        <v>1653</v>
      </c>
      <c r="B27" s="219"/>
      <c r="C27" s="219"/>
      <c r="D27" s="219"/>
      <c r="E27" s="219"/>
      <c r="F27" s="219"/>
      <c r="G27" s="219"/>
      <c r="H27" s="219"/>
    </row>
    <row r="28" spans="1:10" ht="12.75" customHeight="1">
      <c r="A28" s="1099"/>
      <c r="B28" s="219"/>
      <c r="C28" s="219"/>
      <c r="D28" s="219"/>
      <c r="E28" s="219"/>
      <c r="F28" s="219"/>
      <c r="G28" s="219"/>
      <c r="H28" s="219"/>
    </row>
    <row r="29" spans="1:10" ht="13.5" customHeight="1">
      <c r="A29" s="1100" t="s">
        <v>1654</v>
      </c>
      <c r="B29" s="219"/>
      <c r="C29" s="219"/>
      <c r="D29" s="219"/>
      <c r="E29" s="219"/>
      <c r="F29" s="219"/>
      <c r="G29" s="219"/>
      <c r="H29" s="219"/>
      <c r="J29" s="1101"/>
    </row>
    <row r="30" spans="1:10" ht="13.5" customHeight="1">
      <c r="A30" s="1100" t="s">
        <v>1655</v>
      </c>
      <c r="B30" s="219"/>
      <c r="C30" s="219"/>
      <c r="D30" s="219"/>
      <c r="E30" s="219"/>
      <c r="F30" s="219"/>
      <c r="G30" s="219"/>
      <c r="H30" s="219"/>
    </row>
    <row r="31" spans="1:10" ht="13.5" customHeight="1">
      <c r="A31" s="1100" t="s">
        <v>1656</v>
      </c>
      <c r="B31" s="219"/>
      <c r="C31" s="219"/>
      <c r="D31" s="219"/>
      <c r="E31" s="219"/>
      <c r="F31" s="219"/>
      <c r="G31" s="219"/>
      <c r="H31" s="219"/>
    </row>
    <row r="32" spans="1:10" ht="13.5" customHeight="1">
      <c r="A32" s="1100" t="s">
        <v>1657</v>
      </c>
    </row>
    <row r="33" spans="1:8" ht="13.5" customHeight="1">
      <c r="A33" s="2017" t="s">
        <v>1658</v>
      </c>
      <c r="B33" s="2018"/>
      <c r="C33" s="2018"/>
      <c r="D33" s="2018"/>
      <c r="E33" s="2018"/>
      <c r="F33" s="2018"/>
      <c r="G33" s="2018"/>
      <c r="H33" s="2018"/>
    </row>
    <row r="34" spans="1:8" ht="13.5" customHeight="1">
      <c r="A34" s="1100" t="s">
        <v>1659</v>
      </c>
    </row>
    <row r="35" spans="1:8" ht="13.5" customHeight="1">
      <c r="A35" s="1100" t="s">
        <v>1660</v>
      </c>
    </row>
    <row r="36" spans="1:8" ht="13.5" customHeight="1">
      <c r="A36" s="1100" t="s">
        <v>1661</v>
      </c>
    </row>
    <row r="37" spans="1:8" ht="13.5" customHeight="1">
      <c r="A37" s="3" t="s">
        <v>1662</v>
      </c>
    </row>
    <row r="38" spans="1:8" ht="15" customHeight="1"/>
    <row r="39" spans="1:8" ht="15" customHeight="1">
      <c r="A39" s="1102"/>
    </row>
    <row r="40" spans="1:8" ht="15" customHeight="1">
      <c r="A40" s="1103" t="s">
        <v>302</v>
      </c>
    </row>
    <row r="41" spans="1:8" ht="30" customHeight="1"/>
    <row r="42" spans="1:8" ht="30" customHeight="1"/>
    <row r="43" spans="1:8" ht="30" customHeight="1"/>
    <row r="44" spans="1:8" ht="30" customHeight="1"/>
    <row r="45" spans="1:8" ht="30" customHeight="1"/>
    <row r="46" spans="1:8" ht="30" customHeight="1"/>
    <row r="47" spans="1:8" ht="30" customHeight="1"/>
    <row r="48" spans="1:8" ht="30" customHeight="1"/>
    <row r="49" ht="30" customHeight="1"/>
    <row r="50" ht="30" customHeight="1"/>
    <row r="51" ht="30" customHeight="1"/>
    <row r="52" ht="30" customHeight="1"/>
  </sheetData>
  <mergeCells count="2">
    <mergeCell ref="A2:G2"/>
    <mergeCell ref="A33:H33"/>
  </mergeCells>
  <pageMargins left="0.59055118110236227" right="0.59055118110236227" top="0.78740157480314965" bottom="0.47244094488188981" header="0.47244094488188981" footer="0.51181102362204722"/>
  <pageSetup paperSize="9" scale="83" orientation="portrait" horizontalDpi="4294967292" verticalDpi="4294967292"/>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85DF7-3FE6-8E41-9497-2921DCE0F023}">
  <sheetPr>
    <pageSetUpPr fitToPage="1"/>
  </sheetPr>
  <dimension ref="A1:J45"/>
  <sheetViews>
    <sheetView zoomScaleNormal="100" workbookViewId="0">
      <selection activeCell="C78" sqref="C78"/>
    </sheetView>
  </sheetViews>
  <sheetFormatPr baseColWidth="10" defaultColWidth="11.3984375" defaultRowHeight="13"/>
  <cols>
    <col min="1" max="1" width="10.59765625" style="3" customWidth="1"/>
    <col min="2" max="4" width="13.3984375" style="3" customWidth="1"/>
    <col min="5" max="5" width="15" style="245" customWidth="1"/>
    <col min="6" max="7" width="15" style="201" customWidth="1"/>
    <col min="8" max="8" width="16.59765625" style="3" customWidth="1"/>
    <col min="9" max="9" width="15.59765625" style="367" customWidth="1"/>
    <col min="10" max="10" width="17" style="3" customWidth="1"/>
    <col min="11" max="16384" width="11.3984375" style="3"/>
  </cols>
  <sheetData>
    <row r="1" spans="1:10" s="1" customFormat="1" ht="14" customHeight="1">
      <c r="E1" s="221"/>
      <c r="F1" s="359"/>
      <c r="G1" s="359"/>
      <c r="I1" s="1104"/>
      <c r="J1" s="1104"/>
    </row>
    <row r="2" spans="1:10" s="1" customFormat="1" ht="25.25" customHeight="1">
      <c r="A2" s="311" t="s">
        <v>1663</v>
      </c>
      <c r="E2" s="221"/>
      <c r="F2" s="359"/>
      <c r="G2" s="327"/>
      <c r="H2" s="327">
        <v>2013</v>
      </c>
      <c r="I2" s="1105"/>
      <c r="J2" s="1106"/>
    </row>
    <row r="3" spans="1:10" ht="24" customHeight="1">
      <c r="A3" s="1107" t="s">
        <v>67</v>
      </c>
      <c r="B3" s="2019" t="s">
        <v>1664</v>
      </c>
      <c r="C3" s="2019"/>
      <c r="D3" s="2019"/>
      <c r="E3" s="1108" t="s">
        <v>1635</v>
      </c>
      <c r="F3" s="1109" t="s">
        <v>1665</v>
      </c>
      <c r="G3" s="1108" t="s">
        <v>1665</v>
      </c>
      <c r="H3" s="1110" t="s">
        <v>1665</v>
      </c>
      <c r="I3" s="1111"/>
      <c r="J3" s="1112"/>
    </row>
    <row r="4" spans="1:10" ht="15" customHeight="1">
      <c r="A4" s="269"/>
      <c r="B4" s="494" t="s">
        <v>1050</v>
      </c>
      <c r="C4" s="1113" t="s">
        <v>1051</v>
      </c>
      <c r="D4" s="665" t="s">
        <v>381</v>
      </c>
      <c r="E4" s="271" t="s">
        <v>1666</v>
      </c>
      <c r="F4" s="665" t="s">
        <v>1667</v>
      </c>
      <c r="G4" s="1113" t="s">
        <v>1668</v>
      </c>
      <c r="H4" s="665" t="s">
        <v>1669</v>
      </c>
      <c r="I4" s="1114"/>
      <c r="J4" s="1115"/>
    </row>
    <row r="5" spans="1:10" ht="15" customHeight="1">
      <c r="A5" s="269"/>
      <c r="B5" s="270"/>
      <c r="C5" s="271"/>
      <c r="D5" s="270"/>
      <c r="E5" s="271"/>
      <c r="F5" s="614" t="s">
        <v>1670</v>
      </c>
      <c r="G5" s="272" t="s">
        <v>1671</v>
      </c>
      <c r="H5" s="614" t="s">
        <v>1672</v>
      </c>
      <c r="I5" s="1114"/>
      <c r="J5" s="1115"/>
    </row>
    <row r="6" spans="1:10" ht="15" customHeight="1">
      <c r="A6" s="269"/>
      <c r="B6" s="270"/>
      <c r="C6" s="271"/>
      <c r="D6" s="270"/>
      <c r="E6" s="271"/>
      <c r="F6" s="614" t="s">
        <v>1520</v>
      </c>
      <c r="G6" s="272"/>
      <c r="H6" s="614" t="s">
        <v>1673</v>
      </c>
      <c r="I6" s="1114"/>
      <c r="J6" s="1115"/>
    </row>
    <row r="7" spans="1:10" ht="24" customHeight="1">
      <c r="A7" s="273"/>
      <c r="B7" s="274"/>
      <c r="C7" s="275"/>
      <c r="D7" s="274"/>
      <c r="E7" s="275"/>
      <c r="F7" s="1116"/>
      <c r="G7" s="1117"/>
      <c r="H7" s="1116" t="s">
        <v>1674</v>
      </c>
      <c r="I7" s="1114"/>
      <c r="J7" s="1118"/>
    </row>
    <row r="8" spans="1:10" ht="30" customHeight="1" thickBot="1">
      <c r="A8" s="1119" t="s">
        <v>502</v>
      </c>
      <c r="B8" s="335">
        <v>188602</v>
      </c>
      <c r="C8" s="336">
        <v>217295</v>
      </c>
      <c r="D8" s="335">
        <v>405897</v>
      </c>
      <c r="E8" s="1120">
        <v>0.28792849888754429</v>
      </c>
      <c r="F8" s="335">
        <v>53643</v>
      </c>
      <c r="G8" s="336">
        <v>46894</v>
      </c>
      <c r="H8" s="352"/>
      <c r="I8" s="1114"/>
      <c r="J8" s="1121"/>
    </row>
    <row r="9" spans="1:10" ht="20" customHeight="1" thickBot="1">
      <c r="A9" s="1122" t="s">
        <v>1675</v>
      </c>
      <c r="B9" s="335">
        <v>119647</v>
      </c>
      <c r="C9" s="336">
        <v>134431</v>
      </c>
      <c r="D9" s="335">
        <v>254078</v>
      </c>
      <c r="E9" s="1120">
        <v>0.25565654880402489</v>
      </c>
      <c r="F9" s="335">
        <v>48869</v>
      </c>
      <c r="G9" s="336">
        <v>37936</v>
      </c>
      <c r="H9" s="352"/>
      <c r="I9" s="1114"/>
      <c r="J9" s="1121"/>
    </row>
    <row r="10" spans="1:10" ht="20" customHeight="1" thickBot="1">
      <c r="A10" s="1122" t="s">
        <v>504</v>
      </c>
      <c r="B10" s="335">
        <v>59089</v>
      </c>
      <c r="C10" s="336">
        <v>64757</v>
      </c>
      <c r="D10" s="335">
        <v>123846</v>
      </c>
      <c r="E10" s="1120">
        <v>0.31837038455680233</v>
      </c>
      <c r="F10" s="335">
        <v>18649</v>
      </c>
      <c r="G10" s="336">
        <v>9241</v>
      </c>
      <c r="H10" s="352">
        <v>2573</v>
      </c>
      <c r="I10" s="1114"/>
      <c r="J10" s="1121"/>
    </row>
    <row r="11" spans="1:10" ht="20" customHeight="1" thickBot="1">
      <c r="A11" s="1122" t="s">
        <v>505</v>
      </c>
      <c r="B11" s="335">
        <v>6506</v>
      </c>
      <c r="C11" s="336">
        <v>6902</v>
      </c>
      <c r="D11" s="335">
        <v>13408</v>
      </c>
      <c r="E11" s="1120">
        <v>0.37342749231797157</v>
      </c>
      <c r="F11" s="335">
        <v>1171</v>
      </c>
      <c r="G11" s="336">
        <v>397</v>
      </c>
      <c r="H11" s="352">
        <v>78</v>
      </c>
      <c r="I11" s="1114"/>
      <c r="J11" s="1121"/>
    </row>
    <row r="12" spans="1:10" ht="20" customHeight="1" thickBot="1">
      <c r="A12" s="1122" t="s">
        <v>506</v>
      </c>
      <c r="B12" s="335">
        <v>17506</v>
      </c>
      <c r="C12" s="371">
        <v>19103</v>
      </c>
      <c r="D12" s="335">
        <v>36609</v>
      </c>
      <c r="E12" s="1123">
        <v>0.24233339074649074</v>
      </c>
      <c r="F12" s="335">
        <v>4327</v>
      </c>
      <c r="G12" s="371">
        <v>1676</v>
      </c>
      <c r="H12" s="352">
        <v>2444</v>
      </c>
      <c r="I12" s="1114"/>
      <c r="J12" s="1121"/>
    </row>
    <row r="13" spans="1:10" ht="20" customHeight="1" thickBot="1">
      <c r="A13" s="1122" t="s">
        <v>507</v>
      </c>
      <c r="B13" s="335">
        <v>6039</v>
      </c>
      <c r="C13" s="371">
        <v>6406</v>
      </c>
      <c r="D13" s="335">
        <v>12445</v>
      </c>
      <c r="E13" s="1123">
        <v>0.33731342393589059</v>
      </c>
      <c r="F13" s="335">
        <v>1032</v>
      </c>
      <c r="G13" s="371">
        <v>335</v>
      </c>
      <c r="H13" s="352">
        <v>3086</v>
      </c>
      <c r="I13" s="1114"/>
      <c r="J13" s="1121"/>
    </row>
    <row r="14" spans="1:10" ht="20" customHeight="1" thickBot="1">
      <c r="A14" s="1122" t="s">
        <v>508</v>
      </c>
      <c r="B14" s="335">
        <v>9243</v>
      </c>
      <c r="C14" s="371">
        <v>11291</v>
      </c>
      <c r="D14" s="335">
        <v>20534</v>
      </c>
      <c r="E14" s="1123">
        <v>0.49608883696231465</v>
      </c>
      <c r="F14" s="335">
        <v>876</v>
      </c>
      <c r="G14" s="371">
        <v>507</v>
      </c>
      <c r="H14" s="352">
        <v>3212</v>
      </c>
      <c r="I14" s="1114"/>
      <c r="J14" s="1121"/>
    </row>
    <row r="15" spans="1:10" ht="20" customHeight="1" thickBot="1">
      <c r="A15" s="1122" t="s">
        <v>509</v>
      </c>
      <c r="B15" s="335">
        <v>4290</v>
      </c>
      <c r="C15" s="371">
        <v>4825</v>
      </c>
      <c r="D15" s="335">
        <v>9115</v>
      </c>
      <c r="E15" s="1123">
        <v>0.22951014502825376</v>
      </c>
      <c r="F15" s="335">
        <v>1227</v>
      </c>
      <c r="G15" s="371">
        <v>936</v>
      </c>
      <c r="H15" s="352">
        <v>31</v>
      </c>
      <c r="I15" s="1114"/>
      <c r="J15" s="1121"/>
    </row>
    <row r="16" spans="1:10" ht="20" customHeight="1" thickBot="1">
      <c r="A16" s="1122" t="s">
        <v>510</v>
      </c>
      <c r="B16" s="335">
        <v>14006</v>
      </c>
      <c r="C16" s="371">
        <v>16395</v>
      </c>
      <c r="D16" s="335">
        <v>30401</v>
      </c>
      <c r="E16" s="1123">
        <v>0.25859627839457483</v>
      </c>
      <c r="F16" s="335">
        <v>2848</v>
      </c>
      <c r="G16" s="371">
        <v>1643</v>
      </c>
      <c r="H16" s="352">
        <v>2372</v>
      </c>
      <c r="I16" s="1114"/>
      <c r="J16" s="1121"/>
    </row>
    <row r="17" spans="1:10" ht="20" customHeight="1" thickBot="1">
      <c r="A17" s="1122" t="s">
        <v>511</v>
      </c>
      <c r="B17" s="335">
        <v>36144</v>
      </c>
      <c r="C17" s="371">
        <v>44666</v>
      </c>
      <c r="D17" s="335">
        <v>80810</v>
      </c>
      <c r="E17" s="1123">
        <v>0.27395487199466229</v>
      </c>
      <c r="F17" s="335">
        <v>10032</v>
      </c>
      <c r="G17" s="371">
        <v>9043</v>
      </c>
      <c r="H17" s="352"/>
      <c r="I17" s="1114"/>
      <c r="J17" s="1121"/>
    </row>
    <row r="18" spans="1:10" ht="20" customHeight="1" thickBot="1">
      <c r="A18" s="1122" t="s">
        <v>512</v>
      </c>
      <c r="B18" s="335">
        <v>28250</v>
      </c>
      <c r="C18" s="371">
        <v>33035</v>
      </c>
      <c r="D18" s="335">
        <v>61285</v>
      </c>
      <c r="E18" s="1123">
        <v>0.23385188530943488</v>
      </c>
      <c r="F18" s="335">
        <v>8572</v>
      </c>
      <c r="G18" s="371">
        <v>6092</v>
      </c>
      <c r="H18" s="352" t="s">
        <v>153</v>
      </c>
      <c r="I18" s="1114"/>
      <c r="J18" s="1121"/>
    </row>
    <row r="19" spans="1:10" ht="20" customHeight="1" thickBot="1">
      <c r="A19" s="1122" t="s">
        <v>513</v>
      </c>
      <c r="B19" s="335">
        <v>23731</v>
      </c>
      <c r="C19" s="371">
        <v>27307</v>
      </c>
      <c r="D19" s="335">
        <v>51038</v>
      </c>
      <c r="E19" s="1123">
        <v>0.28010913927551301</v>
      </c>
      <c r="F19" s="335">
        <v>12111</v>
      </c>
      <c r="G19" s="371">
        <v>10960</v>
      </c>
      <c r="H19" s="352"/>
      <c r="I19" s="1114"/>
      <c r="J19" s="1121"/>
    </row>
    <row r="20" spans="1:10" ht="20" customHeight="1" thickBot="1">
      <c r="A20" s="1122" t="s">
        <v>514</v>
      </c>
      <c r="B20" s="335">
        <v>26917</v>
      </c>
      <c r="C20" s="371">
        <v>29302</v>
      </c>
      <c r="D20" s="335">
        <v>56219</v>
      </c>
      <c r="E20" s="1123">
        <v>0.20345505544683162</v>
      </c>
      <c r="F20" s="352" t="s">
        <v>153</v>
      </c>
      <c r="G20" s="371">
        <v>1357</v>
      </c>
      <c r="H20" s="352"/>
      <c r="I20" s="1114"/>
      <c r="J20" s="1121"/>
    </row>
    <row r="21" spans="1:10" ht="20" customHeight="1" thickBot="1">
      <c r="A21" s="1122" t="s">
        <v>515</v>
      </c>
      <c r="B21" s="335">
        <v>8991</v>
      </c>
      <c r="C21" s="371">
        <v>9678</v>
      </c>
      <c r="D21" s="335">
        <v>18669</v>
      </c>
      <c r="E21" s="1123">
        <v>0.23891161038250047</v>
      </c>
      <c r="F21" s="335">
        <v>2518</v>
      </c>
      <c r="G21" s="371">
        <v>1499</v>
      </c>
      <c r="H21" s="352"/>
      <c r="I21" s="1114"/>
      <c r="J21" s="1121"/>
    </row>
    <row r="22" spans="1:10" ht="20" customHeight="1" thickBot="1">
      <c r="A22" s="1122" t="s">
        <v>516</v>
      </c>
      <c r="B22" s="335">
        <v>6441</v>
      </c>
      <c r="C22" s="371">
        <v>7222</v>
      </c>
      <c r="D22" s="335">
        <v>13663</v>
      </c>
      <c r="E22" s="1123">
        <v>0.25118362215864959</v>
      </c>
      <c r="F22" s="335">
        <v>2150</v>
      </c>
      <c r="G22" s="371">
        <v>962</v>
      </c>
      <c r="H22" s="352">
        <v>6743</v>
      </c>
      <c r="I22" s="1114"/>
      <c r="J22" s="1121"/>
    </row>
    <row r="23" spans="1:10" ht="20" customHeight="1" thickBot="1">
      <c r="A23" s="1122" t="s">
        <v>517</v>
      </c>
      <c r="B23" s="335">
        <v>3159</v>
      </c>
      <c r="C23" s="371">
        <v>3007</v>
      </c>
      <c r="D23" s="335">
        <v>6166</v>
      </c>
      <c r="E23" s="1123">
        <v>0.38837862317699506</v>
      </c>
      <c r="F23" s="335">
        <v>374</v>
      </c>
      <c r="G23" s="371">
        <v>207</v>
      </c>
      <c r="H23" s="352">
        <v>46</v>
      </c>
      <c r="I23" s="1114"/>
      <c r="J23" s="1121"/>
    </row>
    <row r="24" spans="1:10" ht="20" customHeight="1" thickBot="1">
      <c r="A24" s="1122" t="s">
        <v>518</v>
      </c>
      <c r="B24" s="335">
        <v>61275</v>
      </c>
      <c r="C24" s="371">
        <v>70455</v>
      </c>
      <c r="D24" s="335">
        <v>131730</v>
      </c>
      <c r="E24" s="1123">
        <v>0.26878424497060971</v>
      </c>
      <c r="F24" s="335">
        <v>22994</v>
      </c>
      <c r="G24" s="371">
        <v>18427</v>
      </c>
      <c r="H24" s="352">
        <v>18427</v>
      </c>
      <c r="I24" s="1114"/>
      <c r="J24" s="1121"/>
    </row>
    <row r="25" spans="1:10" ht="20" customHeight="1" thickBot="1">
      <c r="A25" s="1122" t="s">
        <v>519</v>
      </c>
      <c r="B25" s="335">
        <v>28234</v>
      </c>
      <c r="C25" s="371">
        <v>32305</v>
      </c>
      <c r="D25" s="335">
        <v>60539</v>
      </c>
      <c r="E25" s="1123">
        <v>0.30505793299025263</v>
      </c>
      <c r="F25" s="335">
        <v>6926</v>
      </c>
      <c r="G25" s="371">
        <v>1906</v>
      </c>
      <c r="H25" s="352">
        <v>88</v>
      </c>
      <c r="I25" s="1114"/>
      <c r="J25" s="1121"/>
    </row>
    <row r="26" spans="1:10" ht="20" customHeight="1" thickBot="1">
      <c r="A26" s="1122" t="s">
        <v>520</v>
      </c>
      <c r="B26" s="335">
        <v>83976</v>
      </c>
      <c r="C26" s="371">
        <v>93828</v>
      </c>
      <c r="D26" s="335">
        <v>177804</v>
      </c>
      <c r="E26" s="1123">
        <v>0.28010860281443267</v>
      </c>
      <c r="F26" s="335">
        <v>18299</v>
      </c>
      <c r="G26" s="371">
        <v>12000</v>
      </c>
      <c r="H26" s="352">
        <v>12297</v>
      </c>
      <c r="I26" s="1114"/>
      <c r="J26" s="1121"/>
    </row>
    <row r="27" spans="1:10" ht="20" customHeight="1" thickBot="1">
      <c r="A27" s="1122" t="s">
        <v>521</v>
      </c>
      <c r="B27" s="335">
        <v>45308</v>
      </c>
      <c r="C27" s="371">
        <v>49020</v>
      </c>
      <c r="D27" s="335">
        <v>94328</v>
      </c>
      <c r="E27" s="1123">
        <v>0.3648832024063538</v>
      </c>
      <c r="F27" s="335">
        <v>9253</v>
      </c>
      <c r="G27" s="371">
        <v>2585</v>
      </c>
      <c r="H27" s="352"/>
      <c r="I27" s="1114"/>
      <c r="J27" s="1121"/>
    </row>
    <row r="28" spans="1:10" ht="20" customHeight="1" thickBot="1">
      <c r="A28" s="1122" t="s">
        <v>522</v>
      </c>
      <c r="B28" s="335">
        <v>58997</v>
      </c>
      <c r="C28" s="371">
        <v>70284</v>
      </c>
      <c r="D28" s="335">
        <v>129281</v>
      </c>
      <c r="E28" s="1123">
        <v>0.37852974130672967</v>
      </c>
      <c r="F28" s="335">
        <v>27171</v>
      </c>
      <c r="G28" s="371">
        <v>19949</v>
      </c>
      <c r="H28" s="352"/>
      <c r="I28" s="1114"/>
      <c r="J28" s="1121"/>
    </row>
    <row r="29" spans="1:10" ht="20" customHeight="1" thickBot="1">
      <c r="A29" s="1122" t="s">
        <v>523</v>
      </c>
      <c r="B29" s="335">
        <v>85506</v>
      </c>
      <c r="C29" s="371">
        <v>102133</v>
      </c>
      <c r="D29" s="335">
        <v>187639</v>
      </c>
      <c r="E29" s="1123">
        <v>0.25743304139689155</v>
      </c>
      <c r="F29" s="335">
        <v>37556</v>
      </c>
      <c r="G29" s="371">
        <v>30369</v>
      </c>
      <c r="H29" s="352">
        <v>15372</v>
      </c>
      <c r="I29" s="1114"/>
      <c r="J29" s="1121"/>
    </row>
    <row r="30" spans="1:10" ht="20" customHeight="1" thickBot="1">
      <c r="A30" s="1122" t="s">
        <v>524</v>
      </c>
      <c r="B30" s="335">
        <v>41967</v>
      </c>
      <c r="C30" s="371">
        <v>50309</v>
      </c>
      <c r="D30" s="335">
        <v>92276</v>
      </c>
      <c r="E30" s="1123">
        <v>0.28107457017150489</v>
      </c>
      <c r="F30" s="335">
        <v>9685</v>
      </c>
      <c r="G30" s="371">
        <v>5099</v>
      </c>
      <c r="H30" s="352">
        <v>14784</v>
      </c>
      <c r="I30" s="1114"/>
      <c r="J30" s="1121"/>
    </row>
    <row r="31" spans="1:10" ht="20" customHeight="1" thickBot="1">
      <c r="A31" s="1122" t="s">
        <v>525</v>
      </c>
      <c r="B31" s="335">
        <v>21654</v>
      </c>
      <c r="C31" s="371">
        <v>26097</v>
      </c>
      <c r="D31" s="335">
        <v>47751</v>
      </c>
      <c r="E31" s="1123">
        <v>0.27076796408586251</v>
      </c>
      <c r="F31" s="335">
        <v>10240</v>
      </c>
      <c r="G31" s="371">
        <v>11400</v>
      </c>
      <c r="H31" s="352"/>
      <c r="I31" s="1114"/>
      <c r="J31" s="1121"/>
    </row>
    <row r="32" spans="1:10" ht="20" customHeight="1" thickBot="1">
      <c r="A32" s="1122" t="s">
        <v>526</v>
      </c>
      <c r="B32" s="335">
        <v>52623</v>
      </c>
      <c r="C32" s="371">
        <v>62290</v>
      </c>
      <c r="D32" s="335">
        <v>114913</v>
      </c>
      <c r="E32" s="1123">
        <v>0.26581755930472956</v>
      </c>
      <c r="F32" s="335">
        <v>27107</v>
      </c>
      <c r="G32" s="371">
        <v>26396</v>
      </c>
      <c r="H32" s="352"/>
      <c r="I32" s="1114"/>
      <c r="J32" s="1121"/>
    </row>
    <row r="33" spans="1:10" ht="20" customHeight="1" thickBot="1">
      <c r="A33" s="1122" t="s">
        <v>527</v>
      </c>
      <c r="B33" s="335">
        <v>9896</v>
      </c>
      <c r="C33" s="371">
        <v>12939</v>
      </c>
      <c r="D33" s="335">
        <v>22835</v>
      </c>
      <c r="E33" s="1123">
        <v>0.31842328669167758</v>
      </c>
      <c r="F33" s="335">
        <v>4374</v>
      </c>
      <c r="G33" s="371">
        <v>1705</v>
      </c>
      <c r="H33" s="352"/>
      <c r="I33" s="1114"/>
      <c r="J33" s="1121"/>
    </row>
    <row r="34" spans="1:10" ht="30" customHeight="1" thickBot="1">
      <c r="A34" s="1124" t="s">
        <v>1676</v>
      </c>
      <c r="B34" s="555">
        <f>SUM(B8:B33)</f>
        <v>1047997</v>
      </c>
      <c r="C34" s="556">
        <f>SUM(C8:C33)</f>
        <v>1205282</v>
      </c>
      <c r="D34" s="555">
        <v>2253279</v>
      </c>
      <c r="E34" s="1125">
        <v>0.28005209174053625</v>
      </c>
      <c r="F34" s="290">
        <f>SUM(F8:F33)</f>
        <v>342004</v>
      </c>
      <c r="G34" s="291">
        <f>SUM(G8:G33)</f>
        <v>259521</v>
      </c>
      <c r="H34" s="619">
        <f>SUM(H8:H33)</f>
        <v>81553</v>
      </c>
      <c r="I34" s="252"/>
      <c r="J34" s="1126"/>
    </row>
    <row r="35" spans="1:10" ht="20" customHeight="1">
      <c r="A35" s="1098" t="s">
        <v>1652</v>
      </c>
      <c r="B35" s="457"/>
      <c r="C35" s="457"/>
      <c r="D35" s="457"/>
      <c r="E35" s="1127"/>
      <c r="F35" s="457"/>
      <c r="G35" s="457"/>
    </row>
    <row r="36" spans="1:10" ht="14.25" customHeight="1">
      <c r="A36" s="1099"/>
      <c r="B36" s="459"/>
      <c r="C36" s="459"/>
      <c r="D36" s="459"/>
      <c r="E36" s="1128"/>
      <c r="F36" s="459"/>
      <c r="G36" s="459"/>
    </row>
    <row r="37" spans="1:10" ht="20" customHeight="1">
      <c r="A37" s="1099" t="s">
        <v>1677</v>
      </c>
      <c r="B37" s="459"/>
      <c r="C37" s="459"/>
      <c r="D37" s="459"/>
      <c r="E37" s="1128"/>
      <c r="F37" s="459"/>
      <c r="G37" s="459"/>
    </row>
    <row r="38" spans="1:10" ht="15.75" customHeight="1">
      <c r="A38" s="1099"/>
      <c r="B38" s="459"/>
      <c r="C38" s="459"/>
      <c r="D38" s="459"/>
      <c r="E38" s="1128"/>
      <c r="F38" s="459"/>
      <c r="G38" s="459"/>
    </row>
    <row r="39" spans="1:10" ht="12.75" customHeight="1">
      <c r="A39" s="219" t="s">
        <v>1678</v>
      </c>
      <c r="B39" s="459"/>
      <c r="C39" s="459"/>
      <c r="D39" s="459"/>
      <c r="E39" s="1128"/>
      <c r="F39" s="459"/>
      <c r="G39" s="459"/>
    </row>
    <row r="40" spans="1:10" ht="12.75" customHeight="1">
      <c r="A40" s="219" t="s">
        <v>1679</v>
      </c>
      <c r="B40" s="459"/>
      <c r="C40" s="459"/>
      <c r="D40" s="459"/>
      <c r="E40" s="1128"/>
      <c r="F40" s="459"/>
      <c r="G40" s="459"/>
    </row>
    <row r="41" spans="1:10" ht="12.75" customHeight="1">
      <c r="A41" s="219" t="s">
        <v>1680</v>
      </c>
      <c r="B41" s="459"/>
      <c r="C41" s="459"/>
      <c r="D41" s="459"/>
      <c r="E41" s="1128"/>
      <c r="F41" s="459"/>
      <c r="G41" s="459"/>
    </row>
    <row r="42" spans="1:10" ht="12.75" customHeight="1">
      <c r="A42" s="219" t="s">
        <v>1681</v>
      </c>
      <c r="B42" s="459"/>
      <c r="C42" s="459"/>
      <c r="D42" s="459"/>
      <c r="E42" s="1128"/>
      <c r="F42" s="459"/>
      <c r="G42" s="459"/>
    </row>
    <row r="43" spans="1:10" ht="12.75" customHeight="1">
      <c r="A43" s="219"/>
      <c r="B43" s="459"/>
      <c r="C43" s="459"/>
      <c r="D43" s="459"/>
      <c r="E43" s="1128"/>
      <c r="F43" s="459"/>
      <c r="G43" s="459"/>
      <c r="H43" s="219"/>
    </row>
    <row r="45" spans="1:10">
      <c r="A45" s="3" t="s">
        <v>302</v>
      </c>
    </row>
  </sheetData>
  <mergeCells count="1">
    <mergeCell ref="B3:D3"/>
  </mergeCells>
  <pageMargins left="0.67" right="0.64" top="0.78740157480314965" bottom="0.47244094488188981" header="0.47244094488188981" footer="0.51181102362204722"/>
  <pageSetup paperSize="9" scale="79" orientation="portrait" horizontalDpi="1200" verticalDpi="1200"/>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F36B8-A05E-7B4F-8091-8668CE8243DA}">
  <sheetPr>
    <pageSetUpPr fitToPage="1"/>
  </sheetPr>
  <dimension ref="A1:K35"/>
  <sheetViews>
    <sheetView zoomScaleNormal="100" workbookViewId="0">
      <selection activeCell="C71" sqref="C71"/>
    </sheetView>
  </sheetViews>
  <sheetFormatPr baseColWidth="10" defaultColWidth="11.3984375" defaultRowHeight="13"/>
  <cols>
    <col min="1" max="1" width="15.59765625" style="3" customWidth="1"/>
    <col min="2" max="4" width="17.19921875" style="3" customWidth="1"/>
    <col min="5" max="5" width="20.19921875" style="245" customWidth="1"/>
    <col min="6" max="6" width="19.59765625" style="3" customWidth="1"/>
    <col min="7" max="16384" width="11.3984375" style="3"/>
  </cols>
  <sheetData>
    <row r="1" spans="1:11" s="1" customFormat="1" ht="14" customHeight="1">
      <c r="E1" s="221"/>
    </row>
    <row r="2" spans="1:11" s="1" customFormat="1" ht="25.25" customHeight="1">
      <c r="A2" s="311" t="s">
        <v>1682</v>
      </c>
      <c r="E2" s="327"/>
      <c r="F2" s="312">
        <v>2013</v>
      </c>
    </row>
    <row r="3" spans="1:11" ht="24" customHeight="1">
      <c r="A3" s="1107" t="s">
        <v>1049</v>
      </c>
      <c r="B3" s="2019" t="s">
        <v>1664</v>
      </c>
      <c r="C3" s="2019"/>
      <c r="D3" s="2019"/>
      <c r="E3" s="1129" t="s">
        <v>1683</v>
      </c>
      <c r="F3" s="665" t="s">
        <v>1684</v>
      </c>
    </row>
    <row r="4" spans="1:11" ht="15" customHeight="1">
      <c r="A4" s="306"/>
      <c r="B4" s="494" t="s">
        <v>1050</v>
      </c>
      <c r="C4" s="495" t="s">
        <v>1051</v>
      </c>
      <c r="D4" s="494" t="s">
        <v>381</v>
      </c>
      <c r="E4" s="1130" t="s">
        <v>1685</v>
      </c>
      <c r="F4" s="665" t="s">
        <v>1686</v>
      </c>
    </row>
    <row r="5" spans="1:11" ht="24" customHeight="1">
      <c r="A5" s="228"/>
      <c r="B5" s="544"/>
      <c r="C5" s="545"/>
      <c r="D5" s="544"/>
      <c r="E5" s="228"/>
      <c r="F5" s="362" t="s">
        <v>1687</v>
      </c>
    </row>
    <row r="6" spans="1:11" ht="25.5" customHeight="1" thickBot="1">
      <c r="A6" s="1131" t="s">
        <v>1688</v>
      </c>
      <c r="B6" s="370">
        <v>333687</v>
      </c>
      <c r="C6" s="371">
        <v>313838</v>
      </c>
      <c r="D6" s="370">
        <v>647525</v>
      </c>
      <c r="E6" s="553">
        <v>0.42710905796518805</v>
      </c>
      <c r="F6" s="1132">
        <v>432.61832690274741</v>
      </c>
      <c r="G6" s="338"/>
      <c r="H6" s="338"/>
      <c r="I6" s="338"/>
    </row>
    <row r="7" spans="1:11" ht="20" customHeight="1" thickBot="1">
      <c r="A7" s="339" t="s">
        <v>1689</v>
      </c>
      <c r="B7" s="370">
        <v>142731</v>
      </c>
      <c r="C7" s="371">
        <v>149000</v>
      </c>
      <c r="D7" s="349">
        <v>291731</v>
      </c>
      <c r="E7" s="553">
        <v>0.43531292024701601</v>
      </c>
      <c r="F7" s="1133">
        <v>546.60276710033929</v>
      </c>
      <c r="G7" s="338"/>
      <c r="H7" s="338"/>
      <c r="I7" s="1134"/>
    </row>
    <row r="8" spans="1:11" ht="20" customHeight="1" thickBot="1">
      <c r="A8" s="339" t="s">
        <v>1060</v>
      </c>
      <c r="B8" s="370">
        <v>72237</v>
      </c>
      <c r="C8" s="371">
        <v>87827</v>
      </c>
      <c r="D8" s="349">
        <v>160064</v>
      </c>
      <c r="E8" s="553">
        <v>0.29783745195058187</v>
      </c>
      <c r="F8" s="1133">
        <v>287.82702308342499</v>
      </c>
      <c r="G8" s="338"/>
      <c r="H8" s="338"/>
      <c r="I8" s="1134"/>
    </row>
    <row r="9" spans="1:11" ht="20" customHeight="1" thickBot="1">
      <c r="A9" s="339" t="s">
        <v>1061</v>
      </c>
      <c r="B9" s="370">
        <v>62003</v>
      </c>
      <c r="C9" s="371">
        <v>80170</v>
      </c>
      <c r="D9" s="349">
        <v>142173</v>
      </c>
      <c r="E9" s="553">
        <v>0.25188477304078716</v>
      </c>
      <c r="F9" s="1133">
        <v>252.48100080344324</v>
      </c>
      <c r="G9" s="338"/>
      <c r="H9" s="338"/>
      <c r="I9" s="1134"/>
    </row>
    <row r="10" spans="1:11" ht="20" customHeight="1" thickBot="1">
      <c r="A10" s="339" t="s">
        <v>1062</v>
      </c>
      <c r="B10" s="370">
        <v>60980</v>
      </c>
      <c r="C10" s="371">
        <v>78530</v>
      </c>
      <c r="D10" s="349">
        <v>139510</v>
      </c>
      <c r="E10" s="553">
        <v>0.24999382675985105</v>
      </c>
      <c r="F10" s="1133">
        <v>248.40877443228436</v>
      </c>
      <c r="G10" s="338"/>
      <c r="H10" s="338"/>
      <c r="I10" s="1134"/>
    </row>
    <row r="11" spans="1:11" ht="20" customHeight="1" thickBot="1">
      <c r="A11" s="339" t="s">
        <v>1063</v>
      </c>
      <c r="B11" s="370">
        <v>64963</v>
      </c>
      <c r="C11" s="371">
        <v>80142</v>
      </c>
      <c r="D11" s="349">
        <v>145105</v>
      </c>
      <c r="E11" s="553">
        <v>0.23522226132911978</v>
      </c>
      <c r="F11" s="1133">
        <v>263.33698404779545</v>
      </c>
      <c r="G11" s="338"/>
      <c r="H11" s="338"/>
      <c r="I11" s="1134"/>
    </row>
    <row r="12" spans="1:11" ht="20" customHeight="1" thickBot="1">
      <c r="A12" s="339" t="s">
        <v>1064</v>
      </c>
      <c r="B12" s="370">
        <v>65537</v>
      </c>
      <c r="C12" s="371">
        <v>73921</v>
      </c>
      <c r="D12" s="349">
        <v>139458</v>
      </c>
      <c r="E12" s="553">
        <v>0.20923469190950039</v>
      </c>
      <c r="F12" s="1133">
        <v>261.32560657310455</v>
      </c>
      <c r="G12" s="338"/>
      <c r="H12" s="338"/>
      <c r="I12" s="1134"/>
    </row>
    <row r="13" spans="1:11" ht="20" customHeight="1" thickBot="1">
      <c r="A13" s="339" t="s">
        <v>1065</v>
      </c>
      <c r="B13" s="370">
        <v>50335</v>
      </c>
      <c r="C13" s="371">
        <v>55972</v>
      </c>
      <c r="D13" s="349">
        <v>106307</v>
      </c>
      <c r="E13" s="553">
        <v>0.17804743926608019</v>
      </c>
      <c r="F13" s="1133">
        <v>217.59468496006679</v>
      </c>
      <c r="G13" s="338"/>
      <c r="H13" s="338"/>
      <c r="I13" s="1134"/>
    </row>
    <row r="14" spans="1:11" ht="20" customHeight="1" thickBot="1">
      <c r="A14" s="339" t="s">
        <v>1066</v>
      </c>
      <c r="B14" s="370">
        <v>38541</v>
      </c>
      <c r="C14" s="371">
        <v>42838</v>
      </c>
      <c r="D14" s="349">
        <v>81379</v>
      </c>
      <c r="E14" s="553">
        <v>0.16037965946277633</v>
      </c>
      <c r="F14" s="1133">
        <v>181.11884968873846</v>
      </c>
      <c r="G14" s="338"/>
      <c r="H14" s="338"/>
      <c r="I14" s="1134"/>
    </row>
    <row r="15" spans="1:11" ht="20" customHeight="1" thickBot="1">
      <c r="A15" s="339" t="s">
        <v>1067</v>
      </c>
      <c r="B15" s="370">
        <v>33540</v>
      </c>
      <c r="C15" s="371">
        <v>40230</v>
      </c>
      <c r="D15" s="349">
        <v>73770</v>
      </c>
      <c r="E15" s="553">
        <v>0.1631060954629443</v>
      </c>
      <c r="F15" s="1133">
        <v>172.56847100449482</v>
      </c>
      <c r="G15" s="338"/>
      <c r="H15" s="338"/>
      <c r="I15" s="1134"/>
    </row>
    <row r="16" spans="1:11" ht="20" customHeight="1" thickBot="1">
      <c r="A16" s="339" t="s">
        <v>1068</v>
      </c>
      <c r="B16" s="370">
        <v>29752</v>
      </c>
      <c r="C16" s="371">
        <v>36214</v>
      </c>
      <c r="D16" s="349">
        <v>65966</v>
      </c>
      <c r="E16" s="553">
        <v>0.15934162819964684</v>
      </c>
      <c r="F16" s="1133">
        <v>166.63835523846882</v>
      </c>
      <c r="G16" s="338"/>
      <c r="H16" s="338"/>
      <c r="I16" s="1134"/>
      <c r="K16" s="1135"/>
    </row>
    <row r="17" spans="1:9" ht="20" customHeight="1" thickBot="1">
      <c r="A17" s="339" t="s">
        <v>1069</v>
      </c>
      <c r="B17" s="370">
        <v>24868</v>
      </c>
      <c r="C17" s="371">
        <v>35945</v>
      </c>
      <c r="D17" s="349">
        <v>60813</v>
      </c>
      <c r="E17" s="553">
        <v>0.18977871258487861</v>
      </c>
      <c r="F17" s="1133">
        <v>153.48676872296562</v>
      </c>
      <c r="G17" s="338"/>
      <c r="H17" s="338"/>
      <c r="I17" s="1134"/>
    </row>
    <row r="18" spans="1:9" ht="20" customHeight="1" thickBot="1">
      <c r="A18" s="339" t="s">
        <v>1070</v>
      </c>
      <c r="B18" s="370">
        <v>22180</v>
      </c>
      <c r="C18" s="371">
        <v>35908</v>
      </c>
      <c r="D18" s="349">
        <v>58088</v>
      </c>
      <c r="E18" s="553">
        <v>0.22713697147680792</v>
      </c>
      <c r="F18" s="1133">
        <v>150.47236036618708</v>
      </c>
      <c r="G18" s="338"/>
      <c r="H18" s="338"/>
      <c r="I18" s="1134"/>
    </row>
    <row r="19" spans="1:9" ht="20" customHeight="1" thickBot="1">
      <c r="A19" s="339" t="s">
        <v>1071</v>
      </c>
      <c r="B19" s="370">
        <v>16560</v>
      </c>
      <c r="C19" s="371">
        <v>32746</v>
      </c>
      <c r="D19" s="349">
        <v>49306</v>
      </c>
      <c r="E19" s="553">
        <v>0.25308434028197152</v>
      </c>
      <c r="F19" s="1133">
        <v>135.78977962439305</v>
      </c>
      <c r="G19" s="338"/>
      <c r="H19" s="338"/>
      <c r="I19" s="1134"/>
    </row>
    <row r="20" spans="1:9" ht="20" customHeight="1" thickBot="1">
      <c r="A20" s="339" t="s">
        <v>1072</v>
      </c>
      <c r="B20" s="370">
        <v>9435</v>
      </c>
      <c r="C20" s="371">
        <v>25863</v>
      </c>
      <c r="D20" s="349">
        <v>35298</v>
      </c>
      <c r="E20" s="553">
        <v>0.30003174736745475</v>
      </c>
      <c r="F20" s="1133">
        <v>103.89676439280638</v>
      </c>
      <c r="G20" s="338"/>
      <c r="H20" s="338"/>
      <c r="I20" s="1134"/>
    </row>
    <row r="21" spans="1:9" ht="20" customHeight="1" thickBot="1">
      <c r="A21" s="339" t="s">
        <v>1690</v>
      </c>
      <c r="B21" s="370">
        <v>4429</v>
      </c>
      <c r="C21" s="371">
        <v>17742</v>
      </c>
      <c r="D21" s="349">
        <v>22171</v>
      </c>
      <c r="E21" s="553">
        <v>0.38909816133525027</v>
      </c>
      <c r="F21" s="1133">
        <v>69.48224560593107</v>
      </c>
      <c r="G21" s="338"/>
      <c r="H21" s="338"/>
      <c r="I21" s="1134"/>
    </row>
    <row r="22" spans="1:9" ht="20" customHeight="1" thickBot="1">
      <c r="A22" s="339" t="s">
        <v>1691</v>
      </c>
      <c r="B22" s="370">
        <v>16219</v>
      </c>
      <c r="C22" s="371">
        <v>18396</v>
      </c>
      <c r="D22" s="349">
        <v>34615</v>
      </c>
      <c r="E22" s="308" t="s">
        <v>153</v>
      </c>
      <c r="F22" s="1133">
        <v>371.07353582000002</v>
      </c>
      <c r="G22" s="338"/>
      <c r="H22" s="338"/>
      <c r="I22" s="1134"/>
    </row>
    <row r="23" spans="1:9" ht="30" customHeight="1" thickBot="1">
      <c r="A23" s="354" t="s">
        <v>1692</v>
      </c>
      <c r="B23" s="290">
        <v>1047997</v>
      </c>
      <c r="C23" s="291">
        <v>1205282</v>
      </c>
      <c r="D23" s="290">
        <v>2253279</v>
      </c>
      <c r="E23" s="558">
        <v>0.28005208582339969</v>
      </c>
      <c r="F23" s="325">
        <v>4014.7222983671913</v>
      </c>
      <c r="G23" s="338"/>
      <c r="H23" s="338"/>
      <c r="I23" s="1134"/>
    </row>
    <row r="24" spans="1:9" ht="20" customHeight="1">
      <c r="A24" s="1098" t="s">
        <v>1652</v>
      </c>
      <c r="B24" s="189"/>
      <c r="C24" s="189"/>
      <c r="D24" s="189"/>
      <c r="E24" s="301"/>
    </row>
    <row r="26" spans="1:9">
      <c r="A26" s="1099" t="s">
        <v>1693</v>
      </c>
    </row>
    <row r="27" spans="1:9">
      <c r="A27" s="1099"/>
    </row>
    <row r="28" spans="1:9">
      <c r="A28" s="1099" t="s">
        <v>1694</v>
      </c>
    </row>
    <row r="29" spans="1:9">
      <c r="A29" s="3" t="s">
        <v>1695</v>
      </c>
      <c r="B29" s="17"/>
      <c r="C29" s="17"/>
      <c r="D29" s="17"/>
    </row>
    <row r="30" spans="1:9">
      <c r="A30" s="3" t="s">
        <v>1696</v>
      </c>
      <c r="B30" s="17"/>
      <c r="C30" s="17"/>
      <c r="D30" s="17"/>
    </row>
    <row r="31" spans="1:9">
      <c r="A31" s="3" t="s">
        <v>1697</v>
      </c>
      <c r="B31" s="17"/>
      <c r="C31" s="17"/>
      <c r="D31" s="17"/>
    </row>
    <row r="32" spans="1:9">
      <c r="A32" s="219" t="s">
        <v>1698</v>
      </c>
    </row>
    <row r="33" spans="1:1">
      <c r="A33" s="219"/>
    </row>
    <row r="35" spans="1:1">
      <c r="A35" s="3" t="s">
        <v>302</v>
      </c>
    </row>
  </sheetData>
  <mergeCells count="1">
    <mergeCell ref="B3:D3"/>
  </mergeCells>
  <pageMargins left="0.59055118110236227" right="0.59055118110236227" top="0.78740157480314965" bottom="0.47244094488188981" header="0.47244094488188981" footer="0.51181102362204722"/>
  <pageSetup paperSize="9" scale="85" orientation="portrait" horizontalDpi="1200" verticalDpi="1200"/>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EF5F6-D1DA-364E-8E82-977417214B9F}">
  <sheetPr>
    <pageSetUpPr fitToPage="1"/>
  </sheetPr>
  <dimension ref="A1:O53"/>
  <sheetViews>
    <sheetView zoomScaleNormal="100" workbookViewId="0">
      <selection activeCell="G63" sqref="G63"/>
    </sheetView>
  </sheetViews>
  <sheetFormatPr baseColWidth="10" defaultColWidth="11.3984375" defaultRowHeight="13"/>
  <cols>
    <col min="1" max="1" width="15.3984375" style="3" customWidth="1"/>
    <col min="2" max="10" width="10.59765625" style="3" customWidth="1"/>
    <col min="11" max="11" width="11.59765625" style="200" customWidth="1"/>
    <col min="12" max="12" width="13.3984375" style="3" customWidth="1"/>
    <col min="13" max="16384" width="11.3984375" style="3"/>
  </cols>
  <sheetData>
    <row r="1" spans="1:15" s="1" customFormat="1" ht="14" customHeight="1">
      <c r="K1" s="194"/>
    </row>
    <row r="2" spans="1:15" s="1" customFormat="1" ht="25.25" customHeight="1">
      <c r="A2" s="311" t="s">
        <v>1699</v>
      </c>
      <c r="I2" s="327"/>
      <c r="K2" s="312"/>
      <c r="L2" s="1136">
        <v>2013</v>
      </c>
    </row>
    <row r="3" spans="1:15" ht="24" customHeight="1">
      <c r="A3" s="1137" t="s">
        <v>1700</v>
      </c>
      <c r="B3" s="1138" t="s">
        <v>1701</v>
      </c>
      <c r="C3" s="1138"/>
      <c r="D3" s="1138"/>
      <c r="E3" s="1138"/>
      <c r="F3" s="1138"/>
      <c r="G3" s="1139"/>
      <c r="H3" s="1139"/>
      <c r="I3" s="1139"/>
      <c r="J3" s="1140"/>
      <c r="K3" s="1141" t="s">
        <v>1702</v>
      </c>
      <c r="L3" s="1142" t="s">
        <v>475</v>
      </c>
    </row>
    <row r="4" spans="1:15" ht="15" customHeight="1">
      <c r="A4" s="1143"/>
      <c r="B4" s="1144"/>
      <c r="C4" s="1145"/>
      <c r="D4" s="1145"/>
      <c r="E4" s="1145"/>
      <c r="F4" s="1145"/>
      <c r="G4" s="1145"/>
      <c r="H4" s="1145"/>
      <c r="I4" s="1145"/>
      <c r="J4" s="1146"/>
      <c r="K4" s="1141" t="s">
        <v>1703</v>
      </c>
      <c r="L4" s="332" t="s">
        <v>476</v>
      </c>
    </row>
    <row r="5" spans="1:15" ht="15" customHeight="1">
      <c r="A5" s="1143"/>
      <c r="B5" s="1147"/>
      <c r="C5" s="1148"/>
      <c r="D5" s="1148"/>
      <c r="E5" s="1148"/>
      <c r="F5" s="1148"/>
      <c r="G5" s="1148"/>
      <c r="H5" s="1148"/>
      <c r="I5" s="1148"/>
      <c r="J5" s="1149"/>
      <c r="K5" s="1150"/>
      <c r="L5" s="332" t="s">
        <v>477</v>
      </c>
    </row>
    <row r="6" spans="1:15" ht="18" customHeight="1">
      <c r="A6" s="269"/>
      <c r="B6" s="1151" t="s">
        <v>1704</v>
      </c>
      <c r="C6" s="1152" t="s">
        <v>1704</v>
      </c>
      <c r="D6" s="1151" t="s">
        <v>1704</v>
      </c>
      <c r="E6" s="1152" t="s">
        <v>1704</v>
      </c>
      <c r="F6" s="1151" t="s">
        <v>1705</v>
      </c>
      <c r="G6" s="1152" t="s">
        <v>1705</v>
      </c>
      <c r="H6" s="1151" t="s">
        <v>1705</v>
      </c>
      <c r="I6" s="1152" t="s">
        <v>1705</v>
      </c>
      <c r="J6" s="1153" t="s">
        <v>1647</v>
      </c>
      <c r="K6" s="1150"/>
      <c r="L6" s="332"/>
    </row>
    <row r="7" spans="1:15" ht="15" customHeight="1">
      <c r="A7" s="269"/>
      <c r="B7" s="1154" t="s">
        <v>1706</v>
      </c>
      <c r="C7" s="1155" t="s">
        <v>1707</v>
      </c>
      <c r="D7" s="1154" t="s">
        <v>1708</v>
      </c>
      <c r="E7" s="1155" t="s">
        <v>1707</v>
      </c>
      <c r="F7" s="1154" t="s">
        <v>1709</v>
      </c>
      <c r="G7" s="1155" t="s">
        <v>1710</v>
      </c>
      <c r="H7" s="1154" t="s">
        <v>1711</v>
      </c>
      <c r="I7" s="1155" t="s">
        <v>1710</v>
      </c>
      <c r="J7" s="1156" t="s">
        <v>1712</v>
      </c>
      <c r="K7" s="1141"/>
      <c r="L7" s="332"/>
    </row>
    <row r="8" spans="1:15" ht="15" customHeight="1">
      <c r="A8" s="269"/>
      <c r="B8" s="1157" t="s">
        <v>1713</v>
      </c>
      <c r="C8" s="1158" t="s">
        <v>1714</v>
      </c>
      <c r="D8" s="1156" t="s">
        <v>1715</v>
      </c>
      <c r="E8" s="1159" t="s">
        <v>1716</v>
      </c>
      <c r="F8" s="1156" t="s">
        <v>495</v>
      </c>
      <c r="G8" s="1159" t="s">
        <v>1714</v>
      </c>
      <c r="H8" s="1156" t="s">
        <v>1715</v>
      </c>
      <c r="I8" s="1159" t="s">
        <v>1716</v>
      </c>
      <c r="J8" s="1156" t="s">
        <v>1717</v>
      </c>
      <c r="K8" s="1141"/>
      <c r="L8" s="332"/>
    </row>
    <row r="9" spans="1:15" ht="18" customHeight="1">
      <c r="A9" s="269"/>
      <c r="B9" s="1147"/>
      <c r="C9" s="1160"/>
      <c r="D9" s="1147"/>
      <c r="E9" s="1160" t="s">
        <v>495</v>
      </c>
      <c r="F9" s="1147"/>
      <c r="G9" s="1161"/>
      <c r="H9" s="1147"/>
      <c r="I9" s="1160" t="s">
        <v>495</v>
      </c>
      <c r="J9" s="1162" t="s">
        <v>1121</v>
      </c>
      <c r="K9" s="1163"/>
      <c r="L9" s="274"/>
    </row>
    <row r="10" spans="1:15" ht="27" customHeight="1" thickBot="1">
      <c r="A10" s="1119" t="s">
        <v>502</v>
      </c>
      <c r="B10" s="287">
        <v>195852</v>
      </c>
      <c r="C10" s="288">
        <v>14329</v>
      </c>
      <c r="D10" s="287">
        <v>6798</v>
      </c>
      <c r="E10" s="288">
        <v>1501</v>
      </c>
      <c r="F10" s="287">
        <v>20698</v>
      </c>
      <c r="G10" s="288">
        <v>11788</v>
      </c>
      <c r="H10" s="287">
        <v>16870</v>
      </c>
      <c r="I10" s="288">
        <v>7147</v>
      </c>
      <c r="J10" s="287"/>
      <c r="K10" s="1164">
        <v>274983</v>
      </c>
      <c r="L10" s="1165">
        <v>-1.7595066950569449E-2</v>
      </c>
      <c r="O10" s="6"/>
    </row>
    <row r="11" spans="1:15" ht="20" customHeight="1" thickBot="1">
      <c r="A11" s="1122" t="s">
        <v>1718</v>
      </c>
      <c r="B11" s="287">
        <v>88275</v>
      </c>
      <c r="C11" s="288">
        <v>9063</v>
      </c>
      <c r="D11" s="287">
        <v>5927</v>
      </c>
      <c r="E11" s="288">
        <v>1526</v>
      </c>
      <c r="F11" s="287">
        <v>12735</v>
      </c>
      <c r="G11" s="288">
        <v>5821</v>
      </c>
      <c r="H11" s="287">
        <v>11471</v>
      </c>
      <c r="I11" s="288">
        <v>6943</v>
      </c>
      <c r="J11" s="287">
        <v>2</v>
      </c>
      <c r="K11" s="1164">
        <v>141763</v>
      </c>
      <c r="L11" s="1165">
        <v>-7.7838273845533323E-2</v>
      </c>
    </row>
    <row r="12" spans="1:15" ht="20" customHeight="1" thickBot="1">
      <c r="A12" s="1122" t="s">
        <v>504</v>
      </c>
      <c r="B12" s="287">
        <v>23563</v>
      </c>
      <c r="C12" s="288">
        <v>4405</v>
      </c>
      <c r="D12" s="287">
        <v>2684</v>
      </c>
      <c r="E12" s="288">
        <v>761</v>
      </c>
      <c r="F12" s="287">
        <v>5578</v>
      </c>
      <c r="G12" s="288">
        <v>6960</v>
      </c>
      <c r="H12" s="287">
        <v>11876</v>
      </c>
      <c r="I12" s="288">
        <v>5702</v>
      </c>
      <c r="J12" s="287"/>
      <c r="K12" s="1164">
        <v>61529</v>
      </c>
      <c r="L12" s="1165">
        <v>9.2722700756731058E-4</v>
      </c>
    </row>
    <row r="13" spans="1:15" ht="20" customHeight="1" thickBot="1">
      <c r="A13" s="1122" t="s">
        <v>505</v>
      </c>
      <c r="B13" s="287">
        <v>3572</v>
      </c>
      <c r="C13" s="288">
        <v>163</v>
      </c>
      <c r="D13" s="287">
        <v>95</v>
      </c>
      <c r="E13" s="288">
        <v>95</v>
      </c>
      <c r="F13" s="287">
        <v>1099</v>
      </c>
      <c r="G13" s="288">
        <v>521</v>
      </c>
      <c r="H13" s="287">
        <v>857</v>
      </c>
      <c r="I13" s="288">
        <v>338</v>
      </c>
      <c r="J13" s="287">
        <v>103</v>
      </c>
      <c r="K13" s="1164">
        <v>6843</v>
      </c>
      <c r="L13" s="1165">
        <v>-8.2461786001609028E-2</v>
      </c>
    </row>
    <row r="14" spans="1:15" ht="20" customHeight="1" thickBot="1">
      <c r="A14" s="1122" t="s">
        <v>506</v>
      </c>
      <c r="B14" s="287">
        <v>8337</v>
      </c>
      <c r="C14" s="288">
        <v>857</v>
      </c>
      <c r="D14" s="287">
        <v>585</v>
      </c>
      <c r="E14" s="288">
        <v>161</v>
      </c>
      <c r="F14" s="287">
        <v>1439</v>
      </c>
      <c r="G14" s="288">
        <v>1135</v>
      </c>
      <c r="H14" s="287">
        <v>2214</v>
      </c>
      <c r="I14" s="288">
        <v>1249</v>
      </c>
      <c r="J14" s="287">
        <v>3602</v>
      </c>
      <c r="K14" s="1164">
        <v>19579</v>
      </c>
      <c r="L14" s="1165">
        <v>7.6685537828100614E-3</v>
      </c>
    </row>
    <row r="15" spans="1:15" ht="20" customHeight="1" thickBot="1">
      <c r="A15" s="1122" t="s">
        <v>507</v>
      </c>
      <c r="B15" s="287">
        <v>4776</v>
      </c>
      <c r="C15" s="288" t="s">
        <v>153</v>
      </c>
      <c r="D15" s="287" t="s">
        <v>153</v>
      </c>
      <c r="E15" s="288" t="s">
        <v>153</v>
      </c>
      <c r="F15" s="287">
        <v>1155</v>
      </c>
      <c r="G15" s="288">
        <v>496</v>
      </c>
      <c r="H15" s="287">
        <v>592</v>
      </c>
      <c r="I15" s="288">
        <v>277</v>
      </c>
      <c r="J15" s="287"/>
      <c r="K15" s="1164">
        <v>7296</v>
      </c>
      <c r="L15" s="1165">
        <v>1.530754244364041E-2</v>
      </c>
    </row>
    <row r="16" spans="1:15" ht="20" customHeight="1" thickBot="1">
      <c r="A16" s="1122" t="s">
        <v>508</v>
      </c>
      <c r="B16" s="287">
        <v>5150</v>
      </c>
      <c r="C16" s="288">
        <v>367</v>
      </c>
      <c r="D16" s="287">
        <v>186</v>
      </c>
      <c r="E16" s="288">
        <v>39</v>
      </c>
      <c r="F16" s="287">
        <v>1349</v>
      </c>
      <c r="G16" s="288">
        <v>850</v>
      </c>
      <c r="H16" s="287">
        <v>1084</v>
      </c>
      <c r="I16" s="288">
        <v>408</v>
      </c>
      <c r="J16" s="287">
        <v>876</v>
      </c>
      <c r="K16" s="1164">
        <v>10309</v>
      </c>
      <c r="L16" s="1165">
        <v>1.2373563782775321E-2</v>
      </c>
    </row>
    <row r="17" spans="1:12" ht="20" customHeight="1" thickBot="1">
      <c r="A17" s="1122" t="s">
        <v>1719</v>
      </c>
      <c r="B17" s="287" t="s">
        <v>153</v>
      </c>
      <c r="C17" s="288" t="s">
        <v>153</v>
      </c>
      <c r="D17" s="287" t="s">
        <v>153</v>
      </c>
      <c r="E17" s="288" t="s">
        <v>153</v>
      </c>
      <c r="F17" s="287" t="s">
        <v>153</v>
      </c>
      <c r="G17" s="288" t="s">
        <v>153</v>
      </c>
      <c r="H17" s="287" t="s">
        <v>153</v>
      </c>
      <c r="I17" s="288" t="s">
        <v>153</v>
      </c>
      <c r="J17" s="287">
        <v>6378</v>
      </c>
      <c r="K17" s="1164">
        <v>6378</v>
      </c>
      <c r="L17" s="1165" t="s">
        <v>153</v>
      </c>
    </row>
    <row r="18" spans="1:12" ht="20" customHeight="1" thickBot="1">
      <c r="A18" s="1122" t="s">
        <v>510</v>
      </c>
      <c r="B18" s="287">
        <v>9204</v>
      </c>
      <c r="C18" s="288">
        <v>819</v>
      </c>
      <c r="D18" s="287">
        <v>453</v>
      </c>
      <c r="E18" s="288">
        <v>126</v>
      </c>
      <c r="F18" s="287">
        <v>2259</v>
      </c>
      <c r="G18" s="288">
        <v>1001</v>
      </c>
      <c r="H18" s="287">
        <v>1497</v>
      </c>
      <c r="I18" s="288">
        <v>577</v>
      </c>
      <c r="J18" s="287">
        <v>2360</v>
      </c>
      <c r="K18" s="1164">
        <v>18296</v>
      </c>
      <c r="L18" s="1165">
        <v>0.10676910047789012</v>
      </c>
    </row>
    <row r="19" spans="1:12" ht="20" customHeight="1" thickBot="1">
      <c r="A19" s="1122" t="s">
        <v>511</v>
      </c>
      <c r="B19" s="287">
        <v>28396</v>
      </c>
      <c r="C19" s="288">
        <v>3056</v>
      </c>
      <c r="D19" s="287">
        <v>2001</v>
      </c>
      <c r="E19" s="288">
        <v>629</v>
      </c>
      <c r="F19" s="287">
        <v>4392</v>
      </c>
      <c r="G19" s="288">
        <v>1786</v>
      </c>
      <c r="H19" s="287">
        <v>3122</v>
      </c>
      <c r="I19" s="288">
        <v>2056</v>
      </c>
      <c r="J19" s="287"/>
      <c r="K19" s="1164">
        <v>45438</v>
      </c>
      <c r="L19" s="1165">
        <v>-7.150467344482403E-2</v>
      </c>
    </row>
    <row r="20" spans="1:12" ht="20" customHeight="1" thickBot="1">
      <c r="A20" s="1122" t="s">
        <v>512</v>
      </c>
      <c r="B20" s="287">
        <v>20800</v>
      </c>
      <c r="C20" s="288">
        <v>3087</v>
      </c>
      <c r="D20" s="287">
        <v>1585</v>
      </c>
      <c r="E20" s="288">
        <v>423</v>
      </c>
      <c r="F20" s="287">
        <v>3900</v>
      </c>
      <c r="G20" s="288">
        <v>2330</v>
      </c>
      <c r="H20" s="287">
        <v>3520</v>
      </c>
      <c r="I20" s="288">
        <v>1739</v>
      </c>
      <c r="J20" s="287"/>
      <c r="K20" s="1164">
        <v>37384</v>
      </c>
      <c r="L20" s="1165">
        <v>-7.4653465346534609E-2</v>
      </c>
    </row>
    <row r="21" spans="1:12" ht="20" customHeight="1" thickBot="1">
      <c r="A21" s="1122" t="s">
        <v>513</v>
      </c>
      <c r="B21" s="287">
        <v>21519</v>
      </c>
      <c r="C21" s="288">
        <v>1993</v>
      </c>
      <c r="D21" s="287">
        <v>871</v>
      </c>
      <c r="E21" s="288">
        <v>222</v>
      </c>
      <c r="F21" s="287">
        <v>2875</v>
      </c>
      <c r="G21" s="288">
        <v>1521</v>
      </c>
      <c r="H21" s="287">
        <v>1845</v>
      </c>
      <c r="I21" s="288">
        <v>850</v>
      </c>
      <c r="J21" s="287"/>
      <c r="K21" s="1164">
        <v>31696</v>
      </c>
      <c r="L21" s="1165">
        <v>2.1035338079438137E-2</v>
      </c>
    </row>
    <row r="22" spans="1:12" ht="20" customHeight="1" thickBot="1">
      <c r="A22" s="1122" t="s">
        <v>514</v>
      </c>
      <c r="B22" s="287">
        <v>21022</v>
      </c>
      <c r="C22" s="288" t="s">
        <v>153</v>
      </c>
      <c r="D22" s="287" t="s">
        <v>153</v>
      </c>
      <c r="E22" s="288" t="s">
        <v>153</v>
      </c>
      <c r="F22" s="287">
        <v>3889</v>
      </c>
      <c r="G22" s="288">
        <v>2543</v>
      </c>
      <c r="H22" s="287">
        <v>3113</v>
      </c>
      <c r="I22" s="288">
        <v>1136</v>
      </c>
      <c r="J22" s="287">
        <v>266</v>
      </c>
      <c r="K22" s="1164">
        <v>31969</v>
      </c>
      <c r="L22" s="1165">
        <v>-1.3363372631319037E-2</v>
      </c>
    </row>
    <row r="23" spans="1:12" ht="20" customHeight="1" thickBot="1">
      <c r="A23" s="1122" t="s">
        <v>515</v>
      </c>
      <c r="B23" s="287">
        <v>5424</v>
      </c>
      <c r="C23" s="288">
        <v>437</v>
      </c>
      <c r="D23" s="287">
        <v>252</v>
      </c>
      <c r="E23" s="288">
        <v>51</v>
      </c>
      <c r="F23" s="287">
        <v>1087</v>
      </c>
      <c r="G23" s="288">
        <v>601</v>
      </c>
      <c r="H23" s="287">
        <v>757</v>
      </c>
      <c r="I23" s="288">
        <v>372</v>
      </c>
      <c r="J23" s="287">
        <v>2518</v>
      </c>
      <c r="K23" s="1164">
        <v>11499</v>
      </c>
      <c r="L23" s="1165">
        <v>-8.5784703450469069E-2</v>
      </c>
    </row>
    <row r="24" spans="1:12" ht="20" customHeight="1" thickBot="1">
      <c r="A24" s="1122" t="s">
        <v>516</v>
      </c>
      <c r="B24" s="287">
        <v>3751</v>
      </c>
      <c r="C24" s="288">
        <v>423</v>
      </c>
      <c r="D24" s="287">
        <v>294</v>
      </c>
      <c r="E24" s="288">
        <v>105</v>
      </c>
      <c r="F24" s="287">
        <v>607</v>
      </c>
      <c r="G24" s="288">
        <v>372</v>
      </c>
      <c r="H24" s="287">
        <v>841</v>
      </c>
      <c r="I24" s="288">
        <v>678</v>
      </c>
      <c r="J24" s="287"/>
      <c r="K24" s="1164">
        <v>7071</v>
      </c>
      <c r="L24" s="1165">
        <v>-1.7370761534185708E-2</v>
      </c>
    </row>
    <row r="25" spans="1:12" ht="20" customHeight="1" thickBot="1">
      <c r="A25" s="1122" t="s">
        <v>517</v>
      </c>
      <c r="B25" s="287">
        <v>1138</v>
      </c>
      <c r="C25" s="288">
        <v>71</v>
      </c>
      <c r="D25" s="287">
        <v>34</v>
      </c>
      <c r="E25" s="288">
        <v>17</v>
      </c>
      <c r="F25" s="287">
        <v>362</v>
      </c>
      <c r="G25" s="288">
        <v>212</v>
      </c>
      <c r="H25" s="287">
        <v>349</v>
      </c>
      <c r="I25" s="288">
        <v>374</v>
      </c>
      <c r="J25" s="287"/>
      <c r="K25" s="1164">
        <v>2557</v>
      </c>
      <c r="L25" s="1165">
        <v>0.1920745920745921</v>
      </c>
    </row>
    <row r="26" spans="1:12" ht="20" customHeight="1" thickBot="1">
      <c r="A26" s="1122" t="s">
        <v>518</v>
      </c>
      <c r="B26" s="287">
        <v>33485</v>
      </c>
      <c r="C26" s="288">
        <v>3782</v>
      </c>
      <c r="D26" s="287">
        <v>2103</v>
      </c>
      <c r="E26" s="288">
        <v>741</v>
      </c>
      <c r="F26" s="287">
        <v>7410</v>
      </c>
      <c r="G26" s="288">
        <v>4808</v>
      </c>
      <c r="H26" s="287">
        <v>7417</v>
      </c>
      <c r="I26" s="288">
        <v>4756</v>
      </c>
      <c r="J26" s="287">
        <v>5894</v>
      </c>
      <c r="K26" s="1164">
        <v>70396</v>
      </c>
      <c r="L26" s="1165">
        <v>5.3986117855409077E-3</v>
      </c>
    </row>
    <row r="27" spans="1:12" ht="20" customHeight="1" thickBot="1">
      <c r="A27" s="1122" t="s">
        <v>519</v>
      </c>
      <c r="B27" s="287">
        <v>15710</v>
      </c>
      <c r="C27" s="288">
        <v>1460</v>
      </c>
      <c r="D27" s="287">
        <v>816</v>
      </c>
      <c r="E27" s="288">
        <v>171</v>
      </c>
      <c r="F27" s="287">
        <v>4481</v>
      </c>
      <c r="G27" s="288">
        <v>2429</v>
      </c>
      <c r="H27" s="287">
        <v>3667</v>
      </c>
      <c r="I27" s="288">
        <v>1460</v>
      </c>
      <c r="J27" s="287">
        <v>280</v>
      </c>
      <c r="K27" s="1164">
        <v>30474</v>
      </c>
      <c r="L27" s="1165">
        <v>-4.6107615738567032E-2</v>
      </c>
    </row>
    <row r="28" spans="1:12" ht="20" customHeight="1" thickBot="1">
      <c r="A28" s="1122" t="s">
        <v>520</v>
      </c>
      <c r="B28" s="287">
        <v>38656</v>
      </c>
      <c r="C28" s="288">
        <v>6402</v>
      </c>
      <c r="D28" s="287">
        <v>2841</v>
      </c>
      <c r="E28" s="288">
        <v>1048</v>
      </c>
      <c r="F28" s="287">
        <v>7849</v>
      </c>
      <c r="G28" s="288">
        <v>5920</v>
      </c>
      <c r="H28" s="287">
        <v>11958</v>
      </c>
      <c r="I28" s="288">
        <v>6245</v>
      </c>
      <c r="J28" s="287"/>
      <c r="K28" s="1164">
        <v>80919</v>
      </c>
      <c r="L28" s="1165">
        <v>7.6580232295145212E-2</v>
      </c>
    </row>
    <row r="29" spans="1:12" ht="20" customHeight="1" thickBot="1">
      <c r="A29" s="1122" t="s">
        <v>521</v>
      </c>
      <c r="B29" s="287">
        <v>32962</v>
      </c>
      <c r="C29" s="288">
        <v>8286</v>
      </c>
      <c r="D29" s="287">
        <v>7955</v>
      </c>
      <c r="E29" s="288">
        <v>2601</v>
      </c>
      <c r="F29" s="287">
        <v>5121</v>
      </c>
      <c r="G29" s="288">
        <v>1238</v>
      </c>
      <c r="H29" s="287">
        <v>1923</v>
      </c>
      <c r="I29" s="288">
        <v>1220</v>
      </c>
      <c r="J29" s="287">
        <v>502</v>
      </c>
      <c r="K29" s="1164">
        <v>61808</v>
      </c>
      <c r="L29" s="1165">
        <v>-1.6985813346904965E-2</v>
      </c>
    </row>
    <row r="30" spans="1:12" ht="20" customHeight="1" thickBot="1">
      <c r="A30" s="1122" t="s">
        <v>522</v>
      </c>
      <c r="B30" s="287">
        <v>34609</v>
      </c>
      <c r="C30" s="288">
        <v>4248</v>
      </c>
      <c r="D30" s="287">
        <v>1947</v>
      </c>
      <c r="E30" s="288">
        <v>429</v>
      </c>
      <c r="F30" s="287">
        <v>9252</v>
      </c>
      <c r="G30" s="288">
        <v>6330</v>
      </c>
      <c r="H30" s="287">
        <v>7178</v>
      </c>
      <c r="I30" s="288">
        <v>2465</v>
      </c>
      <c r="J30" s="287"/>
      <c r="K30" s="1164">
        <v>66458</v>
      </c>
      <c r="L30" s="1165">
        <v>-1.0732520579347704E-2</v>
      </c>
    </row>
    <row r="31" spans="1:12" ht="20" customHeight="1" thickBot="1">
      <c r="A31" s="1122" t="s">
        <v>523</v>
      </c>
      <c r="B31" s="287">
        <v>59645</v>
      </c>
      <c r="C31" s="288">
        <v>6972</v>
      </c>
      <c r="D31" s="287">
        <v>3750</v>
      </c>
      <c r="E31" s="288">
        <v>1076</v>
      </c>
      <c r="F31" s="287">
        <v>10194</v>
      </c>
      <c r="G31" s="288">
        <v>6431</v>
      </c>
      <c r="H31" s="287">
        <v>7757</v>
      </c>
      <c r="I31" s="288">
        <v>3969</v>
      </c>
      <c r="J31" s="287">
        <v>4162</v>
      </c>
      <c r="K31" s="1164">
        <v>103956</v>
      </c>
      <c r="L31" s="1165">
        <v>4.7078020184927682E-2</v>
      </c>
    </row>
    <row r="32" spans="1:12" ht="20" customHeight="1" thickBot="1">
      <c r="A32" s="1122" t="s">
        <v>524</v>
      </c>
      <c r="B32" s="287">
        <v>36726</v>
      </c>
      <c r="C32" s="288">
        <v>3154</v>
      </c>
      <c r="D32" s="287">
        <v>1753</v>
      </c>
      <c r="E32" s="288">
        <v>493</v>
      </c>
      <c r="F32" s="287">
        <v>4100</v>
      </c>
      <c r="G32" s="288">
        <v>1826</v>
      </c>
      <c r="H32" s="287">
        <v>3728</v>
      </c>
      <c r="I32" s="288">
        <v>2131</v>
      </c>
      <c r="J32" s="287">
        <v>1941</v>
      </c>
      <c r="K32" s="1164">
        <v>55852</v>
      </c>
      <c r="L32" s="1165">
        <v>1.4734470667320698E-2</v>
      </c>
    </row>
    <row r="33" spans="1:15" ht="20" customHeight="1" thickBot="1">
      <c r="A33" s="1122" t="s">
        <v>525</v>
      </c>
      <c r="B33" s="287">
        <v>19063</v>
      </c>
      <c r="C33" s="288">
        <v>1790</v>
      </c>
      <c r="D33" s="287">
        <v>868</v>
      </c>
      <c r="E33" s="288">
        <v>273</v>
      </c>
      <c r="F33" s="287">
        <v>2826</v>
      </c>
      <c r="G33" s="288">
        <v>1551</v>
      </c>
      <c r="H33" s="287">
        <v>1779</v>
      </c>
      <c r="I33" s="288">
        <v>844</v>
      </c>
      <c r="J33" s="287">
        <v>96</v>
      </c>
      <c r="K33" s="1164">
        <v>29090</v>
      </c>
      <c r="L33" s="1165">
        <v>2.5503170664460395E-3</v>
      </c>
    </row>
    <row r="34" spans="1:15" ht="20" customHeight="1" thickBot="1">
      <c r="A34" s="1122" t="s">
        <v>526</v>
      </c>
      <c r="B34" s="287">
        <v>48081</v>
      </c>
      <c r="C34" s="288">
        <v>7245</v>
      </c>
      <c r="D34" s="287">
        <v>3768</v>
      </c>
      <c r="E34" s="288">
        <v>1132</v>
      </c>
      <c r="F34" s="287">
        <v>8174</v>
      </c>
      <c r="G34" s="288">
        <v>5036</v>
      </c>
      <c r="H34" s="287">
        <v>4334</v>
      </c>
      <c r="I34" s="288">
        <v>1945</v>
      </c>
      <c r="J34" s="287"/>
      <c r="K34" s="1164">
        <v>79715</v>
      </c>
      <c r="L34" s="1165">
        <v>1.4379334478590078E-2</v>
      </c>
    </row>
    <row r="35" spans="1:15" ht="20" customHeight="1" thickBot="1">
      <c r="A35" s="1122" t="s">
        <v>527</v>
      </c>
      <c r="B35" s="287">
        <v>9479</v>
      </c>
      <c r="C35" s="288">
        <v>712</v>
      </c>
      <c r="D35" s="287">
        <v>509</v>
      </c>
      <c r="E35" s="288">
        <v>172</v>
      </c>
      <c r="F35" s="287">
        <v>1245</v>
      </c>
      <c r="G35" s="288">
        <v>283</v>
      </c>
      <c r="H35" s="287">
        <v>588</v>
      </c>
      <c r="I35" s="288">
        <v>538</v>
      </c>
      <c r="J35" s="287">
        <v>561</v>
      </c>
      <c r="K35" s="1164">
        <v>14087</v>
      </c>
      <c r="L35" s="1165">
        <v>2.1463273149155304E-2</v>
      </c>
    </row>
    <row r="36" spans="1:15" ht="30" customHeight="1" thickBot="1">
      <c r="A36" s="1166" t="s">
        <v>1720</v>
      </c>
      <c r="B36" s="1167">
        <v>769195</v>
      </c>
      <c r="C36" s="1168">
        <v>83121</v>
      </c>
      <c r="D36" s="1167">
        <v>48075</v>
      </c>
      <c r="E36" s="1168">
        <v>13792</v>
      </c>
      <c r="F36" s="1167">
        <v>124076</v>
      </c>
      <c r="G36" s="1168">
        <v>73789</v>
      </c>
      <c r="H36" s="1167">
        <v>110337</v>
      </c>
      <c r="I36" s="1168">
        <v>55419</v>
      </c>
      <c r="J36" s="436">
        <v>29541</v>
      </c>
      <c r="K36" s="244">
        <v>1307345</v>
      </c>
      <c r="L36" s="1169">
        <v>-7.9489164220423181E-3</v>
      </c>
      <c r="O36" s="367"/>
    </row>
    <row r="37" spans="1:15" ht="19.5" customHeight="1">
      <c r="A37" s="1098"/>
      <c r="B37" s="457"/>
      <c r="C37" s="457"/>
      <c r="D37" s="457"/>
      <c r="E37" s="457"/>
      <c r="F37" s="457"/>
      <c r="G37" s="457"/>
      <c r="H37" s="457"/>
      <c r="I37" s="457"/>
    </row>
    <row r="38" spans="1:15" ht="63.75" customHeight="1" thickBot="1">
      <c r="A38" s="1170" t="s">
        <v>1721</v>
      </c>
      <c r="B38" s="1171">
        <v>1893.4198658904857</v>
      </c>
      <c r="C38" s="1171">
        <v>204.51276790656763</v>
      </c>
      <c r="D38" s="1171">
        <v>138.49848541417271</v>
      </c>
      <c r="E38" s="1171">
        <v>54.286703118148253</v>
      </c>
      <c r="F38" s="1171">
        <v>423.78961771899384</v>
      </c>
      <c r="G38" s="1171">
        <v>217.92412943240498</v>
      </c>
      <c r="H38" s="1171">
        <v>360.39814922483117</v>
      </c>
      <c r="I38" s="1171">
        <v>255.17363421439237</v>
      </c>
      <c r="J38" s="1171">
        <v>466.71894738999998</v>
      </c>
      <c r="K38" s="1172">
        <v>4014.7223003099962</v>
      </c>
      <c r="L38" s="1173" t="s">
        <v>153</v>
      </c>
    </row>
    <row r="39" spans="1:15" ht="19.5" customHeight="1">
      <c r="A39" s="1098" t="s">
        <v>1652</v>
      </c>
      <c r="B39" s="459"/>
      <c r="C39" s="459"/>
      <c r="D39" s="459"/>
      <c r="E39" s="459"/>
      <c r="F39" s="459"/>
      <c r="G39" s="459"/>
      <c r="H39" s="459"/>
      <c r="I39" s="459"/>
    </row>
    <row r="40" spans="1:15" ht="14.25" customHeight="1">
      <c r="A40" s="1099"/>
      <c r="B40" s="459"/>
      <c r="C40" s="459"/>
      <c r="D40" s="459"/>
      <c r="E40" s="459"/>
      <c r="F40" s="459"/>
      <c r="G40" s="459"/>
      <c r="H40" s="459"/>
      <c r="I40" s="459"/>
    </row>
    <row r="41" spans="1:15" ht="14.25" customHeight="1">
      <c r="A41" s="1099" t="s">
        <v>1722</v>
      </c>
      <c r="B41" s="459"/>
      <c r="C41" s="459"/>
      <c r="D41" s="459"/>
      <c r="E41" s="459"/>
      <c r="F41" s="459"/>
      <c r="G41" s="459"/>
      <c r="H41" s="459"/>
      <c r="I41" s="459"/>
    </row>
    <row r="42" spans="1:15" ht="13.5" customHeight="1">
      <c r="A42" s="1099"/>
      <c r="B42" s="459"/>
      <c r="C42" s="459"/>
      <c r="D42" s="459"/>
      <c r="E42" s="459"/>
      <c r="F42" s="459"/>
      <c r="G42" s="459"/>
      <c r="H42" s="459"/>
      <c r="I42" s="459"/>
    </row>
    <row r="43" spans="1:15" ht="11.25" customHeight="1">
      <c r="A43" s="219" t="s">
        <v>1723</v>
      </c>
      <c r="B43" s="459"/>
      <c r="C43" s="459"/>
      <c r="D43" s="459"/>
      <c r="E43" s="459"/>
      <c r="F43" s="459"/>
      <c r="G43" s="459"/>
      <c r="H43" s="459"/>
      <c r="I43" s="459"/>
    </row>
    <row r="44" spans="1:15">
      <c r="A44" s="219" t="s">
        <v>1724</v>
      </c>
    </row>
    <row r="45" spans="1:15">
      <c r="A45" s="219" t="s">
        <v>1725</v>
      </c>
    </row>
    <row r="46" spans="1:15">
      <c r="A46" s="219" t="s">
        <v>1726</v>
      </c>
    </row>
    <row r="47" spans="1:15">
      <c r="A47" s="3" t="s">
        <v>1727</v>
      </c>
    </row>
    <row r="48" spans="1:15">
      <c r="A48" s="219"/>
    </row>
    <row r="50" spans="1:1">
      <c r="A50" s="3" t="s">
        <v>302</v>
      </c>
    </row>
    <row r="53" spans="1:1">
      <c r="A53" s="219"/>
    </row>
  </sheetData>
  <pageMargins left="0.59055118110236227" right="0.59055118110236227" top="0.78740157480314965" bottom="0.47244094488188981" header="0.47244094488188981" footer="0.51181102362204722"/>
  <pageSetup paperSize="9" scale="67" orientation="portrait" horizontalDpi="1200" verticalDpi="1200"/>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68EF6-D46F-0B4F-98C8-BE029683BBF9}">
  <sheetPr>
    <pageSetUpPr fitToPage="1"/>
  </sheetPr>
  <dimension ref="A1:O43"/>
  <sheetViews>
    <sheetView zoomScaleNormal="100" workbookViewId="0">
      <selection activeCell="B59" sqref="B59"/>
    </sheetView>
  </sheetViews>
  <sheetFormatPr baseColWidth="10" defaultColWidth="11.3984375" defaultRowHeight="13"/>
  <cols>
    <col min="1" max="1" width="10.59765625" style="3" customWidth="1"/>
    <col min="2" max="9" width="11.59765625" style="3" customWidth="1"/>
    <col min="10" max="10" width="13.59765625" style="3" customWidth="1"/>
    <col min="11" max="11" width="14.3984375" style="3" customWidth="1"/>
    <col min="12" max="16384" width="11.3984375" style="3"/>
  </cols>
  <sheetData>
    <row r="1" spans="1:15" s="1" customFormat="1" ht="14" customHeight="1"/>
    <row r="2" spans="1:15" s="1" customFormat="1" ht="25.25" customHeight="1">
      <c r="A2" s="311" t="s">
        <v>1728</v>
      </c>
      <c r="J2" s="327"/>
      <c r="K2" s="312">
        <v>2013</v>
      </c>
    </row>
    <row r="3" spans="1:15" ht="24" customHeight="1">
      <c r="A3" s="224" t="s">
        <v>1700</v>
      </c>
      <c r="B3" s="1174" t="s">
        <v>1729</v>
      </c>
      <c r="C3" s="781"/>
      <c r="D3" s="781"/>
      <c r="E3" s="781"/>
      <c r="F3" s="781"/>
      <c r="G3" s="781"/>
      <c r="H3" s="781"/>
      <c r="I3" s="781"/>
      <c r="J3" s="781"/>
      <c r="K3" s="415" t="s">
        <v>381</v>
      </c>
    </row>
    <row r="4" spans="1:15" ht="15" customHeight="1">
      <c r="A4" s="269"/>
      <c r="B4" s="270" t="s">
        <v>1730</v>
      </c>
      <c r="C4" s="272" t="s">
        <v>1731</v>
      </c>
      <c r="D4" s="614" t="s">
        <v>1732</v>
      </c>
      <c r="E4" s="272" t="s">
        <v>1733</v>
      </c>
      <c r="F4" s="614" t="s">
        <v>1734</v>
      </c>
      <c r="G4" s="272" t="s">
        <v>1735</v>
      </c>
      <c r="H4" s="614" t="s">
        <v>1736</v>
      </c>
      <c r="I4" s="272" t="s">
        <v>1197</v>
      </c>
      <c r="J4" s="614" t="s">
        <v>1737</v>
      </c>
      <c r="K4" s="415" t="s">
        <v>1647</v>
      </c>
    </row>
    <row r="5" spans="1:15" ht="24" customHeight="1">
      <c r="A5" s="269"/>
      <c r="B5" s="270"/>
      <c r="C5" s="1094">
        <v>1200</v>
      </c>
      <c r="D5" s="1116">
        <v>2400</v>
      </c>
      <c r="E5" s="1094">
        <v>3600</v>
      </c>
      <c r="F5" s="1116">
        <v>4800</v>
      </c>
      <c r="G5" s="1094">
        <v>6000</v>
      </c>
      <c r="H5" s="1116">
        <v>12000</v>
      </c>
      <c r="I5" s="1094">
        <v>12000</v>
      </c>
      <c r="J5" s="1116" t="s">
        <v>1121</v>
      </c>
      <c r="K5" s="130"/>
    </row>
    <row r="6" spans="1:15" ht="30" customHeight="1" thickBot="1">
      <c r="A6" s="1119" t="s">
        <v>502</v>
      </c>
      <c r="B6" s="335">
        <v>25413</v>
      </c>
      <c r="C6" s="336">
        <v>75212</v>
      </c>
      <c r="D6" s="335">
        <v>85945</v>
      </c>
      <c r="E6" s="336">
        <v>24563</v>
      </c>
      <c r="F6" s="335">
        <v>31924</v>
      </c>
      <c r="G6" s="336">
        <v>19312</v>
      </c>
      <c r="H6" s="335">
        <v>9512</v>
      </c>
      <c r="I6" s="336">
        <v>677</v>
      </c>
      <c r="J6" s="335">
        <v>2425</v>
      </c>
      <c r="K6" s="1175">
        <v>274983</v>
      </c>
      <c r="M6" s="6"/>
      <c r="O6" s="6"/>
    </row>
    <row r="7" spans="1:15" ht="20" customHeight="1" thickBot="1">
      <c r="A7" s="1122" t="s">
        <v>1675</v>
      </c>
      <c r="B7" s="349">
        <v>26945</v>
      </c>
      <c r="C7" s="350">
        <v>53592</v>
      </c>
      <c r="D7" s="349">
        <v>37156</v>
      </c>
      <c r="E7" s="350">
        <v>13023</v>
      </c>
      <c r="F7" s="349">
        <v>6482</v>
      </c>
      <c r="G7" s="350">
        <v>3078</v>
      </c>
      <c r="H7" s="349">
        <v>1485</v>
      </c>
      <c r="I7" s="350">
        <v>2</v>
      </c>
      <c r="J7" s="335"/>
      <c r="K7" s="1175">
        <v>141763</v>
      </c>
      <c r="M7" s="6"/>
      <c r="O7" s="6"/>
    </row>
    <row r="8" spans="1:15" ht="20" customHeight="1" thickBot="1">
      <c r="A8" s="1122" t="s">
        <v>504</v>
      </c>
      <c r="B8" s="349">
        <v>7602</v>
      </c>
      <c r="C8" s="350">
        <v>11697</v>
      </c>
      <c r="D8" s="349">
        <v>11908</v>
      </c>
      <c r="E8" s="350">
        <v>7715</v>
      </c>
      <c r="F8" s="349">
        <v>15083</v>
      </c>
      <c r="G8" s="350">
        <v>2775</v>
      </c>
      <c r="H8" s="349">
        <v>4485</v>
      </c>
      <c r="I8" s="350">
        <v>264</v>
      </c>
      <c r="J8" s="335"/>
      <c r="K8" s="1175">
        <v>61529</v>
      </c>
      <c r="M8" s="6"/>
      <c r="O8" s="6"/>
    </row>
    <row r="9" spans="1:15" ht="20" customHeight="1" thickBot="1">
      <c r="A9" s="1122" t="s">
        <v>505</v>
      </c>
      <c r="B9" s="349">
        <v>1142</v>
      </c>
      <c r="C9" s="350">
        <v>1193</v>
      </c>
      <c r="D9" s="349">
        <v>1977</v>
      </c>
      <c r="E9" s="350">
        <v>1148</v>
      </c>
      <c r="F9" s="349">
        <v>1005</v>
      </c>
      <c r="G9" s="350">
        <v>130</v>
      </c>
      <c r="H9" s="349">
        <v>247</v>
      </c>
      <c r="I9" s="350">
        <v>1</v>
      </c>
      <c r="J9" s="335"/>
      <c r="K9" s="1175">
        <v>6843</v>
      </c>
      <c r="M9" s="6"/>
      <c r="O9" s="6"/>
    </row>
    <row r="10" spans="1:15" ht="20" customHeight="1" thickBot="1">
      <c r="A10" s="1122" t="s">
        <v>506</v>
      </c>
      <c r="B10" s="349">
        <v>1911</v>
      </c>
      <c r="C10" s="350">
        <v>2160</v>
      </c>
      <c r="D10" s="349">
        <v>3053</v>
      </c>
      <c r="E10" s="350">
        <v>3884</v>
      </c>
      <c r="F10" s="349">
        <v>3063</v>
      </c>
      <c r="G10" s="350">
        <v>976</v>
      </c>
      <c r="H10" s="349">
        <v>900</v>
      </c>
      <c r="I10" s="350">
        <v>30</v>
      </c>
      <c r="J10" s="349">
        <v>3602</v>
      </c>
      <c r="K10" s="1175">
        <v>19579</v>
      </c>
      <c r="M10" s="6"/>
      <c r="O10" s="6"/>
    </row>
    <row r="11" spans="1:15" ht="20" customHeight="1" thickBot="1">
      <c r="A11" s="1122" t="s">
        <v>507</v>
      </c>
      <c r="B11" s="349">
        <v>798</v>
      </c>
      <c r="C11" s="350">
        <v>1339</v>
      </c>
      <c r="D11" s="349">
        <v>1387</v>
      </c>
      <c r="E11" s="350">
        <v>2034</v>
      </c>
      <c r="F11" s="349">
        <v>1193</v>
      </c>
      <c r="G11" s="350">
        <v>250</v>
      </c>
      <c r="H11" s="349">
        <v>295</v>
      </c>
      <c r="I11" s="350"/>
      <c r="J11" s="335"/>
      <c r="K11" s="1175">
        <v>7296</v>
      </c>
      <c r="M11" s="6"/>
      <c r="O11" s="6"/>
    </row>
    <row r="12" spans="1:15" ht="20" customHeight="1" thickBot="1">
      <c r="A12" s="1122" t="s">
        <v>508</v>
      </c>
      <c r="B12" s="349">
        <v>1823</v>
      </c>
      <c r="C12" s="350">
        <v>2445</v>
      </c>
      <c r="D12" s="349">
        <v>2995</v>
      </c>
      <c r="E12" s="350">
        <v>1806</v>
      </c>
      <c r="F12" s="349">
        <v>256</v>
      </c>
      <c r="G12" s="350">
        <v>46</v>
      </c>
      <c r="H12" s="349">
        <v>61</v>
      </c>
      <c r="I12" s="350">
        <v>1</v>
      </c>
      <c r="J12" s="349">
        <v>876</v>
      </c>
      <c r="K12" s="1175">
        <v>10309</v>
      </c>
      <c r="M12" s="6"/>
      <c r="O12" s="6"/>
    </row>
    <row r="13" spans="1:15" ht="20" customHeight="1" thickBot="1">
      <c r="A13" s="1122" t="s">
        <v>1738</v>
      </c>
      <c r="B13" s="349">
        <v>1019</v>
      </c>
      <c r="C13" s="350">
        <v>1084</v>
      </c>
      <c r="D13" s="349">
        <v>2232</v>
      </c>
      <c r="E13" s="350">
        <v>1108</v>
      </c>
      <c r="F13" s="349">
        <v>797</v>
      </c>
      <c r="G13" s="350">
        <v>114</v>
      </c>
      <c r="H13" s="349">
        <v>18</v>
      </c>
      <c r="I13" s="350">
        <v>6</v>
      </c>
      <c r="J13" s="335"/>
      <c r="K13" s="1175">
        <v>6378</v>
      </c>
      <c r="M13" s="6"/>
      <c r="O13" s="6"/>
    </row>
    <row r="14" spans="1:15" ht="20" customHeight="1" thickBot="1">
      <c r="A14" s="1122" t="s">
        <v>510</v>
      </c>
      <c r="B14" s="349">
        <v>1942</v>
      </c>
      <c r="C14" s="350">
        <v>2551</v>
      </c>
      <c r="D14" s="349">
        <v>3863</v>
      </c>
      <c r="E14" s="350">
        <v>3694</v>
      </c>
      <c r="F14" s="349">
        <v>3774</v>
      </c>
      <c r="G14" s="350">
        <v>1014</v>
      </c>
      <c r="H14" s="349">
        <v>1431</v>
      </c>
      <c r="I14" s="350">
        <v>27</v>
      </c>
      <c r="J14" s="349"/>
      <c r="K14" s="1175">
        <v>18296</v>
      </c>
      <c r="M14" s="6"/>
      <c r="O14" s="6"/>
    </row>
    <row r="15" spans="1:15" ht="20" customHeight="1" thickBot="1">
      <c r="A15" s="1122" t="s">
        <v>511</v>
      </c>
      <c r="B15" s="349">
        <v>655</v>
      </c>
      <c r="C15" s="350">
        <v>4972</v>
      </c>
      <c r="D15" s="349">
        <v>7968</v>
      </c>
      <c r="E15" s="350">
        <v>12894</v>
      </c>
      <c r="F15" s="349">
        <v>12512</v>
      </c>
      <c r="G15" s="350">
        <v>2047</v>
      </c>
      <c r="H15" s="349">
        <v>4132</v>
      </c>
      <c r="I15" s="350">
        <v>258</v>
      </c>
      <c r="J15" s="335"/>
      <c r="K15" s="1175">
        <v>45438</v>
      </c>
      <c r="M15" s="6"/>
      <c r="O15" s="6"/>
    </row>
    <row r="16" spans="1:15" ht="20" customHeight="1" thickBot="1">
      <c r="A16" s="1122" t="s">
        <v>512</v>
      </c>
      <c r="B16" s="349">
        <v>3669</v>
      </c>
      <c r="C16" s="350">
        <v>5609</v>
      </c>
      <c r="D16" s="349">
        <v>8059</v>
      </c>
      <c r="E16" s="350">
        <v>4413</v>
      </c>
      <c r="F16" s="349">
        <v>10673</v>
      </c>
      <c r="G16" s="350">
        <v>1369</v>
      </c>
      <c r="H16" s="349">
        <v>3330</v>
      </c>
      <c r="I16" s="350">
        <v>262</v>
      </c>
      <c r="J16" s="335"/>
      <c r="K16" s="1175">
        <v>37384</v>
      </c>
      <c r="M16" s="6"/>
      <c r="O16" s="6"/>
    </row>
    <row r="17" spans="1:15" ht="20" customHeight="1" thickBot="1">
      <c r="A17" s="1122" t="s">
        <v>513</v>
      </c>
      <c r="B17" s="349">
        <v>2407</v>
      </c>
      <c r="C17" s="350">
        <v>1615</v>
      </c>
      <c r="D17" s="349">
        <v>3415</v>
      </c>
      <c r="E17" s="350">
        <v>4536</v>
      </c>
      <c r="F17" s="349">
        <v>3650</v>
      </c>
      <c r="G17" s="350">
        <v>5411</v>
      </c>
      <c r="H17" s="349">
        <v>9342</v>
      </c>
      <c r="I17" s="350">
        <v>1119</v>
      </c>
      <c r="J17" s="349">
        <v>201</v>
      </c>
      <c r="K17" s="1175">
        <v>31696</v>
      </c>
      <c r="M17" s="6"/>
      <c r="O17" s="6"/>
    </row>
    <row r="18" spans="1:15" ht="20" customHeight="1" thickBot="1">
      <c r="A18" s="1122" t="s">
        <v>514</v>
      </c>
      <c r="B18" s="289">
        <v>1241</v>
      </c>
      <c r="C18" s="159">
        <v>5141</v>
      </c>
      <c r="D18" s="349">
        <v>18285</v>
      </c>
      <c r="E18" s="350">
        <v>4587</v>
      </c>
      <c r="F18" s="289">
        <v>1454</v>
      </c>
      <c r="G18" s="159">
        <v>751</v>
      </c>
      <c r="H18" s="289">
        <v>499</v>
      </c>
      <c r="I18" s="159">
        <v>9</v>
      </c>
      <c r="J18" s="335">
        <v>2</v>
      </c>
      <c r="K18" s="1175">
        <v>31969</v>
      </c>
      <c r="M18" s="6"/>
      <c r="O18" s="6"/>
    </row>
    <row r="19" spans="1:15" ht="20" customHeight="1" thickBot="1">
      <c r="A19" s="1122" t="s">
        <v>515</v>
      </c>
      <c r="B19" s="349">
        <v>656</v>
      </c>
      <c r="C19" s="350">
        <v>711</v>
      </c>
      <c r="D19" s="349">
        <v>1475</v>
      </c>
      <c r="E19" s="350">
        <v>3876</v>
      </c>
      <c r="F19" s="349">
        <v>1056</v>
      </c>
      <c r="G19" s="350">
        <v>588</v>
      </c>
      <c r="H19" s="349">
        <v>600</v>
      </c>
      <c r="I19" s="350">
        <v>19</v>
      </c>
      <c r="J19" s="349">
        <v>2518</v>
      </c>
      <c r="K19" s="1175">
        <v>11499</v>
      </c>
      <c r="M19" s="6"/>
      <c r="O19" s="6"/>
    </row>
    <row r="20" spans="1:15" ht="20" customHeight="1" thickBot="1">
      <c r="A20" s="1122" t="s">
        <v>516</v>
      </c>
      <c r="B20" s="349">
        <v>231</v>
      </c>
      <c r="C20" s="350">
        <v>397</v>
      </c>
      <c r="D20" s="349">
        <v>938</v>
      </c>
      <c r="E20" s="350">
        <v>2128</v>
      </c>
      <c r="F20" s="349">
        <v>1851</v>
      </c>
      <c r="G20" s="350">
        <v>362</v>
      </c>
      <c r="H20" s="349">
        <v>1121</v>
      </c>
      <c r="I20" s="350">
        <v>43</v>
      </c>
      <c r="J20" s="349"/>
      <c r="K20" s="1175">
        <v>7071</v>
      </c>
      <c r="M20" s="6"/>
      <c r="O20" s="6"/>
    </row>
    <row r="21" spans="1:15" ht="20" customHeight="1" thickBot="1">
      <c r="A21" s="1122" t="s">
        <v>517</v>
      </c>
      <c r="B21" s="349">
        <v>494</v>
      </c>
      <c r="C21" s="350">
        <v>439</v>
      </c>
      <c r="D21" s="349">
        <v>548</v>
      </c>
      <c r="E21" s="350">
        <v>439</v>
      </c>
      <c r="F21" s="349">
        <v>393</v>
      </c>
      <c r="G21" s="350">
        <v>123</v>
      </c>
      <c r="H21" s="349">
        <v>85</v>
      </c>
      <c r="I21" s="350">
        <v>36</v>
      </c>
      <c r="J21" s="335"/>
      <c r="K21" s="1175">
        <v>2557</v>
      </c>
      <c r="M21" s="6"/>
      <c r="O21" s="6"/>
    </row>
    <row r="22" spans="1:15" ht="20" customHeight="1" thickBot="1">
      <c r="A22" s="1122" t="s">
        <v>518</v>
      </c>
      <c r="B22" s="349">
        <v>8275</v>
      </c>
      <c r="C22" s="350">
        <v>7764</v>
      </c>
      <c r="D22" s="349">
        <v>11570</v>
      </c>
      <c r="E22" s="350">
        <v>11468</v>
      </c>
      <c r="F22" s="349">
        <v>18339</v>
      </c>
      <c r="G22" s="350">
        <v>2842</v>
      </c>
      <c r="H22" s="349">
        <v>5133</v>
      </c>
      <c r="I22" s="350">
        <v>361</v>
      </c>
      <c r="J22" s="349">
        <v>4644</v>
      </c>
      <c r="K22" s="1175">
        <v>70396</v>
      </c>
      <c r="M22" s="6"/>
      <c r="O22" s="6"/>
    </row>
    <row r="23" spans="1:15" ht="20" customHeight="1" thickBot="1">
      <c r="A23" s="1122" t="s">
        <v>519</v>
      </c>
      <c r="B23" s="349">
        <v>4090</v>
      </c>
      <c r="C23" s="350">
        <v>3944</v>
      </c>
      <c r="D23" s="349">
        <v>7019</v>
      </c>
      <c r="E23" s="350">
        <v>5738</v>
      </c>
      <c r="F23" s="349">
        <v>6561</v>
      </c>
      <c r="G23" s="350">
        <v>1222</v>
      </c>
      <c r="H23" s="349">
        <v>1839</v>
      </c>
      <c r="I23" s="350">
        <v>60</v>
      </c>
      <c r="J23" s="335">
        <v>1</v>
      </c>
      <c r="K23" s="1175">
        <v>30474</v>
      </c>
      <c r="M23" s="6"/>
      <c r="O23" s="6"/>
    </row>
    <row r="24" spans="1:15" ht="20" customHeight="1" thickBot="1">
      <c r="A24" s="1122" t="s">
        <v>520</v>
      </c>
      <c r="B24" s="349">
        <v>5267</v>
      </c>
      <c r="C24" s="350">
        <v>8407</v>
      </c>
      <c r="D24" s="349">
        <v>17787</v>
      </c>
      <c r="E24" s="350">
        <v>20191</v>
      </c>
      <c r="F24" s="349">
        <v>18285</v>
      </c>
      <c r="G24" s="350">
        <v>4006</v>
      </c>
      <c r="H24" s="349">
        <v>6976</v>
      </c>
      <c r="I24" s="350"/>
      <c r="J24" s="335"/>
      <c r="K24" s="1175">
        <v>80919</v>
      </c>
      <c r="M24" s="6"/>
      <c r="O24" s="6"/>
    </row>
    <row r="25" spans="1:15" ht="20" customHeight="1" thickBot="1">
      <c r="A25" s="1122" t="s">
        <v>521</v>
      </c>
      <c r="B25" s="349">
        <v>780</v>
      </c>
      <c r="C25" s="350">
        <v>10254</v>
      </c>
      <c r="D25" s="349">
        <v>34640</v>
      </c>
      <c r="E25" s="350">
        <v>6846</v>
      </c>
      <c r="F25" s="349">
        <v>7315</v>
      </c>
      <c r="G25" s="350">
        <v>797</v>
      </c>
      <c r="H25" s="349">
        <v>1128</v>
      </c>
      <c r="I25" s="350">
        <v>48</v>
      </c>
      <c r="J25" s="349"/>
      <c r="K25" s="1175">
        <v>61808</v>
      </c>
      <c r="M25" s="6"/>
      <c r="O25" s="6"/>
    </row>
    <row r="26" spans="1:15" ht="20" customHeight="1" thickBot="1">
      <c r="A26" s="1122" t="s">
        <v>522</v>
      </c>
      <c r="B26" s="349">
        <v>3766</v>
      </c>
      <c r="C26" s="350">
        <v>5751</v>
      </c>
      <c r="D26" s="349">
        <v>9724</v>
      </c>
      <c r="E26" s="350">
        <v>14301</v>
      </c>
      <c r="F26" s="349">
        <v>7359</v>
      </c>
      <c r="G26" s="350">
        <v>16238</v>
      </c>
      <c r="H26" s="349">
        <v>9008</v>
      </c>
      <c r="I26" s="350">
        <v>311</v>
      </c>
      <c r="J26" s="335"/>
      <c r="K26" s="1175">
        <v>66458</v>
      </c>
      <c r="M26" s="6"/>
      <c r="O26" s="6"/>
    </row>
    <row r="27" spans="1:15" ht="20" customHeight="1" thickBot="1">
      <c r="A27" s="1122" t="s">
        <v>523</v>
      </c>
      <c r="B27" s="349">
        <v>6526</v>
      </c>
      <c r="C27" s="350">
        <v>6974</v>
      </c>
      <c r="D27" s="349">
        <v>12009</v>
      </c>
      <c r="E27" s="350">
        <v>14316</v>
      </c>
      <c r="F27" s="349">
        <v>23909</v>
      </c>
      <c r="G27" s="350">
        <v>21600</v>
      </c>
      <c r="H27" s="349">
        <v>16102</v>
      </c>
      <c r="I27" s="350">
        <v>1288</v>
      </c>
      <c r="J27" s="349">
        <v>1232</v>
      </c>
      <c r="K27" s="1175">
        <v>103956</v>
      </c>
      <c r="M27" s="6"/>
      <c r="O27" s="6"/>
    </row>
    <row r="28" spans="1:15" ht="20" customHeight="1" thickBot="1">
      <c r="A28" s="1122" t="s">
        <v>524</v>
      </c>
      <c r="B28" s="349">
        <v>17</v>
      </c>
      <c r="C28" s="350">
        <v>3290</v>
      </c>
      <c r="D28" s="349">
        <v>10469</v>
      </c>
      <c r="E28" s="350">
        <v>21591</v>
      </c>
      <c r="F28" s="349">
        <v>11168</v>
      </c>
      <c r="G28" s="350">
        <v>2099</v>
      </c>
      <c r="H28" s="349">
        <v>5183</v>
      </c>
      <c r="I28" s="350">
        <v>94</v>
      </c>
      <c r="J28" s="349">
        <v>1941</v>
      </c>
      <c r="K28" s="1175">
        <v>55852</v>
      </c>
      <c r="M28" s="6"/>
      <c r="O28" s="6"/>
    </row>
    <row r="29" spans="1:15" ht="20" customHeight="1" thickBot="1">
      <c r="A29" s="1122" t="s">
        <v>525</v>
      </c>
      <c r="B29" s="349">
        <v>2907</v>
      </c>
      <c r="C29" s="350">
        <v>3324</v>
      </c>
      <c r="D29" s="349">
        <v>4509</v>
      </c>
      <c r="E29" s="350">
        <v>3721</v>
      </c>
      <c r="F29" s="349">
        <v>9124</v>
      </c>
      <c r="G29" s="350">
        <v>2380</v>
      </c>
      <c r="H29" s="349">
        <v>2955</v>
      </c>
      <c r="I29" s="350">
        <v>170</v>
      </c>
      <c r="J29" s="335"/>
      <c r="K29" s="1175">
        <v>29090</v>
      </c>
      <c r="M29" s="6"/>
      <c r="O29" s="6"/>
    </row>
    <row r="30" spans="1:15" ht="20" customHeight="1" thickBot="1">
      <c r="A30" s="1122" t="s">
        <v>526</v>
      </c>
      <c r="B30" s="349">
        <v>9198</v>
      </c>
      <c r="C30" s="350">
        <v>18526</v>
      </c>
      <c r="D30" s="349">
        <v>9717</v>
      </c>
      <c r="E30" s="350">
        <v>8248</v>
      </c>
      <c r="F30" s="349">
        <v>7246</v>
      </c>
      <c r="G30" s="350">
        <v>19777</v>
      </c>
      <c r="H30" s="349">
        <v>6122</v>
      </c>
      <c r="I30" s="350">
        <v>881</v>
      </c>
      <c r="J30" s="335"/>
      <c r="K30" s="1175">
        <v>79715</v>
      </c>
      <c r="M30" s="6"/>
      <c r="O30" s="6"/>
    </row>
    <row r="31" spans="1:15" ht="20" customHeight="1" thickBot="1">
      <c r="A31" s="1122" t="s">
        <v>527</v>
      </c>
      <c r="B31" s="349">
        <v>2194</v>
      </c>
      <c r="C31" s="350">
        <v>2172</v>
      </c>
      <c r="D31" s="349">
        <v>3330</v>
      </c>
      <c r="E31" s="350">
        <v>1028</v>
      </c>
      <c r="F31" s="349">
        <v>1147</v>
      </c>
      <c r="G31" s="350">
        <v>3004</v>
      </c>
      <c r="H31" s="349">
        <v>1066</v>
      </c>
      <c r="I31" s="350">
        <v>146</v>
      </c>
      <c r="J31" s="335"/>
      <c r="K31" s="1175">
        <v>14087</v>
      </c>
      <c r="M31" s="6"/>
      <c r="O31" s="6"/>
    </row>
    <row r="32" spans="1:15" ht="30" customHeight="1" thickBot="1">
      <c r="A32" s="556" t="s">
        <v>1739</v>
      </c>
      <c r="B32" s="555">
        <v>120968</v>
      </c>
      <c r="C32" s="556">
        <v>240563</v>
      </c>
      <c r="D32" s="555">
        <v>311978</v>
      </c>
      <c r="E32" s="556">
        <v>199296</v>
      </c>
      <c r="F32" s="555">
        <v>205619</v>
      </c>
      <c r="G32" s="556">
        <v>112311</v>
      </c>
      <c r="H32" s="555">
        <v>93055</v>
      </c>
      <c r="I32" s="601">
        <v>6113</v>
      </c>
      <c r="J32" s="602">
        <v>17442</v>
      </c>
      <c r="K32" s="601">
        <v>1307345</v>
      </c>
    </row>
    <row r="33" spans="1:10" ht="20" customHeight="1">
      <c r="A33" s="1098" t="s">
        <v>1652</v>
      </c>
      <c r="B33" s="457"/>
      <c r="C33" s="457"/>
      <c r="D33" s="457"/>
      <c r="E33" s="457"/>
      <c r="F33" s="457"/>
      <c r="G33" s="457"/>
      <c r="H33" s="457"/>
    </row>
    <row r="34" spans="1:10" ht="14.25" customHeight="1">
      <c r="A34" s="1099"/>
      <c r="B34" s="459"/>
      <c r="C34" s="459"/>
      <c r="D34" s="459"/>
      <c r="E34" s="459"/>
      <c r="F34" s="459"/>
      <c r="G34" s="459"/>
      <c r="H34" s="459"/>
      <c r="J34" s="6"/>
    </row>
    <row r="35" spans="1:10" ht="20" customHeight="1">
      <c r="A35" s="1099" t="s">
        <v>1722</v>
      </c>
      <c r="B35" s="459"/>
      <c r="C35" s="459"/>
      <c r="D35" s="459"/>
      <c r="E35" s="459"/>
      <c r="F35" s="459"/>
      <c r="G35" s="459"/>
      <c r="H35" s="459"/>
    </row>
    <row r="36" spans="1:10" ht="13.5" customHeight="1">
      <c r="A36" s="1099"/>
      <c r="B36" s="459"/>
      <c r="C36" s="459"/>
      <c r="D36" s="459"/>
      <c r="E36" s="459"/>
      <c r="F36" s="459"/>
      <c r="G36" s="459"/>
      <c r="H36" s="459"/>
    </row>
    <row r="37" spans="1:10" ht="14.25" customHeight="1">
      <c r="A37" s="219" t="s">
        <v>1723</v>
      </c>
      <c r="B37" s="459"/>
      <c r="C37" s="459"/>
      <c r="D37" s="459"/>
      <c r="E37" s="459"/>
      <c r="F37" s="459"/>
      <c r="G37" s="459"/>
      <c r="H37" s="459"/>
    </row>
    <row r="38" spans="1:10" ht="14.25" customHeight="1">
      <c r="A38" s="219" t="s">
        <v>1740</v>
      </c>
      <c r="B38" s="459"/>
      <c r="C38" s="459"/>
      <c r="D38" s="459"/>
      <c r="E38" s="459"/>
      <c r="F38" s="459"/>
      <c r="G38" s="459"/>
      <c r="H38" s="459"/>
    </row>
    <row r="39" spans="1:10" ht="14.25" customHeight="1">
      <c r="A39" s="219" t="s">
        <v>1681</v>
      </c>
      <c r="B39" s="459"/>
      <c r="C39" s="459"/>
      <c r="D39" s="459"/>
      <c r="E39" s="459"/>
      <c r="F39" s="459"/>
      <c r="G39" s="459"/>
      <c r="H39" s="459"/>
    </row>
    <row r="40" spans="1:10" ht="14.25" customHeight="1">
      <c r="A40" s="219" t="s">
        <v>1741</v>
      </c>
      <c r="B40" s="459"/>
      <c r="C40" s="459"/>
      <c r="D40" s="459"/>
      <c r="E40" s="459"/>
      <c r="F40" s="459"/>
      <c r="G40" s="459"/>
      <c r="H40" s="459"/>
    </row>
    <row r="41" spans="1:10" ht="14.25" customHeight="1">
      <c r="A41" s="219"/>
      <c r="B41" s="459"/>
      <c r="C41" s="459"/>
      <c r="D41" s="459"/>
      <c r="E41" s="459"/>
      <c r="F41" s="459"/>
      <c r="G41" s="459"/>
      <c r="H41" s="459"/>
    </row>
    <row r="42" spans="1:10" ht="11.25" customHeight="1">
      <c r="A42" s="219"/>
      <c r="B42" s="459"/>
      <c r="C42" s="459"/>
      <c r="D42" s="459"/>
      <c r="E42" s="459"/>
      <c r="F42" s="459"/>
      <c r="G42" s="459"/>
      <c r="H42" s="459"/>
    </row>
    <row r="43" spans="1:10">
      <c r="A43" s="1100" t="s">
        <v>302</v>
      </c>
    </row>
  </sheetData>
  <pageMargins left="0.59055118110236227" right="0.59055118110236227" top="0.78740157480314965" bottom="0.47244094488188981" header="0.47244094488188981" footer="0.51181102362204722"/>
  <pageSetup paperSize="9" scale="70" orientation="portrait"/>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0C4ED-5784-8244-AE75-0B852E41598E}">
  <sheetPr>
    <pageSetUpPr fitToPage="1"/>
  </sheetPr>
  <dimension ref="A1:P44"/>
  <sheetViews>
    <sheetView zoomScaleNormal="100" workbookViewId="0">
      <selection activeCell="B60" sqref="B60"/>
    </sheetView>
  </sheetViews>
  <sheetFormatPr baseColWidth="10" defaultColWidth="11.3984375" defaultRowHeight="13"/>
  <cols>
    <col min="1" max="1" width="10.59765625" style="3" customWidth="1"/>
    <col min="2" max="2" width="13.3984375" style="3" customWidth="1"/>
    <col min="3" max="3" width="14" style="3" customWidth="1"/>
    <col min="4" max="4" width="15.59765625" style="3" customWidth="1"/>
    <col min="5" max="5" width="13.3984375" style="201" customWidth="1"/>
    <col min="6" max="6" width="13.796875" style="201" customWidth="1"/>
    <col min="7" max="7" width="14.59765625" style="201" customWidth="1"/>
    <col min="8" max="8" width="14" style="201" customWidth="1"/>
    <col min="9" max="9" width="16.796875" style="3" customWidth="1"/>
    <col min="10" max="10" width="15.59765625" style="367" customWidth="1"/>
    <col min="11" max="11" width="17" style="3" customWidth="1"/>
    <col min="12" max="16384" width="11.3984375" style="3"/>
  </cols>
  <sheetData>
    <row r="1" spans="1:16" s="1" customFormat="1" ht="14" customHeight="1">
      <c r="A1" s="840"/>
      <c r="B1" s="840"/>
      <c r="C1" s="840"/>
      <c r="D1" s="840"/>
      <c r="E1" s="1176"/>
      <c r="F1" s="1176"/>
      <c r="G1" s="1176"/>
      <c r="H1" s="1176"/>
      <c r="I1" s="840"/>
      <c r="J1" s="1104"/>
      <c r="K1" s="1104"/>
    </row>
    <row r="2" spans="1:16" s="1" customFormat="1" ht="25.25" customHeight="1">
      <c r="A2" s="907" t="s">
        <v>1742</v>
      </c>
      <c r="B2" s="1177"/>
      <c r="C2" s="840"/>
      <c r="D2" s="840"/>
      <c r="E2" s="1176"/>
      <c r="F2" s="1176"/>
      <c r="G2" s="1176"/>
      <c r="H2" s="327"/>
      <c r="I2" s="327">
        <v>2013</v>
      </c>
      <c r="J2" s="1105"/>
      <c r="K2" s="1106"/>
    </row>
    <row r="3" spans="1:16" ht="24" customHeight="1">
      <c r="A3" s="224" t="s">
        <v>67</v>
      </c>
      <c r="B3" s="267" t="s">
        <v>495</v>
      </c>
      <c r="C3" s="559" t="s">
        <v>637</v>
      </c>
      <c r="D3" s="781" t="s">
        <v>497</v>
      </c>
      <c r="E3" s="559" t="s">
        <v>1640</v>
      </c>
      <c r="F3" s="465" t="s">
        <v>381</v>
      </c>
      <c r="G3" s="559" t="s">
        <v>1665</v>
      </c>
      <c r="H3" s="781" t="s">
        <v>1665</v>
      </c>
      <c r="I3" s="268" t="s">
        <v>1665</v>
      </c>
      <c r="J3" s="1111"/>
      <c r="K3" s="1112"/>
    </row>
    <row r="4" spans="1:16" ht="15" customHeight="1">
      <c r="A4" s="269"/>
      <c r="B4" s="614" t="s">
        <v>499</v>
      </c>
      <c r="C4" s="271" t="s">
        <v>497</v>
      </c>
      <c r="D4" s="614" t="s">
        <v>1743</v>
      </c>
      <c r="E4" s="272" t="s">
        <v>1744</v>
      </c>
      <c r="F4" s="270"/>
      <c r="G4" s="272" t="s">
        <v>1667</v>
      </c>
      <c r="H4" s="614" t="s">
        <v>1668</v>
      </c>
      <c r="I4" s="272" t="s">
        <v>1669</v>
      </c>
      <c r="J4" s="1114"/>
      <c r="K4" s="1115"/>
    </row>
    <row r="5" spans="1:16" ht="15" customHeight="1">
      <c r="A5" s="269"/>
      <c r="B5" s="270"/>
      <c r="C5" s="272" t="s">
        <v>500</v>
      </c>
      <c r="D5" s="614" t="s">
        <v>1745</v>
      </c>
      <c r="E5" s="272" t="s">
        <v>1121</v>
      </c>
      <c r="F5" s="270"/>
      <c r="G5" s="272" t="s">
        <v>1670</v>
      </c>
      <c r="H5" s="614" t="s">
        <v>1671</v>
      </c>
      <c r="I5" s="272" t="s">
        <v>1672</v>
      </c>
      <c r="J5" s="1114"/>
      <c r="K5" s="1115"/>
    </row>
    <row r="6" spans="1:16" ht="15" customHeight="1">
      <c r="A6" s="269"/>
      <c r="B6" s="315"/>
      <c r="C6" s="1178"/>
      <c r="D6" s="315"/>
      <c r="E6" s="1178"/>
      <c r="F6" s="315"/>
      <c r="G6" s="1113" t="s">
        <v>1520</v>
      </c>
      <c r="H6" s="665"/>
      <c r="I6" s="272" t="s">
        <v>1673</v>
      </c>
      <c r="J6" s="1114"/>
      <c r="K6" s="1115"/>
    </row>
    <row r="7" spans="1:16" ht="24" customHeight="1">
      <c r="A7" s="273"/>
      <c r="B7" s="274"/>
      <c r="C7" s="275"/>
      <c r="D7" s="274"/>
      <c r="E7" s="275"/>
      <c r="F7" s="274"/>
      <c r="G7" s="1113"/>
      <c r="H7" s="1179"/>
      <c r="I7" s="1094" t="s">
        <v>1674</v>
      </c>
      <c r="J7" s="1114"/>
      <c r="K7" s="1118"/>
    </row>
    <row r="8" spans="1:16" ht="30" customHeight="1" thickBot="1">
      <c r="A8" s="1119" t="s">
        <v>502</v>
      </c>
      <c r="B8" s="1180">
        <v>89.057982999999993</v>
      </c>
      <c r="C8" s="1181">
        <v>117.849683</v>
      </c>
      <c r="D8" s="1180">
        <v>462.48132399999997</v>
      </c>
      <c r="E8" s="1182"/>
      <c r="F8" s="1183">
        <v>669.38899000000004</v>
      </c>
      <c r="G8" s="1182">
        <v>218.29556600000001</v>
      </c>
      <c r="H8" s="1095">
        <v>81.592965000000007</v>
      </c>
      <c r="I8" s="1182"/>
      <c r="J8" s="1114"/>
      <c r="K8" s="1121"/>
    </row>
    <row r="9" spans="1:16" ht="20" customHeight="1" thickBot="1">
      <c r="A9" s="1122" t="s">
        <v>1746</v>
      </c>
      <c r="B9" s="1095">
        <v>53.947744999999998</v>
      </c>
      <c r="C9" s="1181">
        <v>65.263797999999994</v>
      </c>
      <c r="D9" s="1180">
        <v>240.87949800000001</v>
      </c>
      <c r="E9" s="1182"/>
      <c r="F9" s="1183">
        <v>360.09104100000002</v>
      </c>
      <c r="G9" s="1182">
        <v>94.638546000000005</v>
      </c>
      <c r="H9" s="1095">
        <v>47.756193000000003</v>
      </c>
      <c r="I9" s="1182"/>
      <c r="J9" s="1114"/>
      <c r="K9" s="1121"/>
      <c r="P9" s="1184"/>
    </row>
    <row r="10" spans="1:16" ht="20" customHeight="1" thickBot="1">
      <c r="A10" s="1122" t="s">
        <v>504</v>
      </c>
      <c r="B10" s="1095">
        <v>42.80629510658617</v>
      </c>
      <c r="C10" s="1181">
        <v>22.846561880113892</v>
      </c>
      <c r="D10" s="1180">
        <v>111.60001948049123</v>
      </c>
      <c r="E10" s="1182"/>
      <c r="F10" s="1183">
        <v>177.25287646719124</v>
      </c>
      <c r="G10" s="1182">
        <v>68.339275999999998</v>
      </c>
      <c r="H10" s="1095">
        <v>24.189632</v>
      </c>
      <c r="I10" s="1182">
        <v>7.4189160000000003</v>
      </c>
      <c r="J10" s="1114"/>
      <c r="K10" s="1121"/>
    </row>
    <row r="11" spans="1:16" ht="20" customHeight="1" thickBot="1">
      <c r="A11" s="1122" t="s">
        <v>505</v>
      </c>
      <c r="B11" s="1095" t="s">
        <v>153</v>
      </c>
      <c r="C11" s="1182" t="s">
        <v>153</v>
      </c>
      <c r="D11" s="1095" t="s">
        <v>153</v>
      </c>
      <c r="E11" s="1182">
        <v>15.506976999999999</v>
      </c>
      <c r="F11" s="1183">
        <v>15.506976999999999</v>
      </c>
      <c r="G11" s="1182">
        <v>4.1674600000000002</v>
      </c>
      <c r="H11" s="1095">
        <v>1.07742</v>
      </c>
      <c r="I11" s="1182">
        <v>0.23244000000000001</v>
      </c>
      <c r="J11" s="1114"/>
      <c r="K11" s="1121"/>
    </row>
    <row r="12" spans="1:16" ht="20" customHeight="1" thickBot="1">
      <c r="A12" s="1122" t="s">
        <v>506</v>
      </c>
      <c r="B12" s="1095">
        <v>5.4831050000000001</v>
      </c>
      <c r="C12" s="1181">
        <v>8.2887149999999998</v>
      </c>
      <c r="D12" s="1180">
        <v>30.565132999999999</v>
      </c>
      <c r="E12" s="1182">
        <v>14.4827221</v>
      </c>
      <c r="F12" s="1183">
        <v>58.819675100000005</v>
      </c>
      <c r="G12" s="1182">
        <v>14.580658</v>
      </c>
      <c r="H12" s="1095">
        <v>4.3451789999999999</v>
      </c>
      <c r="I12" s="1182">
        <v>7.8529939999999998</v>
      </c>
      <c r="J12" s="1114"/>
      <c r="K12" s="1121"/>
    </row>
    <row r="13" spans="1:16" ht="20" customHeight="1" thickBot="1">
      <c r="A13" s="1122" t="s">
        <v>507</v>
      </c>
      <c r="B13" s="1095">
        <v>4.8829529999999997</v>
      </c>
      <c r="C13" s="1182">
        <v>4.1236240000000004</v>
      </c>
      <c r="D13" s="1095">
        <v>10.278839</v>
      </c>
      <c r="E13" s="1182"/>
      <c r="F13" s="1183">
        <v>19.285416000000001</v>
      </c>
      <c r="G13" s="1182">
        <v>3.7673719999999999</v>
      </c>
      <c r="H13" s="1095">
        <v>0.90851999999999999</v>
      </c>
      <c r="I13" s="1182">
        <v>5.5082190000000004</v>
      </c>
      <c r="J13" s="1114"/>
      <c r="K13" s="1121"/>
    </row>
    <row r="14" spans="1:16" ht="20" customHeight="1" thickBot="1">
      <c r="A14" s="1122" t="s">
        <v>508</v>
      </c>
      <c r="B14" s="1095">
        <v>2.5061589999999998</v>
      </c>
      <c r="C14" s="1181">
        <v>5.1113419999999996</v>
      </c>
      <c r="D14" s="1180">
        <v>7.4234260000000001</v>
      </c>
      <c r="E14" s="1182">
        <v>3.332751</v>
      </c>
      <c r="F14" s="1183">
        <v>18.373678000000002</v>
      </c>
      <c r="G14" s="1182">
        <v>3.332751</v>
      </c>
      <c r="H14" s="1095">
        <v>1.113988</v>
      </c>
      <c r="I14" s="1182">
        <v>2.3870749999999998</v>
      </c>
      <c r="J14" s="1114"/>
      <c r="K14" s="1121"/>
    </row>
    <row r="15" spans="1:16" ht="20" customHeight="1" thickBot="1">
      <c r="A15" s="1122" t="s">
        <v>509</v>
      </c>
      <c r="B15" s="1095" t="s">
        <v>153</v>
      </c>
      <c r="C15" s="1182" t="s">
        <v>153</v>
      </c>
      <c r="D15" s="1095" t="s">
        <v>153</v>
      </c>
      <c r="E15" s="1182">
        <v>15.715444</v>
      </c>
      <c r="F15" s="1183">
        <v>15.715444</v>
      </c>
      <c r="G15" s="1182">
        <v>4.7421730000000002</v>
      </c>
      <c r="H15" s="1095">
        <v>2.530643</v>
      </c>
      <c r="I15" s="1182">
        <v>8.7179999999999994E-2</v>
      </c>
      <c r="J15" s="1114"/>
      <c r="K15" s="1121"/>
    </row>
    <row r="16" spans="1:16" ht="20" customHeight="1" thickBot="1">
      <c r="A16" s="1122" t="s">
        <v>510</v>
      </c>
      <c r="B16" s="1095">
        <v>3.8570289999999998</v>
      </c>
      <c r="C16" s="1181">
        <v>7.4097939999999998</v>
      </c>
      <c r="D16" s="1180">
        <v>31.477398999999998</v>
      </c>
      <c r="E16" s="1182">
        <v>10.174467999999999</v>
      </c>
      <c r="F16" s="1183">
        <v>52.918689999999998</v>
      </c>
      <c r="G16" s="1182">
        <v>10.174467999999999</v>
      </c>
      <c r="H16" s="1095">
        <v>4.5979479999999997</v>
      </c>
      <c r="I16" s="1182">
        <v>6.6520159999999997</v>
      </c>
      <c r="J16" s="1114"/>
      <c r="K16" s="1121"/>
    </row>
    <row r="17" spans="1:11" ht="20" customHeight="1" thickBot="1">
      <c r="A17" s="1122" t="s">
        <v>511</v>
      </c>
      <c r="B17" s="1095">
        <v>12.670490016161617</v>
      </c>
      <c r="C17" s="1181">
        <v>19.05330031022536</v>
      </c>
      <c r="D17" s="1180">
        <v>128.67961167361301</v>
      </c>
      <c r="E17" s="1182"/>
      <c r="F17" s="1183">
        <v>160.403402</v>
      </c>
      <c r="G17" s="1182">
        <v>51.510035000000002</v>
      </c>
      <c r="H17" s="1095">
        <v>22.586449999999999</v>
      </c>
      <c r="I17" s="1182"/>
      <c r="J17" s="1114"/>
      <c r="K17" s="1121"/>
    </row>
    <row r="18" spans="1:11" ht="20" customHeight="1" thickBot="1">
      <c r="A18" s="1122" t="s">
        <v>512</v>
      </c>
      <c r="B18" s="1095">
        <v>11.846128</v>
      </c>
      <c r="C18" s="1181">
        <v>13.464269</v>
      </c>
      <c r="D18" s="1180">
        <v>93.288454000000002</v>
      </c>
      <c r="E18" s="1182"/>
      <c r="F18" s="1183">
        <v>118.598851</v>
      </c>
      <c r="G18" s="1182">
        <v>52.019928</v>
      </c>
      <c r="H18" s="1095">
        <v>24.780854000000001</v>
      </c>
      <c r="I18" s="1182">
        <v>6.3809480000000001</v>
      </c>
      <c r="J18" s="1114"/>
      <c r="K18" s="1121"/>
    </row>
    <row r="19" spans="1:11" ht="20" customHeight="1" thickBot="1">
      <c r="A19" s="1122" t="s">
        <v>513</v>
      </c>
      <c r="B19" s="1095" t="s">
        <v>153</v>
      </c>
      <c r="C19" s="1182" t="s">
        <v>153</v>
      </c>
      <c r="D19" s="1095" t="s">
        <v>153</v>
      </c>
      <c r="E19" s="1182">
        <v>145.32330400000001</v>
      </c>
      <c r="F19" s="1183">
        <v>145.32330400000001</v>
      </c>
      <c r="G19" s="1182">
        <v>65.253133349999999</v>
      </c>
      <c r="H19" s="1095">
        <v>32.008699999999997</v>
      </c>
      <c r="I19" s="1182"/>
      <c r="J19" s="1114"/>
      <c r="K19" s="1121"/>
    </row>
    <row r="20" spans="1:11" ht="20" customHeight="1" thickBot="1">
      <c r="A20" s="1122" t="s">
        <v>514</v>
      </c>
      <c r="B20" s="1095" t="s">
        <v>153</v>
      </c>
      <c r="C20" s="1182" t="s">
        <v>153</v>
      </c>
      <c r="D20" s="1095" t="s">
        <v>153</v>
      </c>
      <c r="E20" s="1182">
        <v>119.96549865</v>
      </c>
      <c r="F20" s="1183">
        <v>119.96549865</v>
      </c>
      <c r="G20" s="1182" t="s">
        <v>153</v>
      </c>
      <c r="H20" s="1095" t="s">
        <v>153</v>
      </c>
      <c r="I20" s="1182"/>
      <c r="J20" s="1114"/>
      <c r="K20" s="1121"/>
    </row>
    <row r="21" spans="1:11" ht="20" customHeight="1" thickBot="1">
      <c r="A21" s="1122" t="s">
        <v>515</v>
      </c>
      <c r="B21" s="1095">
        <v>1.6862790000000001</v>
      </c>
      <c r="C21" s="1182">
        <v>7.2076120000000001</v>
      </c>
      <c r="D21" s="1095">
        <v>16.921786000000001</v>
      </c>
      <c r="E21" s="1182">
        <v>13.060316</v>
      </c>
      <c r="F21" s="1183">
        <v>38.875993000000001</v>
      </c>
      <c r="G21" s="1182">
        <v>13.060316</v>
      </c>
      <c r="H21" s="1095">
        <v>4.5106719999999996</v>
      </c>
      <c r="I21" s="1182"/>
      <c r="J21" s="1114"/>
      <c r="K21" s="1121"/>
    </row>
    <row r="22" spans="1:11" ht="20" customHeight="1" thickBot="1">
      <c r="A22" s="1122" t="s">
        <v>516</v>
      </c>
      <c r="B22" s="1180">
        <v>4.009099</v>
      </c>
      <c r="C22" s="1181">
        <v>4.3764750000000001</v>
      </c>
      <c r="D22" s="1180">
        <v>18.849694</v>
      </c>
      <c r="E22" s="1182"/>
      <c r="F22" s="1183">
        <v>27.235268000000001</v>
      </c>
      <c r="G22" s="1182">
        <v>6.4625219999999999</v>
      </c>
      <c r="H22" s="1095">
        <v>2.3810120000000001</v>
      </c>
      <c r="I22" s="1182">
        <v>9.8249750000000002</v>
      </c>
      <c r="J22" s="1114"/>
      <c r="K22" s="1121"/>
    </row>
    <row r="23" spans="1:11" ht="20" customHeight="1" thickBot="1">
      <c r="A23" s="1122" t="s">
        <v>517</v>
      </c>
      <c r="B23" s="1180">
        <v>1.268087</v>
      </c>
      <c r="C23" s="1181">
        <v>0.60702199999999995</v>
      </c>
      <c r="D23" s="1180">
        <v>4.0754440000000001</v>
      </c>
      <c r="E23" s="1182"/>
      <c r="F23" s="1183">
        <v>5.9505530000000002</v>
      </c>
      <c r="G23" s="1182">
        <v>1.3380486</v>
      </c>
      <c r="H23" s="1095">
        <v>0.84553467000000004</v>
      </c>
      <c r="I23" s="1182">
        <v>0.14738100000000001</v>
      </c>
      <c r="J23" s="1114"/>
      <c r="K23" s="1121"/>
    </row>
    <row r="24" spans="1:11" ht="20" customHeight="1" thickBot="1">
      <c r="A24" s="1122" t="s">
        <v>518</v>
      </c>
      <c r="B24" s="1180">
        <v>14.604179999999999</v>
      </c>
      <c r="C24" s="1181">
        <v>19.147283999999999</v>
      </c>
      <c r="D24" s="1180">
        <v>139.27119300000001</v>
      </c>
      <c r="E24" s="1182">
        <v>23.700032</v>
      </c>
      <c r="F24" s="1183">
        <v>196.722689</v>
      </c>
      <c r="G24" s="1182">
        <v>85.055667999999997</v>
      </c>
      <c r="H24" s="1095">
        <v>25.687557999999999</v>
      </c>
      <c r="I24" s="1182">
        <v>25.687557999999999</v>
      </c>
      <c r="J24" s="1114"/>
      <c r="K24" s="1121"/>
    </row>
    <row r="25" spans="1:11" ht="20" customHeight="1" thickBot="1">
      <c r="A25" s="1122" t="s">
        <v>519</v>
      </c>
      <c r="B25" s="1180">
        <v>7.7787419500000006</v>
      </c>
      <c r="C25" s="1181">
        <v>10.062973749999999</v>
      </c>
      <c r="D25" s="1180">
        <v>73.521573129999993</v>
      </c>
      <c r="E25" s="1182">
        <v>6.7445200000000004E-3</v>
      </c>
      <c r="F25" s="1183">
        <v>91.370033349999986</v>
      </c>
      <c r="G25" s="1182">
        <v>22.749410100000002</v>
      </c>
      <c r="H25" s="1095">
        <v>5.0653430000000004</v>
      </c>
      <c r="I25" s="1182">
        <v>8.6277000000000006E-2</v>
      </c>
      <c r="J25" s="1114"/>
      <c r="K25" s="1121"/>
    </row>
    <row r="26" spans="1:11" ht="20" customHeight="1" thickBot="1">
      <c r="A26" s="1122" t="s">
        <v>520</v>
      </c>
      <c r="B26" s="1180">
        <v>27.815531</v>
      </c>
      <c r="C26" s="1181">
        <v>40.148378000000001</v>
      </c>
      <c r="D26" s="1180">
        <v>199.200311</v>
      </c>
      <c r="E26" s="1182"/>
      <c r="F26" s="1183">
        <v>267.16422</v>
      </c>
      <c r="G26" s="1182">
        <v>77.389803799999996</v>
      </c>
      <c r="H26" s="1095">
        <v>14.4</v>
      </c>
      <c r="I26" s="1182">
        <v>25.4826704</v>
      </c>
      <c r="J26" s="1114"/>
      <c r="K26" s="1121"/>
    </row>
    <row r="27" spans="1:11" ht="20" customHeight="1" thickBot="1">
      <c r="A27" s="1122" t="s">
        <v>521</v>
      </c>
      <c r="B27" s="1180">
        <v>25.428533000000002</v>
      </c>
      <c r="C27" s="1181">
        <v>25.187964999999998</v>
      </c>
      <c r="D27" s="1180">
        <v>76.549055999999993</v>
      </c>
      <c r="E27" s="1182"/>
      <c r="F27" s="1183">
        <v>127.165554</v>
      </c>
      <c r="G27" s="1182">
        <v>33.359051999999998</v>
      </c>
      <c r="H27" s="1095">
        <v>5.7390179999999997</v>
      </c>
      <c r="I27" s="1182"/>
      <c r="J27" s="1114"/>
      <c r="K27" s="1121"/>
    </row>
    <row r="28" spans="1:11" ht="20" customHeight="1" thickBot="1">
      <c r="A28" s="1122" t="s">
        <v>522</v>
      </c>
      <c r="B28" s="1180">
        <v>20.153911649999998</v>
      </c>
      <c r="C28" s="1181">
        <v>32.225836450000003</v>
      </c>
      <c r="D28" s="1180">
        <v>222.81508299999996</v>
      </c>
      <c r="E28" s="1182"/>
      <c r="F28" s="1183">
        <v>275.19483110000004</v>
      </c>
      <c r="G28" s="1182">
        <v>113.1049165</v>
      </c>
      <c r="H28" s="1095">
        <v>42.965246</v>
      </c>
      <c r="I28" s="1182"/>
      <c r="J28" s="1114"/>
      <c r="K28" s="1121"/>
    </row>
    <row r="29" spans="1:11" ht="20" customHeight="1" thickBot="1">
      <c r="A29" s="1122" t="s">
        <v>523</v>
      </c>
      <c r="B29" s="1180">
        <v>43.249425349999669</v>
      </c>
      <c r="C29" s="1181">
        <v>62.817919349999983</v>
      </c>
      <c r="D29" s="1180">
        <v>336.37324620000061</v>
      </c>
      <c r="E29" s="1182">
        <v>3.8079130000000001</v>
      </c>
      <c r="F29" s="1183">
        <v>446.24850390000012</v>
      </c>
      <c r="G29" s="1182">
        <v>162.71444500000001</v>
      </c>
      <c r="H29" s="1095">
        <v>85.855913999999999</v>
      </c>
      <c r="I29" s="1182">
        <v>28.914505999999999</v>
      </c>
      <c r="J29" s="1114"/>
      <c r="K29" s="1121"/>
    </row>
    <row r="30" spans="1:11" ht="20" customHeight="1" thickBot="1">
      <c r="A30" s="1122" t="s">
        <v>524</v>
      </c>
      <c r="B30" s="1180">
        <v>13.727600519999999</v>
      </c>
      <c r="C30" s="1181">
        <v>42.465970920000004</v>
      </c>
      <c r="D30" s="1180">
        <v>128.99681579999998</v>
      </c>
      <c r="E30" s="1182">
        <v>4.9141955499999996</v>
      </c>
      <c r="F30" s="1183">
        <v>190.10458278999999</v>
      </c>
      <c r="G30" s="1182">
        <v>35.799197159999999</v>
      </c>
      <c r="H30" s="1095">
        <v>13.903617240000001</v>
      </c>
      <c r="I30" s="1182">
        <v>49.702814400000001</v>
      </c>
      <c r="J30" s="1114"/>
      <c r="K30" s="1121"/>
    </row>
    <row r="31" spans="1:11" ht="20" customHeight="1" thickBot="1">
      <c r="A31" s="1122" t="s">
        <v>525</v>
      </c>
      <c r="B31" s="1180">
        <v>9.1603510000000004</v>
      </c>
      <c r="C31" s="1181">
        <v>8.9875480000000003</v>
      </c>
      <c r="D31" s="1180">
        <v>84.722966999999997</v>
      </c>
      <c r="E31" s="1182">
        <v>1.08317</v>
      </c>
      <c r="F31" s="1183">
        <v>103.954036</v>
      </c>
      <c r="G31" s="1182">
        <v>42.397306</v>
      </c>
      <c r="H31" s="1095">
        <v>31.102651000000002</v>
      </c>
      <c r="I31" s="1182"/>
      <c r="J31" s="1114"/>
      <c r="K31" s="1121"/>
    </row>
    <row r="32" spans="1:11" ht="20" customHeight="1" thickBot="1">
      <c r="A32" s="1122" t="s">
        <v>526</v>
      </c>
      <c r="B32" s="1180">
        <v>32.316435309999996</v>
      </c>
      <c r="C32" s="1181">
        <v>25.361763440000001</v>
      </c>
      <c r="D32" s="1180">
        <v>213.45470426</v>
      </c>
      <c r="E32" s="1182"/>
      <c r="F32" s="1183">
        <v>271.13290301000001</v>
      </c>
      <c r="G32" s="1182">
        <v>132.605154</v>
      </c>
      <c r="H32" s="1095">
        <v>75.045717999999994</v>
      </c>
      <c r="I32" s="1182"/>
      <c r="J32" s="1114"/>
      <c r="K32" s="1121"/>
    </row>
    <row r="33" spans="1:11" ht="20" customHeight="1" thickBot="1">
      <c r="A33" s="1122" t="s">
        <v>527</v>
      </c>
      <c r="B33" s="1180">
        <v>4.3622649999999998</v>
      </c>
      <c r="C33" s="1181">
        <v>4.594932</v>
      </c>
      <c r="D33" s="1180">
        <v>33.002091</v>
      </c>
      <c r="E33" s="1182"/>
      <c r="F33" s="1183">
        <v>41.959288000000001</v>
      </c>
      <c r="G33" s="1182">
        <v>20.2561067</v>
      </c>
      <c r="H33" s="1095">
        <v>5.2856776999999999</v>
      </c>
      <c r="I33" s="1182"/>
      <c r="J33" s="1114"/>
      <c r="K33" s="1121"/>
    </row>
    <row r="34" spans="1:11" ht="30" customHeight="1" thickBot="1">
      <c r="A34" s="1124" t="s">
        <v>1747</v>
      </c>
      <c r="B34" s="1185">
        <v>432.61832690274741</v>
      </c>
      <c r="C34" s="1186">
        <v>546.60276710033918</v>
      </c>
      <c r="D34" s="1185">
        <v>2664.4276685441055</v>
      </c>
      <c r="E34" s="455">
        <v>371.07353582000002</v>
      </c>
      <c r="F34" s="1187">
        <v>4014.7222983671923</v>
      </c>
      <c r="G34" s="455">
        <v>1337.1133122100002</v>
      </c>
      <c r="H34" s="1188">
        <v>560.27645360999986</v>
      </c>
      <c r="I34" s="1189">
        <v>176.36596980000002</v>
      </c>
      <c r="J34" s="252"/>
      <c r="K34" s="1126"/>
    </row>
    <row r="35" spans="1:11" ht="20" customHeight="1">
      <c r="A35" s="1098" t="s">
        <v>1652</v>
      </c>
      <c r="B35" s="457"/>
      <c r="C35" s="457"/>
      <c r="D35" s="457"/>
      <c r="E35" s="457"/>
      <c r="F35" s="457"/>
      <c r="G35" s="457"/>
      <c r="H35" s="457"/>
    </row>
    <row r="36" spans="1:11" ht="14.25" customHeight="1">
      <c r="A36" s="1099"/>
      <c r="B36" s="459"/>
      <c r="C36" s="459"/>
      <c r="D36" s="459"/>
      <c r="E36" s="459"/>
      <c r="F36" s="459"/>
      <c r="G36" s="459"/>
      <c r="H36" s="459"/>
    </row>
    <row r="37" spans="1:11" ht="20" customHeight="1">
      <c r="A37" s="1099" t="s">
        <v>1748</v>
      </c>
      <c r="B37" s="459"/>
      <c r="C37" s="459"/>
      <c r="D37" s="459"/>
      <c r="E37" s="459"/>
      <c r="F37" s="459"/>
      <c r="G37" s="459"/>
      <c r="H37" s="459"/>
    </row>
    <row r="38" spans="1:11" ht="15.75" customHeight="1">
      <c r="A38" s="1099"/>
      <c r="B38" s="459"/>
      <c r="C38" s="459"/>
      <c r="D38" s="459"/>
      <c r="E38" s="459"/>
      <c r="F38" s="459"/>
      <c r="G38" s="459"/>
      <c r="H38" s="459"/>
    </row>
    <row r="39" spans="1:11" ht="12.75" customHeight="1">
      <c r="A39" s="1099" t="s">
        <v>1749</v>
      </c>
      <c r="B39" s="459"/>
      <c r="C39" s="459"/>
      <c r="D39" s="459"/>
      <c r="E39" s="459"/>
      <c r="F39" s="459"/>
      <c r="G39" s="459"/>
      <c r="H39" s="459"/>
    </row>
    <row r="40" spans="1:11">
      <c r="A40" s="219" t="s">
        <v>1724</v>
      </c>
    </row>
    <row r="41" spans="1:11">
      <c r="A41" s="219" t="s">
        <v>1750</v>
      </c>
      <c r="E41" s="369"/>
    </row>
    <row r="42" spans="1:11">
      <c r="A42" s="219"/>
      <c r="E42" s="369"/>
    </row>
    <row r="44" spans="1:11">
      <c r="A44" s="3" t="s">
        <v>302</v>
      </c>
    </row>
  </sheetData>
  <pageMargins left="0.59055118110236227" right="0.59055118110236227" top="0.78740157480314965" bottom="0.47244094488188981" header="0.47244094488188981" footer="0.51181102362204722"/>
  <pageSetup paperSize="9" scale="72" orientation="portrait" horizontalDpi="1200" verticalDpi="1200"/>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36AC1-8328-AF4A-935C-949E55A1FB23}">
  <sheetPr>
    <pageSetUpPr fitToPage="1"/>
  </sheetPr>
  <dimension ref="A1:N47"/>
  <sheetViews>
    <sheetView zoomScaleNormal="100" workbookViewId="0">
      <selection activeCell="B68" sqref="B68"/>
    </sheetView>
  </sheetViews>
  <sheetFormatPr baseColWidth="10" defaultColWidth="11.3984375" defaultRowHeight="13"/>
  <cols>
    <col min="1" max="1" width="10.59765625" style="3" customWidth="1"/>
    <col min="2" max="2" width="12" style="3" customWidth="1"/>
    <col min="3" max="3" width="11.59765625" style="3" customWidth="1"/>
    <col min="4" max="4" width="15.3984375" style="201" customWidth="1"/>
    <col min="5" max="5" width="18.19921875" style="3" customWidth="1"/>
    <col min="6" max="6" width="19.19921875" style="3" customWidth="1"/>
    <col min="7" max="7" width="15.19921875" style="200" customWidth="1"/>
    <col min="8" max="8" width="16.796875" style="3" customWidth="1"/>
    <col min="9" max="13" width="11.3984375" style="3"/>
    <col min="14" max="14" width="17.59765625" style="3" customWidth="1"/>
    <col min="15" max="16384" width="11.3984375" style="3"/>
  </cols>
  <sheetData>
    <row r="1" spans="1:10" s="1" customFormat="1" ht="14" customHeight="1">
      <c r="D1" s="359"/>
      <c r="G1" s="194"/>
      <c r="J1" s="1104"/>
    </row>
    <row r="2" spans="1:10" s="1" customFormat="1" ht="25.25" customHeight="1">
      <c r="A2" s="2010" t="s">
        <v>1751</v>
      </c>
      <c r="B2" s="2011"/>
      <c r="C2" s="2011"/>
      <c r="D2" s="2011"/>
      <c r="E2" s="2011"/>
      <c r="F2" s="2011"/>
      <c r="G2" s="2016"/>
      <c r="H2" s="327">
        <v>2013</v>
      </c>
      <c r="J2" s="1105"/>
    </row>
    <row r="3" spans="1:10" ht="24" customHeight="1">
      <c r="A3" s="224" t="s">
        <v>67</v>
      </c>
      <c r="B3" s="225" t="s">
        <v>1752</v>
      </c>
      <c r="C3" s="305" t="s">
        <v>1753</v>
      </c>
      <c r="D3" s="225" t="s">
        <v>1754</v>
      </c>
      <c r="E3" s="612" t="s">
        <v>1755</v>
      </c>
      <c r="F3" s="267"/>
      <c r="G3" s="267"/>
      <c r="H3" s="267"/>
      <c r="J3" s="1111"/>
    </row>
    <row r="4" spans="1:10" ht="15" customHeight="1">
      <c r="A4" s="269"/>
      <c r="B4" s="332" t="s">
        <v>1756</v>
      </c>
      <c r="C4" s="1190" t="s">
        <v>1757</v>
      </c>
      <c r="D4" s="332" t="s">
        <v>1758</v>
      </c>
      <c r="E4" s="272" t="s">
        <v>1759</v>
      </c>
      <c r="F4" s="614" t="s">
        <v>1760</v>
      </c>
      <c r="G4" s="415" t="s">
        <v>381</v>
      </c>
      <c r="H4" s="1191" t="s">
        <v>1639</v>
      </c>
      <c r="J4" s="1192"/>
    </row>
    <row r="5" spans="1:10" ht="15" customHeight="1">
      <c r="A5" s="269"/>
      <c r="B5" s="332" t="s">
        <v>1761</v>
      </c>
      <c r="C5" s="306"/>
      <c r="D5" s="332" t="s">
        <v>1762</v>
      </c>
      <c r="E5" s="271" t="s">
        <v>1650</v>
      </c>
      <c r="F5" s="614" t="s">
        <v>1650</v>
      </c>
      <c r="G5" s="415" t="s">
        <v>1638</v>
      </c>
      <c r="H5" s="1191" t="s">
        <v>1645</v>
      </c>
      <c r="J5" s="1192"/>
    </row>
    <row r="6" spans="1:10" s="286" customFormat="1" ht="24" customHeight="1">
      <c r="A6" s="469"/>
      <c r="B6" s="315"/>
      <c r="C6" s="1193"/>
      <c r="D6" s="1194" t="s">
        <v>1763</v>
      </c>
      <c r="E6" s="1178"/>
      <c r="F6" s="1116"/>
      <c r="G6" s="1195" t="s">
        <v>1764</v>
      </c>
      <c r="H6" s="1196" t="s">
        <v>648</v>
      </c>
      <c r="J6" s="1197"/>
    </row>
    <row r="7" spans="1:10" ht="30" customHeight="1" thickBot="1">
      <c r="A7" s="1119" t="s">
        <v>502</v>
      </c>
      <c r="B7" s="335">
        <v>1382732</v>
      </c>
      <c r="C7" s="336">
        <v>2757.3534333333346</v>
      </c>
      <c r="D7" s="352">
        <v>1385489.3534333333</v>
      </c>
      <c r="E7" s="336">
        <v>380455553.84745073</v>
      </c>
      <c r="F7" s="335">
        <v>288933435.96254921</v>
      </c>
      <c r="G7" s="1175">
        <v>669388989.80999994</v>
      </c>
      <c r="H7" s="337">
        <v>0.43163756853031054</v>
      </c>
      <c r="I7" s="6"/>
      <c r="J7" s="1198"/>
    </row>
    <row r="8" spans="1:10" ht="20" customHeight="1" thickBot="1">
      <c r="A8" s="1122" t="s">
        <v>1765</v>
      </c>
      <c r="B8" s="349">
        <v>982424</v>
      </c>
      <c r="C8" s="350">
        <v>227.90333333333336</v>
      </c>
      <c r="D8" s="289">
        <v>982651.90333333332</v>
      </c>
      <c r="E8" s="350">
        <v>269836338.471672</v>
      </c>
      <c r="F8" s="1199">
        <v>90254702.72832799</v>
      </c>
      <c r="G8" s="1200">
        <v>360091041.19999999</v>
      </c>
      <c r="H8" s="351">
        <v>0.250644121629783</v>
      </c>
      <c r="I8" s="6"/>
      <c r="J8" s="1198"/>
    </row>
    <row r="9" spans="1:10" ht="20" customHeight="1" thickBot="1">
      <c r="A9" s="1122" t="s">
        <v>504</v>
      </c>
      <c r="B9" s="349">
        <v>379788</v>
      </c>
      <c r="C9" s="350">
        <v>96.416666666666686</v>
      </c>
      <c r="D9" s="289">
        <v>379884.41666666669</v>
      </c>
      <c r="E9" s="350">
        <v>104316309.4561353</v>
      </c>
      <c r="F9" s="1199">
        <v>72936566.543864697</v>
      </c>
      <c r="G9" s="1200">
        <v>177252876</v>
      </c>
      <c r="H9" s="351">
        <v>0.41148312055520442</v>
      </c>
      <c r="I9" s="6"/>
      <c r="J9" s="1198"/>
    </row>
    <row r="10" spans="1:10" ht="20" customHeight="1" thickBot="1">
      <c r="A10" s="1122" t="s">
        <v>505</v>
      </c>
      <c r="B10" s="349">
        <v>35402</v>
      </c>
      <c r="C10" s="350">
        <v>5.9266666666666667</v>
      </c>
      <c r="D10" s="289">
        <v>35407.926666666666</v>
      </c>
      <c r="E10" s="350">
        <v>9723021.1962107215</v>
      </c>
      <c r="F10" s="349">
        <v>5783955.8037892785</v>
      </c>
      <c r="G10" s="1200">
        <v>15506977</v>
      </c>
      <c r="H10" s="351">
        <v>0.37299054508104829</v>
      </c>
      <c r="I10" s="6"/>
      <c r="J10" s="1198"/>
    </row>
    <row r="11" spans="1:10" ht="20" customHeight="1" thickBot="1">
      <c r="A11" s="1122" t="s">
        <v>506</v>
      </c>
      <c r="B11" s="349">
        <v>147317</v>
      </c>
      <c r="C11" s="350">
        <v>89.356666666666655</v>
      </c>
      <c r="D11" s="289">
        <v>147406.35666666666</v>
      </c>
      <c r="E11" s="583">
        <v>40477804.414214902</v>
      </c>
      <c r="F11" s="349">
        <v>18341870.585785098</v>
      </c>
      <c r="G11" s="1200">
        <v>58819675</v>
      </c>
      <c r="H11" s="351">
        <v>0.31183223276539862</v>
      </c>
      <c r="I11" s="6"/>
      <c r="J11" s="1198"/>
    </row>
    <row r="12" spans="1:10" ht="20" customHeight="1" thickBot="1">
      <c r="A12" s="1122" t="s">
        <v>507</v>
      </c>
      <c r="B12" s="349">
        <v>35735</v>
      </c>
      <c r="C12" s="350">
        <v>80.156666666666652</v>
      </c>
      <c r="D12" s="289">
        <v>35815.156666666669</v>
      </c>
      <c r="E12" s="350">
        <v>9834846.6063514519</v>
      </c>
      <c r="F12" s="349">
        <v>9450569.3936485481</v>
      </c>
      <c r="G12" s="1200">
        <v>19285416</v>
      </c>
      <c r="H12" s="351">
        <v>0.49003710335564182</v>
      </c>
      <c r="I12" s="6"/>
      <c r="J12" s="1198"/>
    </row>
    <row r="13" spans="1:10" ht="20" customHeight="1" thickBot="1">
      <c r="A13" s="1122" t="s">
        <v>508</v>
      </c>
      <c r="B13" s="349">
        <v>41167.5</v>
      </c>
      <c r="C13" s="350">
        <v>7.3100000000000005</v>
      </c>
      <c r="D13" s="289">
        <v>41174.81</v>
      </c>
      <c r="E13" s="350">
        <v>11306608.097921647</v>
      </c>
      <c r="F13" s="349">
        <v>7067069.9020783529</v>
      </c>
      <c r="G13" s="1200">
        <v>18373678</v>
      </c>
      <c r="H13" s="351">
        <v>0.38463011608662961</v>
      </c>
      <c r="I13" s="6"/>
      <c r="J13" s="1198"/>
    </row>
    <row r="14" spans="1:10" ht="20" customHeight="1" thickBot="1">
      <c r="A14" s="1122" t="s">
        <v>509</v>
      </c>
      <c r="B14" s="349">
        <v>38912.5</v>
      </c>
      <c r="C14" s="350">
        <v>161.41</v>
      </c>
      <c r="D14" s="289">
        <v>39073.910000000003</v>
      </c>
      <c r="E14" s="350">
        <v>10729700.688927567</v>
      </c>
      <c r="F14" s="349">
        <v>4985743.3110724334</v>
      </c>
      <c r="G14" s="1200">
        <v>15715444</v>
      </c>
      <c r="H14" s="351">
        <v>0.31725119004416508</v>
      </c>
      <c r="I14" s="6"/>
      <c r="J14" s="1198"/>
    </row>
    <row r="15" spans="1:10" ht="20" customHeight="1" thickBot="1">
      <c r="A15" s="1122" t="s">
        <v>510</v>
      </c>
      <c r="B15" s="349">
        <v>114104.5</v>
      </c>
      <c r="C15" s="350">
        <v>111.66666666666663</v>
      </c>
      <c r="D15" s="289">
        <v>114216.16666666667</v>
      </c>
      <c r="E15" s="350">
        <v>31363773.990624409</v>
      </c>
      <c r="F15" s="349">
        <v>21554916.009375591</v>
      </c>
      <c r="G15" s="1200">
        <v>52918690</v>
      </c>
      <c r="H15" s="351">
        <v>0.40732142102110974</v>
      </c>
      <c r="I15" s="6"/>
      <c r="J15" s="1198"/>
    </row>
    <row r="16" spans="1:10" ht="20" customHeight="1" thickBot="1">
      <c r="A16" s="1122" t="s">
        <v>511</v>
      </c>
      <c r="B16" s="349">
        <v>281580.5</v>
      </c>
      <c r="C16" s="350">
        <v>112.89333333333335</v>
      </c>
      <c r="D16" s="289">
        <v>281693.39333333331</v>
      </c>
      <c r="E16" s="350">
        <v>77353041.876664251</v>
      </c>
      <c r="F16" s="349">
        <v>83050360.473335743</v>
      </c>
      <c r="G16" s="1200">
        <v>160403402.34999999</v>
      </c>
      <c r="H16" s="351">
        <v>0.51775934460616968</v>
      </c>
      <c r="I16" s="6"/>
      <c r="J16" s="1198"/>
    </row>
    <row r="17" spans="1:14" ht="20" customHeight="1" thickBot="1">
      <c r="A17" s="1122" t="s">
        <v>512</v>
      </c>
      <c r="B17" s="349">
        <v>256137</v>
      </c>
      <c r="C17" s="350">
        <v>193.13000000000005</v>
      </c>
      <c r="D17" s="289">
        <v>256330.13</v>
      </c>
      <c r="E17" s="350">
        <v>70388286.517880917</v>
      </c>
      <c r="F17" s="349">
        <v>48210564.482119083</v>
      </c>
      <c r="G17" s="1200">
        <v>118598851</v>
      </c>
      <c r="H17" s="351">
        <v>0.40650110920652244</v>
      </c>
      <c r="I17" s="6"/>
      <c r="J17" s="1198"/>
    </row>
    <row r="18" spans="1:14" ht="20" customHeight="1" thickBot="1">
      <c r="A18" s="1122" t="s">
        <v>513</v>
      </c>
      <c r="B18" s="349">
        <v>185602.5</v>
      </c>
      <c r="C18" s="350">
        <v>4686.6773000000003</v>
      </c>
      <c r="D18" s="289">
        <v>190289.17730000001</v>
      </c>
      <c r="E18" s="350">
        <v>52253432.450739376</v>
      </c>
      <c r="F18" s="349">
        <v>93069871.549260616</v>
      </c>
      <c r="G18" s="1200">
        <v>145323304</v>
      </c>
      <c r="H18" s="351">
        <v>0.6404332201892452</v>
      </c>
      <c r="I18" s="6"/>
      <c r="J18" s="1198"/>
    </row>
    <row r="19" spans="1:14" ht="20" customHeight="1" thickBot="1">
      <c r="A19" s="1122" t="s">
        <v>514</v>
      </c>
      <c r="B19" s="289">
        <v>274882</v>
      </c>
      <c r="C19" s="159">
        <v>2143.5233666666672</v>
      </c>
      <c r="D19" s="289">
        <v>277025.52336666669</v>
      </c>
      <c r="E19" s="350">
        <v>76071244.186154976</v>
      </c>
      <c r="F19" s="289">
        <v>43894254.463845015</v>
      </c>
      <c r="G19" s="424">
        <v>119965498.64999999</v>
      </c>
      <c r="H19" s="351">
        <v>0.36589065154396389</v>
      </c>
      <c r="I19" s="6"/>
      <c r="J19" s="1198"/>
    </row>
    <row r="20" spans="1:14" ht="20" customHeight="1" thickBot="1">
      <c r="A20" s="1122" t="s">
        <v>515</v>
      </c>
      <c r="B20" s="349">
        <v>76747.5</v>
      </c>
      <c r="C20" s="350">
        <v>1849.3766666666656</v>
      </c>
      <c r="D20" s="289">
        <v>78596.876666666663</v>
      </c>
      <c r="E20" s="350">
        <v>21582712.396017913</v>
      </c>
      <c r="F20" s="349">
        <v>17293280.603982087</v>
      </c>
      <c r="G20" s="1200">
        <v>38875993</v>
      </c>
      <c r="H20" s="351">
        <v>0.44483186844853295</v>
      </c>
      <c r="I20" s="6"/>
      <c r="J20" s="1198"/>
    </row>
    <row r="21" spans="1:14" ht="20" customHeight="1" thickBot="1">
      <c r="A21" s="1122" t="s">
        <v>516</v>
      </c>
      <c r="B21" s="349">
        <v>53165</v>
      </c>
      <c r="C21" s="350">
        <v>36.623333333333335</v>
      </c>
      <c r="D21" s="289">
        <v>53201.623333333337</v>
      </c>
      <c r="E21" s="350">
        <v>14609172.579138651</v>
      </c>
      <c r="F21" s="349">
        <v>12626095.420861349</v>
      </c>
      <c r="G21" s="1200">
        <v>27235268</v>
      </c>
      <c r="H21" s="351">
        <v>0.46359358097233883</v>
      </c>
      <c r="I21" s="6"/>
      <c r="J21" s="1198"/>
    </row>
    <row r="22" spans="1:14" ht="20" customHeight="1" thickBot="1">
      <c r="A22" s="1122" t="s">
        <v>517</v>
      </c>
      <c r="B22" s="349">
        <v>15715.5</v>
      </c>
      <c r="C22" s="350">
        <v>21.853333333333339</v>
      </c>
      <c r="D22" s="289">
        <v>15737.353333333333</v>
      </c>
      <c r="E22" s="350">
        <v>4321479.2403054414</v>
      </c>
      <c r="F22" s="349">
        <v>1629073.8596945582</v>
      </c>
      <c r="G22" s="1200">
        <v>5950553.0999999996</v>
      </c>
      <c r="H22" s="351">
        <v>0.27376847703359847</v>
      </c>
      <c r="I22" s="6"/>
      <c r="J22" s="1198"/>
    </row>
    <row r="23" spans="1:14" ht="20" customHeight="1" thickBot="1">
      <c r="A23" s="1122" t="s">
        <v>518</v>
      </c>
      <c r="B23" s="349">
        <v>481031.5</v>
      </c>
      <c r="C23" s="350">
        <v>514.30666666666673</v>
      </c>
      <c r="D23" s="289">
        <v>481545.80666666664</v>
      </c>
      <c r="E23" s="350">
        <v>132232540.16661024</v>
      </c>
      <c r="F23" s="349">
        <v>64490148.833389759</v>
      </c>
      <c r="G23" s="1200">
        <v>196722689</v>
      </c>
      <c r="H23" s="351">
        <v>0.32782262768576614</v>
      </c>
      <c r="I23" s="6"/>
      <c r="J23" s="1198"/>
    </row>
    <row r="24" spans="1:14" ht="20" customHeight="1" thickBot="1">
      <c r="A24" s="1122" t="s">
        <v>519</v>
      </c>
      <c r="B24" s="349">
        <v>193004.5</v>
      </c>
      <c r="C24" s="350">
        <v>58.589999999999996</v>
      </c>
      <c r="D24" s="289">
        <v>193063.09</v>
      </c>
      <c r="E24" s="350">
        <v>53015149.233324349</v>
      </c>
      <c r="F24" s="349">
        <v>38354883.966675654</v>
      </c>
      <c r="G24" s="1200">
        <v>91370033.200000003</v>
      </c>
      <c r="H24" s="351">
        <v>0.419775309512262</v>
      </c>
      <c r="I24" s="6"/>
      <c r="J24" s="1198"/>
    </row>
    <row r="25" spans="1:14" ht="20" customHeight="1" thickBot="1">
      <c r="A25" s="1122" t="s">
        <v>520</v>
      </c>
      <c r="B25" s="349">
        <v>614882</v>
      </c>
      <c r="C25" s="350">
        <v>3679.0533333666676</v>
      </c>
      <c r="D25" s="289">
        <v>618561.05333336664</v>
      </c>
      <c r="E25" s="350">
        <v>169856944.44438207</v>
      </c>
      <c r="F25" s="349">
        <v>97307275.155617952</v>
      </c>
      <c r="G25" s="1200">
        <v>267164219.60000002</v>
      </c>
      <c r="H25" s="351">
        <v>0.36422270654845557</v>
      </c>
      <c r="I25" s="6"/>
      <c r="J25" s="1198"/>
    </row>
    <row r="26" spans="1:14" ht="20" customHeight="1" thickBot="1">
      <c r="A26" s="1122" t="s">
        <v>521</v>
      </c>
      <c r="B26" s="349">
        <v>250208.5</v>
      </c>
      <c r="C26" s="350">
        <v>1692.6999999999994</v>
      </c>
      <c r="D26" s="289">
        <v>251901.2</v>
      </c>
      <c r="E26" s="350">
        <v>69172101.772811592</v>
      </c>
      <c r="F26" s="349">
        <v>57993452.227188408</v>
      </c>
      <c r="G26" s="1200">
        <v>127165554</v>
      </c>
      <c r="H26" s="351">
        <v>0.45604686491743202</v>
      </c>
      <c r="I26" s="6"/>
      <c r="J26" s="1198"/>
    </row>
    <row r="27" spans="1:14" ht="20" customHeight="1" thickBot="1">
      <c r="A27" s="1122" t="s">
        <v>522</v>
      </c>
      <c r="B27" s="349">
        <v>335348</v>
      </c>
      <c r="C27" s="350">
        <v>583.31939999999997</v>
      </c>
      <c r="D27" s="289">
        <v>335931.31939999998</v>
      </c>
      <c r="E27" s="350">
        <v>92246783.319061905</v>
      </c>
      <c r="F27" s="349">
        <v>182948047.78093806</v>
      </c>
      <c r="G27" s="1200">
        <v>275194831.09999996</v>
      </c>
      <c r="H27" s="351">
        <v>0.66479463676575601</v>
      </c>
      <c r="I27" s="6"/>
      <c r="J27" s="1198"/>
    </row>
    <row r="28" spans="1:14" ht="20" customHeight="1" thickBot="1">
      <c r="A28" s="1122" t="s">
        <v>523</v>
      </c>
      <c r="B28" s="349">
        <v>719612.5</v>
      </c>
      <c r="C28" s="350">
        <v>393.43236659999997</v>
      </c>
      <c r="D28" s="289">
        <v>720005.93236660003</v>
      </c>
      <c r="E28" s="350">
        <v>197713721.21566135</v>
      </c>
      <c r="F28" s="349">
        <v>248534782.63433868</v>
      </c>
      <c r="G28" s="1200">
        <v>446248503.85000002</v>
      </c>
      <c r="H28" s="351">
        <v>0.55694255664749537</v>
      </c>
      <c r="I28" s="6"/>
      <c r="J28" s="1198"/>
    </row>
    <row r="29" spans="1:14" ht="20" customHeight="1" thickBot="1">
      <c r="A29" s="1122" t="s">
        <v>524</v>
      </c>
      <c r="B29" s="349">
        <v>314853</v>
      </c>
      <c r="C29" s="350">
        <v>36.226666666666667</v>
      </c>
      <c r="D29" s="289">
        <v>314889.22666666668</v>
      </c>
      <c r="E29" s="350">
        <v>86468621.960310653</v>
      </c>
      <c r="F29" s="349">
        <v>103635960.82968937</v>
      </c>
      <c r="G29" s="1200">
        <v>190104582.79000002</v>
      </c>
      <c r="H29" s="351">
        <v>0.54515235408170748</v>
      </c>
      <c r="I29" s="6"/>
      <c r="J29" s="1198"/>
    </row>
    <row r="30" spans="1:14" ht="20" customHeight="1" thickBot="1">
      <c r="A30" s="1122" t="s">
        <v>525</v>
      </c>
      <c r="B30" s="349">
        <v>172634</v>
      </c>
      <c r="C30" s="350">
        <v>103.12336663333338</v>
      </c>
      <c r="D30" s="289">
        <v>172737.12336663334</v>
      </c>
      <c r="E30" s="350">
        <v>47433636.19331497</v>
      </c>
      <c r="F30" s="349">
        <v>56520401.80668503</v>
      </c>
      <c r="G30" s="1200">
        <v>103954038</v>
      </c>
      <c r="H30" s="351">
        <v>0.54370568853405221</v>
      </c>
      <c r="I30" s="6"/>
      <c r="J30" s="1198"/>
      <c r="K30" s="1201"/>
      <c r="L30" s="1201"/>
      <c r="M30" s="1201"/>
      <c r="N30" s="1201"/>
    </row>
    <row r="31" spans="1:14" ht="20" customHeight="1" thickBot="1">
      <c r="A31" s="1122" t="s">
        <v>526</v>
      </c>
      <c r="B31" s="349">
        <v>459124.5</v>
      </c>
      <c r="C31" s="350">
        <v>4586.8245332999995</v>
      </c>
      <c r="D31" s="289">
        <v>463711.32453330001</v>
      </c>
      <c r="E31" s="350">
        <v>127335189.08930443</v>
      </c>
      <c r="F31" s="349">
        <v>143797713.91069555</v>
      </c>
      <c r="G31" s="1200">
        <v>271132903</v>
      </c>
      <c r="H31" s="351">
        <v>0.53035877357421113</v>
      </c>
      <c r="J31" s="1198"/>
    </row>
    <row r="32" spans="1:14" ht="20" customHeight="1" thickBot="1">
      <c r="A32" s="1122" t="s">
        <v>527</v>
      </c>
      <c r="B32" s="349">
        <v>70287</v>
      </c>
      <c r="C32" s="350">
        <v>141.36333333333334</v>
      </c>
      <c r="D32" s="289">
        <v>70428.363333333327</v>
      </c>
      <c r="E32" s="350">
        <v>19339637.588808171</v>
      </c>
      <c r="F32" s="349">
        <v>22619650.26119183</v>
      </c>
      <c r="G32" s="1200">
        <v>41959287.850000001</v>
      </c>
      <c r="H32" s="351">
        <v>0.53908565707918299</v>
      </c>
      <c r="J32" s="1198"/>
      <c r="K32" s="8"/>
      <c r="L32" s="8"/>
    </row>
    <row r="33" spans="1:10" s="200" customFormat="1" ht="30" customHeight="1" thickBot="1">
      <c r="A33" s="1124" t="s">
        <v>1766</v>
      </c>
      <c r="B33" s="290">
        <v>7912398</v>
      </c>
      <c r="C33" s="291">
        <v>24370.517099899997</v>
      </c>
      <c r="D33" s="290">
        <v>7936768.5170999002</v>
      </c>
      <c r="E33" s="556">
        <v>2179437651.0000005</v>
      </c>
      <c r="F33" s="555">
        <v>1835284648.4999998</v>
      </c>
      <c r="G33" s="556">
        <v>4014722299.499999</v>
      </c>
      <c r="H33" s="526">
        <v>0.45713862917207737</v>
      </c>
      <c r="J33" s="1202"/>
    </row>
    <row r="34" spans="1:10" ht="20" customHeight="1">
      <c r="A34" s="1098" t="s">
        <v>1652</v>
      </c>
      <c r="B34" s="457"/>
      <c r="C34" s="457"/>
      <c r="D34" s="457"/>
      <c r="E34" s="457"/>
      <c r="F34" s="457"/>
      <c r="G34" s="458"/>
      <c r="H34" s="459"/>
    </row>
    <row r="35" spans="1:10" ht="14.25" customHeight="1">
      <c r="A35" s="1099"/>
      <c r="B35" s="459"/>
      <c r="C35" s="459"/>
      <c r="D35" s="459"/>
      <c r="E35" s="459"/>
      <c r="F35" s="459"/>
      <c r="G35" s="460"/>
      <c r="H35" s="459"/>
    </row>
    <row r="36" spans="1:10" ht="15.75" customHeight="1">
      <c r="A36" s="1099" t="s">
        <v>1767</v>
      </c>
      <c r="B36" s="459"/>
      <c r="C36" s="459"/>
      <c r="D36" s="459"/>
      <c r="E36" s="459"/>
      <c r="F36" s="459"/>
      <c r="G36" s="460"/>
      <c r="H36" s="459"/>
    </row>
    <row r="37" spans="1:10" ht="15.75" customHeight="1">
      <c r="A37" s="1099" t="s">
        <v>1768</v>
      </c>
      <c r="B37" s="459"/>
      <c r="C37" s="459"/>
      <c r="D37" s="459"/>
      <c r="E37" s="459"/>
      <c r="F37" s="459"/>
      <c r="G37" s="460"/>
      <c r="H37" s="459"/>
    </row>
    <row r="38" spans="1:10" ht="13.5" customHeight="1">
      <c r="A38" s="1099"/>
      <c r="B38" s="459"/>
      <c r="C38" s="459"/>
      <c r="D38" s="459"/>
      <c r="E38" s="459"/>
      <c r="F38" s="459"/>
      <c r="G38" s="460"/>
      <c r="H38" s="459"/>
    </row>
    <row r="39" spans="1:10">
      <c r="A39" s="3" t="s">
        <v>1769</v>
      </c>
    </row>
    <row r="40" spans="1:10">
      <c r="A40" s="3" t="s">
        <v>1770</v>
      </c>
    </row>
    <row r="41" spans="1:10">
      <c r="A41" s="3" t="s">
        <v>1740</v>
      </c>
    </row>
    <row r="42" spans="1:10">
      <c r="A42" s="3" t="s">
        <v>1771</v>
      </c>
    </row>
    <row r="43" spans="1:10">
      <c r="A43" s="1203" t="s">
        <v>1772</v>
      </c>
    </row>
    <row r="44" spans="1:10">
      <c r="A44" s="219" t="s">
        <v>1773</v>
      </c>
    </row>
    <row r="45" spans="1:10">
      <c r="A45" s="219"/>
    </row>
    <row r="47" spans="1:10">
      <c r="A47" s="3" t="s">
        <v>302</v>
      </c>
    </row>
  </sheetData>
  <mergeCells count="1">
    <mergeCell ref="A2:G2"/>
  </mergeCells>
  <pageMargins left="0.59055118110236227" right="0.59055118110236227" top="0.78740157480314965" bottom="0.47244094488188981" header="0.47244094488188981" footer="0.51181102362204722"/>
  <pageSetup paperSize="9" scale="77" orientation="portrait" horizontalDpi="1200" verticalDpi="1200"/>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B96DE-5C59-6447-9B21-6FFA320435C4}">
  <sheetPr>
    <pageSetUpPr fitToPage="1"/>
  </sheetPr>
  <dimension ref="A1:K46"/>
  <sheetViews>
    <sheetView zoomScaleNormal="100" workbookViewId="0">
      <selection activeCell="B67" sqref="B67"/>
    </sheetView>
  </sheetViews>
  <sheetFormatPr baseColWidth="10" defaultColWidth="11.3984375" defaultRowHeight="13"/>
  <cols>
    <col min="1" max="1" width="10.59765625" style="3" customWidth="1"/>
    <col min="2" max="2" width="16.3984375" style="3" customWidth="1"/>
    <col min="3" max="3" width="19.3984375" style="3" customWidth="1"/>
    <col min="4" max="4" width="17.3984375" style="200" customWidth="1"/>
    <col min="5" max="5" width="16" style="245" customWidth="1"/>
    <col min="6" max="6" width="13.59765625" style="245" customWidth="1"/>
    <col min="7" max="7" width="15.3984375" style="245" customWidth="1"/>
    <col min="8" max="8" width="16.19921875" style="3" customWidth="1"/>
    <col min="9" max="9" width="11.59765625" style="3" customWidth="1"/>
    <col min="10" max="16384" width="11.3984375" style="3"/>
  </cols>
  <sheetData>
    <row r="1" spans="1:10" s="1" customFormat="1" ht="14" customHeight="1">
      <c r="D1" s="194"/>
      <c r="E1" s="221"/>
      <c r="F1" s="221"/>
      <c r="G1" s="221"/>
    </row>
    <row r="2" spans="1:10" s="1" customFormat="1" ht="25.25" customHeight="1">
      <c r="A2" s="311" t="s">
        <v>1774</v>
      </c>
      <c r="D2" s="194"/>
      <c r="E2" s="221"/>
      <c r="F2" s="221"/>
      <c r="G2" s="327"/>
      <c r="H2" s="327">
        <v>2013</v>
      </c>
    </row>
    <row r="3" spans="1:10" ht="24" customHeight="1">
      <c r="A3" s="224" t="s">
        <v>67</v>
      </c>
      <c r="B3" s="267" t="s">
        <v>1638</v>
      </c>
      <c r="C3" s="268" t="s">
        <v>1638</v>
      </c>
      <c r="D3" s="465" t="s">
        <v>381</v>
      </c>
      <c r="E3" s="305" t="s">
        <v>475</v>
      </c>
      <c r="F3" s="225" t="s">
        <v>104</v>
      </c>
      <c r="G3" s="305" t="s">
        <v>104</v>
      </c>
      <c r="H3" s="1204"/>
    </row>
    <row r="4" spans="1:10" ht="15" customHeight="1">
      <c r="A4" s="269"/>
      <c r="B4" s="614" t="s">
        <v>1775</v>
      </c>
      <c r="C4" s="272" t="s">
        <v>1775</v>
      </c>
      <c r="D4" s="1205" t="s">
        <v>1638</v>
      </c>
      <c r="E4" s="306" t="s">
        <v>476</v>
      </c>
      <c r="F4" s="1191" t="s">
        <v>1638</v>
      </c>
      <c r="G4" s="306" t="s">
        <v>1638</v>
      </c>
      <c r="H4" s="1191" t="s">
        <v>648</v>
      </c>
    </row>
    <row r="5" spans="1:10" ht="15" customHeight="1">
      <c r="A5" s="269"/>
      <c r="B5" s="270" t="s">
        <v>1776</v>
      </c>
      <c r="C5" s="271" t="s">
        <v>1777</v>
      </c>
      <c r="D5" s="1205" t="s">
        <v>1778</v>
      </c>
      <c r="E5" s="306" t="s">
        <v>477</v>
      </c>
      <c r="F5" s="1191" t="s">
        <v>1648</v>
      </c>
      <c r="G5" s="306" t="s">
        <v>1646</v>
      </c>
      <c r="H5" s="1191" t="s">
        <v>1779</v>
      </c>
    </row>
    <row r="6" spans="1:10" s="286" customFormat="1" ht="24" customHeight="1">
      <c r="A6" s="469"/>
      <c r="B6" s="315" t="s">
        <v>1650</v>
      </c>
      <c r="C6" s="1178" t="s">
        <v>1650</v>
      </c>
      <c r="D6" s="1206" t="s">
        <v>1650</v>
      </c>
      <c r="E6" s="1193"/>
      <c r="F6" s="1196" t="s">
        <v>1650</v>
      </c>
      <c r="G6" s="1193" t="s">
        <v>1650</v>
      </c>
      <c r="H6" s="1196" t="s">
        <v>1780</v>
      </c>
    </row>
    <row r="7" spans="1:10" ht="30" customHeight="1" thickBot="1">
      <c r="A7" s="1119" t="s">
        <v>502</v>
      </c>
      <c r="B7" s="335">
        <v>658378009.33999991</v>
      </c>
      <c r="C7" s="336">
        <v>11010980.470000001</v>
      </c>
      <c r="D7" s="1207">
        <v>669388989.80999994</v>
      </c>
      <c r="E7" s="1208">
        <v>1.4169698504175907E-2</v>
      </c>
      <c r="F7" s="1209">
        <v>2434.292264649087</v>
      </c>
      <c r="G7" s="1210">
        <v>1649.1597371007915</v>
      </c>
      <c r="H7" s="337">
        <v>0.53151636523371437</v>
      </c>
      <c r="I7" s="338"/>
    </row>
    <row r="8" spans="1:10" ht="20" customHeight="1" thickBot="1">
      <c r="A8" s="1122" t="s">
        <v>1675</v>
      </c>
      <c r="B8" s="349">
        <v>345687430.19999999</v>
      </c>
      <c r="C8" s="350">
        <v>14403611</v>
      </c>
      <c r="D8" s="1211">
        <v>360091041.19999999</v>
      </c>
      <c r="E8" s="1208">
        <v>-6.1722662980390128E-2</v>
      </c>
      <c r="F8" s="1212">
        <v>2540.0918518936533</v>
      </c>
      <c r="G8" s="1210">
        <v>1417.2460472768205</v>
      </c>
      <c r="H8" s="351">
        <v>0.42783745536377771</v>
      </c>
      <c r="I8" s="338"/>
      <c r="J8"/>
    </row>
    <row r="9" spans="1:10" ht="20" customHeight="1" thickBot="1">
      <c r="A9" s="1122" t="s">
        <v>504</v>
      </c>
      <c r="B9" s="349">
        <v>172396333</v>
      </c>
      <c r="C9" s="350">
        <v>4856543</v>
      </c>
      <c r="D9" s="1211">
        <v>177252876</v>
      </c>
      <c r="E9" s="1208">
        <v>3.4479606781871411E-2</v>
      </c>
      <c r="F9" s="1213">
        <v>2880.8021583318437</v>
      </c>
      <c r="G9" s="1214">
        <v>1431.2361804176155</v>
      </c>
      <c r="H9" s="1215">
        <v>0.53593295259893248</v>
      </c>
      <c r="I9" s="338"/>
    </row>
    <row r="10" spans="1:10" ht="20" customHeight="1" thickBot="1">
      <c r="A10" s="1122" t="s">
        <v>505</v>
      </c>
      <c r="B10" s="349">
        <v>14992192</v>
      </c>
      <c r="C10" s="350">
        <v>514785</v>
      </c>
      <c r="D10" s="1211">
        <v>15506977</v>
      </c>
      <c r="E10" s="1208">
        <v>-4.146026175836078E-3</v>
      </c>
      <c r="F10" s="1216">
        <v>2266.1079935700718</v>
      </c>
      <c r="G10" s="1217">
        <v>1156.5466139618138</v>
      </c>
      <c r="H10" s="347">
        <v>0.45810583723412635</v>
      </c>
      <c r="I10" s="338"/>
    </row>
    <row r="11" spans="1:10" ht="20" customHeight="1" thickBot="1">
      <c r="A11" s="1122" t="s">
        <v>506</v>
      </c>
      <c r="B11" s="349">
        <v>58575207</v>
      </c>
      <c r="C11" s="350">
        <v>244468</v>
      </c>
      <c r="D11" s="1211">
        <v>58819675</v>
      </c>
      <c r="E11" s="1208">
        <v>5.8268665757297354E-2</v>
      </c>
      <c r="F11" s="1216">
        <v>3004.2226364982889</v>
      </c>
      <c r="G11" s="1217">
        <v>1606.6998552268567</v>
      </c>
      <c r="H11" s="347">
        <v>0.60984067754728721</v>
      </c>
      <c r="I11" s="338"/>
    </row>
    <row r="12" spans="1:10" ht="20" customHeight="1" thickBot="1">
      <c r="A12" s="1122" t="s">
        <v>507</v>
      </c>
      <c r="B12" s="349">
        <v>19280859</v>
      </c>
      <c r="C12" s="350">
        <v>4557</v>
      </c>
      <c r="D12" s="1211">
        <v>19285416</v>
      </c>
      <c r="E12" s="1208">
        <v>6.7515893907741679E-3</v>
      </c>
      <c r="F12" s="1216">
        <v>2643.2861842105262</v>
      </c>
      <c r="G12" s="1217">
        <v>1549.6517476898352</v>
      </c>
      <c r="H12" s="347">
        <v>0.6299012131692584</v>
      </c>
      <c r="I12" s="338"/>
    </row>
    <row r="13" spans="1:10" ht="20" customHeight="1" thickBot="1">
      <c r="A13" s="1122" t="s">
        <v>508</v>
      </c>
      <c r="B13" s="349">
        <v>18149185</v>
      </c>
      <c r="C13" s="350">
        <v>224493</v>
      </c>
      <c r="D13" s="1211">
        <v>18373678</v>
      </c>
      <c r="E13" s="1208">
        <v>4.0611578153570208E-2</v>
      </c>
      <c r="F13" s="1216">
        <v>1782.2948879619751</v>
      </c>
      <c r="G13" s="1217">
        <v>894.79292880101298</v>
      </c>
      <c r="H13" s="347">
        <v>0.37682196178119642</v>
      </c>
      <c r="I13" s="338"/>
    </row>
    <row r="14" spans="1:10" ht="20" customHeight="1" thickBot="1">
      <c r="A14" s="1122" t="s">
        <v>509</v>
      </c>
      <c r="B14" s="349">
        <v>15450552</v>
      </c>
      <c r="C14" s="350"/>
      <c r="D14" s="1211">
        <v>15715444</v>
      </c>
      <c r="E14" s="1208">
        <v>9.0201326712903124E-2</v>
      </c>
      <c r="F14" s="1216">
        <v>2464.0081530260268</v>
      </c>
      <c r="G14" s="1217">
        <v>1724.1298957761931</v>
      </c>
      <c r="H14" s="347">
        <v>0.62390848610982375</v>
      </c>
      <c r="I14" s="338"/>
    </row>
    <row r="15" spans="1:10" ht="20" customHeight="1" thickBot="1">
      <c r="A15" s="1122" t="s">
        <v>510</v>
      </c>
      <c r="B15" s="349">
        <v>49142671</v>
      </c>
      <c r="C15" s="350">
        <v>3776019</v>
      </c>
      <c r="D15" s="1211">
        <v>52918690</v>
      </c>
      <c r="E15" s="1208">
        <v>4.8440497290094621E-2</v>
      </c>
      <c r="F15" s="1216">
        <v>2892.3639046786184</v>
      </c>
      <c r="G15" s="1217">
        <v>1740.6891220683531</v>
      </c>
      <c r="H15" s="347">
        <v>0.6680115000226543</v>
      </c>
      <c r="I15" s="338"/>
    </row>
    <row r="16" spans="1:10" ht="20" customHeight="1" thickBot="1">
      <c r="A16" s="1122" t="s">
        <v>511</v>
      </c>
      <c r="B16" s="349">
        <v>156939384</v>
      </c>
      <c r="C16" s="350"/>
      <c r="D16" s="1211">
        <v>160403402.34999999</v>
      </c>
      <c r="E16" s="1208">
        <v>3.512001039974272E-3</v>
      </c>
      <c r="F16" s="1216">
        <v>3530.1598298780755</v>
      </c>
      <c r="G16" s="1217">
        <v>1984.9449616384111</v>
      </c>
      <c r="H16" s="347">
        <v>0.68352603923122679</v>
      </c>
      <c r="I16" s="338"/>
    </row>
    <row r="17" spans="1:11" ht="20" customHeight="1" thickBot="1">
      <c r="A17" s="1122" t="s">
        <v>512</v>
      </c>
      <c r="B17" s="349">
        <v>116343059</v>
      </c>
      <c r="C17" s="350">
        <v>2255792</v>
      </c>
      <c r="D17" s="1211">
        <v>118598851</v>
      </c>
      <c r="E17" s="1208">
        <v>-5.295011970115767E-2</v>
      </c>
      <c r="F17" s="1216">
        <v>3172.4494703616519</v>
      </c>
      <c r="G17" s="1217">
        <v>1935.2019417475728</v>
      </c>
      <c r="H17" s="347">
        <v>0.65010147226432002</v>
      </c>
      <c r="I17" s="338"/>
    </row>
    <row r="18" spans="1:11" ht="20" customHeight="1" thickBot="1">
      <c r="A18" s="1122" t="s">
        <v>513</v>
      </c>
      <c r="B18" s="349">
        <v>145462580</v>
      </c>
      <c r="C18" s="350">
        <v>-139276</v>
      </c>
      <c r="D18" s="1211">
        <v>145323304</v>
      </c>
      <c r="E18" s="1208">
        <v>2.4075183956914843E-2</v>
      </c>
      <c r="F18" s="1216">
        <v>4584.9098939929327</v>
      </c>
      <c r="G18" s="1217">
        <v>2847.3549903993103</v>
      </c>
      <c r="H18" s="347">
        <v>0.65950362370917792</v>
      </c>
      <c r="I18" s="338"/>
    </row>
    <row r="19" spans="1:11" ht="20" customHeight="1" thickBot="1">
      <c r="A19" s="1122" t="s">
        <v>514</v>
      </c>
      <c r="B19" s="349">
        <v>115189690.05</v>
      </c>
      <c r="C19" s="350">
        <v>4775808.5999999996</v>
      </c>
      <c r="D19" s="660">
        <v>119965498.64999999</v>
      </c>
      <c r="E19" s="1208">
        <v>1.6330691006938593E-2</v>
      </c>
      <c r="F19" s="1216">
        <v>3752.557122524946</v>
      </c>
      <c r="G19" s="1217">
        <v>2133.8959897899285</v>
      </c>
      <c r="H19" s="347">
        <v>0.63222306069602774</v>
      </c>
      <c r="I19" s="338"/>
    </row>
    <row r="20" spans="1:11" ht="20" customHeight="1" thickBot="1">
      <c r="A20" s="1122" t="s">
        <v>515</v>
      </c>
      <c r="B20" s="349">
        <v>38605412</v>
      </c>
      <c r="C20" s="350">
        <v>270581</v>
      </c>
      <c r="D20" s="1211">
        <v>38875993</v>
      </c>
      <c r="E20" s="1208">
        <v>-7.0587767277487487E-2</v>
      </c>
      <c r="F20" s="1216">
        <v>3380.8151143577702</v>
      </c>
      <c r="G20" s="1217">
        <v>2082.3821843698111</v>
      </c>
      <c r="H20" s="347">
        <v>0.70100023946231471</v>
      </c>
      <c r="I20" s="338"/>
    </row>
    <row r="21" spans="1:11" ht="20" customHeight="1" thickBot="1">
      <c r="A21" s="1122" t="s">
        <v>516</v>
      </c>
      <c r="B21" s="349">
        <v>27120807</v>
      </c>
      <c r="C21" s="350">
        <v>114461</v>
      </c>
      <c r="D21" s="1211">
        <v>27235268</v>
      </c>
      <c r="E21" s="1208">
        <v>8.9662697297072827E-4</v>
      </c>
      <c r="F21" s="1216">
        <v>3851.6854758874274</v>
      </c>
      <c r="G21" s="1217">
        <v>1993.3592915172364</v>
      </c>
      <c r="H21" s="347">
        <v>0.79332174087071006</v>
      </c>
      <c r="I21" s="338"/>
    </row>
    <row r="22" spans="1:11" ht="20" customHeight="1" thickBot="1">
      <c r="A22" s="1122" t="s">
        <v>517</v>
      </c>
      <c r="B22" s="349">
        <v>5893131.5999999996</v>
      </c>
      <c r="C22" s="350">
        <v>57421.5</v>
      </c>
      <c r="D22" s="1211">
        <v>5950553.0999999996</v>
      </c>
      <c r="E22" s="1208">
        <v>3.3085148581683266E-2</v>
      </c>
      <c r="F22" s="1216">
        <v>2327.1619475948373</v>
      </c>
      <c r="G22" s="1217">
        <v>965.05888744729157</v>
      </c>
      <c r="H22" s="347">
        <v>0.42990347845820942</v>
      </c>
      <c r="I22" s="338"/>
    </row>
    <row r="23" spans="1:11" ht="20" customHeight="1" thickBot="1">
      <c r="A23" s="1122" t="s">
        <v>518</v>
      </c>
      <c r="B23" s="349">
        <v>194140836</v>
      </c>
      <c r="C23" s="350">
        <v>2581853</v>
      </c>
      <c r="D23" s="1211">
        <v>196722689</v>
      </c>
      <c r="E23" s="1208">
        <v>-1.2134594600734535E-2</v>
      </c>
      <c r="F23" s="1216">
        <v>2794.5151571111996</v>
      </c>
      <c r="G23" s="1217">
        <v>1493.3780384119032</v>
      </c>
      <c r="H23" s="347">
        <v>0.55493547452181402</v>
      </c>
      <c r="I23" s="338"/>
    </row>
    <row r="24" spans="1:11" ht="20" customHeight="1" thickBot="1">
      <c r="A24" s="1122" t="s">
        <v>519</v>
      </c>
      <c r="B24" s="349">
        <v>77350006</v>
      </c>
      <c r="C24" s="350">
        <v>14020027.199999999</v>
      </c>
      <c r="D24" s="1211">
        <v>91370033.200000003</v>
      </c>
      <c r="E24" s="1208">
        <v>-5.5581414162997785E-2</v>
      </c>
      <c r="F24" s="1216">
        <v>2998.2947168077708</v>
      </c>
      <c r="G24" s="1217">
        <v>1509.2755612084773</v>
      </c>
      <c r="H24" s="347">
        <v>0.55389243797817067</v>
      </c>
      <c r="I24" s="338"/>
    </row>
    <row r="25" spans="1:11" ht="20" customHeight="1" thickBot="1">
      <c r="A25" s="1122" t="s">
        <v>520</v>
      </c>
      <c r="B25" s="349">
        <v>255533866.10000002</v>
      </c>
      <c r="C25" s="350">
        <v>11630353.5</v>
      </c>
      <c r="D25" s="1211">
        <v>267164219.60000002</v>
      </c>
      <c r="E25" s="1208">
        <v>2.4322791621779874E-2</v>
      </c>
      <c r="F25" s="1216">
        <v>3301.6253240895221</v>
      </c>
      <c r="G25" s="1217">
        <v>1502.577105126994</v>
      </c>
      <c r="H25" s="347">
        <v>0.51929260691776813</v>
      </c>
      <c r="I25" s="338"/>
    </row>
    <row r="26" spans="1:11" ht="20" customHeight="1" thickBot="1">
      <c r="A26" s="1122" t="s">
        <v>521</v>
      </c>
      <c r="B26" s="349">
        <v>120025039</v>
      </c>
      <c r="C26" s="350">
        <v>7140515</v>
      </c>
      <c r="D26" s="1211">
        <v>127165554</v>
      </c>
      <c r="E26" s="1208">
        <v>1.2609084135324754E-2</v>
      </c>
      <c r="F26" s="1216">
        <v>2057.4287147294849</v>
      </c>
      <c r="G26" s="1217">
        <v>1348.1209609023831</v>
      </c>
      <c r="H26" s="347">
        <v>0.50180528038364991</v>
      </c>
      <c r="I26" s="338"/>
    </row>
    <row r="27" spans="1:11" ht="20" customHeight="1" thickBot="1">
      <c r="A27" s="1122" t="s">
        <v>522</v>
      </c>
      <c r="B27" s="349">
        <v>273818635.14999998</v>
      </c>
      <c r="C27" s="350">
        <v>1376195.9500000002</v>
      </c>
      <c r="D27" s="1211">
        <v>275194831.09999996</v>
      </c>
      <c r="E27" s="1208">
        <v>3.547892658619644E-2</v>
      </c>
      <c r="F27" s="1216">
        <v>4140.8834316410357</v>
      </c>
      <c r="G27" s="1217">
        <v>2128.6564236043964</v>
      </c>
      <c r="H27" s="347">
        <v>0.62520636873494284</v>
      </c>
      <c r="I27" s="338"/>
    </row>
    <row r="28" spans="1:11" ht="20" customHeight="1" thickBot="1">
      <c r="A28" s="1122" t="s">
        <v>523</v>
      </c>
      <c r="B28" s="349">
        <v>442440590.85000002</v>
      </c>
      <c r="C28" s="350">
        <v>3807913</v>
      </c>
      <c r="D28" s="1211">
        <v>446248503.85000002</v>
      </c>
      <c r="E28" s="1208">
        <v>6.231740437420525E-2</v>
      </c>
      <c r="F28" s="1218">
        <v>4292.667126957559</v>
      </c>
      <c r="G28" s="1219">
        <v>2378.2289601308898</v>
      </c>
      <c r="H28" s="406">
        <v>0.7008994986675805</v>
      </c>
      <c r="I28" s="338"/>
    </row>
    <row r="29" spans="1:11" ht="20" customHeight="1" thickBot="1">
      <c r="A29" s="1122" t="s">
        <v>524</v>
      </c>
      <c r="B29" s="349">
        <v>185190387.24000001</v>
      </c>
      <c r="C29" s="350">
        <v>4914195.55</v>
      </c>
      <c r="D29" s="1211">
        <v>190104582.79000002</v>
      </c>
      <c r="E29" s="1208">
        <v>1.6576291582920382E-2</v>
      </c>
      <c r="F29" s="1212">
        <v>3403.7202390245652</v>
      </c>
      <c r="G29" s="1210">
        <v>2060.1736398413459</v>
      </c>
      <c r="H29" s="351">
        <v>0.72014663523002598</v>
      </c>
      <c r="I29" s="338"/>
    </row>
    <row r="30" spans="1:11" ht="20" customHeight="1" thickBot="1">
      <c r="A30" s="1122" t="s">
        <v>525</v>
      </c>
      <c r="B30" s="349">
        <v>102382351</v>
      </c>
      <c r="C30" s="350">
        <v>1571687</v>
      </c>
      <c r="D30" s="1211">
        <v>103954038</v>
      </c>
      <c r="E30" s="1208">
        <v>3.2743441007614844E-2</v>
      </c>
      <c r="F30" s="1212">
        <v>3573.5317291165347</v>
      </c>
      <c r="G30" s="1210">
        <v>2177.0023245586481</v>
      </c>
      <c r="H30" s="351">
        <v>0.69044227429526439</v>
      </c>
      <c r="I30" s="338"/>
    </row>
    <row r="31" spans="1:11" ht="20" customHeight="1" thickBot="1">
      <c r="A31" s="1122" t="s">
        <v>526</v>
      </c>
      <c r="B31" s="349">
        <v>266724111</v>
      </c>
      <c r="C31" s="350">
        <v>4408792</v>
      </c>
      <c r="D31" s="1211">
        <v>271132903</v>
      </c>
      <c r="E31" s="1208">
        <v>3.1110309003542544E-2</v>
      </c>
      <c r="F31" s="1212">
        <v>3401.2783415919212</v>
      </c>
      <c r="G31" s="1210">
        <v>2359.4624019910716</v>
      </c>
      <c r="H31" s="351">
        <v>0.61136562563523145</v>
      </c>
      <c r="I31" s="338"/>
    </row>
    <row r="32" spans="1:11" ht="20" customHeight="1" thickBot="1">
      <c r="A32" s="1122" t="s">
        <v>527</v>
      </c>
      <c r="B32" s="349">
        <v>44102754.850000001</v>
      </c>
      <c r="C32" s="350">
        <v>-2143467</v>
      </c>
      <c r="D32" s="1211">
        <v>41959287.850000001</v>
      </c>
      <c r="E32" s="1208">
        <v>2.0114883271689442E-2</v>
      </c>
      <c r="F32" s="1212">
        <v>2978.5822282955919</v>
      </c>
      <c r="G32" s="1210">
        <v>1837.4989205167506</v>
      </c>
      <c r="H32" s="351">
        <v>0.58296749172051909</v>
      </c>
      <c r="I32" s="8"/>
      <c r="J32" s="8"/>
      <c r="K32" s="8"/>
    </row>
    <row r="33" spans="1:9" ht="30" customHeight="1" thickBot="1">
      <c r="A33" s="1124" t="s">
        <v>1676</v>
      </c>
      <c r="B33" s="555">
        <v>3919315079.3799996</v>
      </c>
      <c r="C33" s="556">
        <v>95407220.120000005</v>
      </c>
      <c r="D33" s="555">
        <v>4014722299.499999</v>
      </c>
      <c r="E33" s="1220">
        <v>1.1850465507658049E-2</v>
      </c>
      <c r="F33" s="1221">
        <v>3070.8973526498353</v>
      </c>
      <c r="G33" s="1222">
        <v>1781.7244555600967</v>
      </c>
      <c r="H33" s="526">
        <v>0.57378491803506004</v>
      </c>
      <c r="I33" s="338"/>
    </row>
    <row r="34" spans="1:9" ht="20" customHeight="1">
      <c r="A34" s="1098" t="s">
        <v>1781</v>
      </c>
      <c r="B34" s="457"/>
      <c r="C34" s="457"/>
      <c r="D34" s="458"/>
      <c r="E34" s="1127"/>
      <c r="F34" s="1127"/>
      <c r="G34" s="1127"/>
    </row>
    <row r="35" spans="1:9" ht="8.25" customHeight="1">
      <c r="A35" s="1099"/>
      <c r="B35" s="459"/>
      <c r="C35" s="459"/>
      <c r="D35" s="460"/>
      <c r="E35" s="1128"/>
      <c r="F35" s="1128"/>
      <c r="G35" s="1128"/>
    </row>
    <row r="36" spans="1:9" ht="14.25" customHeight="1">
      <c r="A36" s="1099" t="s">
        <v>1782</v>
      </c>
      <c r="B36" s="459"/>
      <c r="C36" s="459"/>
      <c r="D36" s="460"/>
      <c r="E36" s="1128"/>
      <c r="F36" s="1128"/>
      <c r="G36" s="1128"/>
    </row>
    <row r="37" spans="1:9" ht="12.75" customHeight="1">
      <c r="A37" s="1099"/>
      <c r="B37" s="459"/>
      <c r="C37" s="459"/>
      <c r="D37" s="460"/>
      <c r="E37" s="1128"/>
      <c r="F37" s="1128"/>
      <c r="G37" s="1128"/>
    </row>
    <row r="38" spans="1:9" ht="12.75" customHeight="1">
      <c r="A38" s="1099" t="s">
        <v>1749</v>
      </c>
      <c r="B38" s="459"/>
      <c r="C38" s="459"/>
      <c r="D38" s="460"/>
      <c r="E38" s="1128"/>
      <c r="F38" s="1128"/>
      <c r="G38" s="1128"/>
    </row>
    <row r="39" spans="1:9" ht="14.25" customHeight="1">
      <c r="A39" s="219" t="s">
        <v>1783</v>
      </c>
      <c r="B39" s="459"/>
      <c r="C39" s="459"/>
      <c r="D39" s="460"/>
      <c r="E39" s="1128"/>
      <c r="F39" s="1128"/>
      <c r="G39" s="1128"/>
    </row>
    <row r="40" spans="1:9" ht="13.5" customHeight="1">
      <c r="A40" s="3" t="s">
        <v>1784</v>
      </c>
      <c r="B40" s="459"/>
      <c r="C40" s="459"/>
      <c r="D40" s="460"/>
      <c r="E40" s="1128"/>
      <c r="F40" s="1128"/>
      <c r="G40" s="1128"/>
    </row>
    <row r="41" spans="1:9" ht="14.25" customHeight="1">
      <c r="A41" s="1203" t="s">
        <v>1785</v>
      </c>
      <c r="B41" s="459"/>
      <c r="C41" s="459"/>
      <c r="D41" s="460"/>
      <c r="E41" s="1128"/>
      <c r="F41" s="1128"/>
      <c r="G41" s="1128"/>
    </row>
    <row r="42" spans="1:9" ht="14.25" customHeight="1">
      <c r="A42" s="219" t="s">
        <v>1681</v>
      </c>
      <c r="B42" s="459"/>
      <c r="C42" s="459"/>
      <c r="D42" s="460"/>
      <c r="E42" s="1128"/>
      <c r="F42" s="1128"/>
      <c r="G42" s="1128"/>
    </row>
    <row r="43" spans="1:9" ht="14.25" customHeight="1">
      <c r="A43" s="219" t="s">
        <v>1786</v>
      </c>
      <c r="B43" s="459"/>
      <c r="C43" s="459"/>
      <c r="D43" s="460"/>
      <c r="E43" s="1128"/>
      <c r="F43" s="1128"/>
      <c r="G43" s="1128"/>
    </row>
    <row r="46" spans="1:9">
      <c r="A46" s="3" t="s">
        <v>302</v>
      </c>
    </row>
  </sheetData>
  <pageMargins left="0.59055118110236227" right="0.59055118110236227" top="0.78740157480314965" bottom="0.47244094488188981" header="0.47244094488188981" footer="0.51181102362204722"/>
  <pageSetup paperSize="9" scale="72" orientation="portrait"/>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D335B-15AF-094F-B602-AE0BAB22DA80}">
  <sheetPr>
    <pageSetUpPr fitToPage="1"/>
  </sheetPr>
  <dimension ref="A1:M44"/>
  <sheetViews>
    <sheetView zoomScaleNormal="100" workbookViewId="0"/>
  </sheetViews>
  <sheetFormatPr baseColWidth="10" defaultColWidth="11.3984375" defaultRowHeight="13"/>
  <cols>
    <col min="1" max="1" width="10.59765625" style="3" customWidth="1"/>
    <col min="2" max="3" width="19.3984375" style="3" customWidth="1"/>
    <col min="4" max="4" width="19" style="245" customWidth="1"/>
    <col min="5" max="5" width="7.59765625" style="245" customWidth="1"/>
    <col min="6" max="6" width="16.796875" style="245" customWidth="1"/>
    <col min="7" max="7" width="14.59765625" style="245" customWidth="1"/>
    <col min="8" max="8" width="18.59765625" style="245" customWidth="1"/>
    <col min="9" max="9" width="13" style="3" customWidth="1"/>
    <col min="10" max="16384" width="11.3984375" style="3"/>
  </cols>
  <sheetData>
    <row r="1" spans="1:13" s="1" customFormat="1" ht="14" customHeight="1">
      <c r="D1" s="221"/>
      <c r="E1" s="221"/>
      <c r="F1" s="221"/>
      <c r="G1" s="221"/>
      <c r="H1" s="221"/>
      <c r="K1" s="1104"/>
    </row>
    <row r="2" spans="1:13" s="1" customFormat="1" ht="25.25" customHeight="1">
      <c r="A2" s="2010" t="s">
        <v>1912</v>
      </c>
      <c r="B2" s="2011"/>
      <c r="C2" s="2011"/>
      <c r="D2" s="2011"/>
      <c r="E2" s="2020"/>
      <c r="F2" s="2011"/>
      <c r="G2" s="2011"/>
      <c r="H2" s="2011"/>
      <c r="K2" s="1105"/>
    </row>
    <row r="3" spans="1:13" s="185" customFormat="1" ht="24" customHeight="1">
      <c r="A3" s="1107" t="s">
        <v>67</v>
      </c>
      <c r="B3" s="2021" t="s">
        <v>1913</v>
      </c>
      <c r="C3" s="2021"/>
      <c r="D3" s="2021"/>
      <c r="E3" s="1301"/>
      <c r="F3" s="2022" t="s">
        <v>1914</v>
      </c>
      <c r="G3" s="2022"/>
      <c r="H3" s="2022"/>
      <c r="K3" s="1302"/>
    </row>
    <row r="4" spans="1:13" ht="15" customHeight="1">
      <c r="A4" s="269"/>
      <c r="B4" s="1303">
        <v>2013</v>
      </c>
      <c r="C4" s="1304">
        <v>2014</v>
      </c>
      <c r="D4" s="1303">
        <v>2015</v>
      </c>
      <c r="E4" s="1192"/>
      <c r="F4" s="271" t="s">
        <v>1752</v>
      </c>
      <c r="G4" s="270" t="s">
        <v>1753</v>
      </c>
      <c r="H4" s="271" t="s">
        <v>1754</v>
      </c>
      <c r="K4" s="1192"/>
    </row>
    <row r="5" spans="1:13" ht="15" customHeight="1">
      <c r="A5" s="269"/>
      <c r="B5" s="1303"/>
      <c r="C5" s="1304"/>
      <c r="D5" s="1303"/>
      <c r="E5" s="1305"/>
      <c r="F5" s="271" t="s">
        <v>1756</v>
      </c>
      <c r="G5" s="270" t="s">
        <v>1915</v>
      </c>
      <c r="H5" s="271" t="s">
        <v>1916</v>
      </c>
      <c r="K5" s="1192"/>
    </row>
    <row r="6" spans="1:13" ht="24" customHeight="1">
      <c r="A6" s="273"/>
      <c r="B6" s="274"/>
      <c r="C6" s="275"/>
      <c r="D6" s="229"/>
      <c r="E6" s="1197"/>
      <c r="F6" s="275" t="s">
        <v>1917</v>
      </c>
      <c r="G6" s="274"/>
      <c r="H6" s="275" t="s">
        <v>1918</v>
      </c>
      <c r="K6" s="1306"/>
    </row>
    <row r="7" spans="1:13" ht="30" customHeight="1" thickBot="1">
      <c r="A7" s="1119" t="s">
        <v>502</v>
      </c>
      <c r="B7" s="287">
        <v>380455554</v>
      </c>
      <c r="C7" s="288">
        <v>392163398</v>
      </c>
      <c r="D7" s="287">
        <v>412110029.37795001</v>
      </c>
      <c r="E7" s="1114"/>
      <c r="F7" s="288">
        <v>1417056.5</v>
      </c>
      <c r="G7" s="287">
        <v>3873.6633332666647</v>
      </c>
      <c r="H7" s="288">
        <v>1420930.1633332667</v>
      </c>
      <c r="J7" s="6"/>
      <c r="K7" s="1198"/>
    </row>
    <row r="8" spans="1:13" ht="20" customHeight="1" thickBot="1">
      <c r="A8" s="1122" t="s">
        <v>503</v>
      </c>
      <c r="B8" s="287">
        <v>269836339</v>
      </c>
      <c r="C8" s="288">
        <v>276361947</v>
      </c>
      <c r="D8" s="287">
        <v>289247133.51652712</v>
      </c>
      <c r="E8" s="1114"/>
      <c r="F8" s="288">
        <v>996949</v>
      </c>
      <c r="G8" s="287">
        <v>357.41666666666674</v>
      </c>
      <c r="H8" s="288">
        <v>997306.41666666663</v>
      </c>
      <c r="J8" s="6"/>
      <c r="K8" s="1198"/>
    </row>
    <row r="9" spans="1:13" ht="20" customHeight="1" thickBot="1">
      <c r="A9" s="1122" t="s">
        <v>504</v>
      </c>
      <c r="B9" s="287">
        <v>104316310</v>
      </c>
      <c r="C9" s="288">
        <v>107333335</v>
      </c>
      <c r="D9" s="287">
        <v>112632582.82496175</v>
      </c>
      <c r="E9" s="1114"/>
      <c r="F9" s="288">
        <v>388215.5</v>
      </c>
      <c r="G9" s="287">
        <v>134.75333329999998</v>
      </c>
      <c r="H9" s="288">
        <v>388350.2533333</v>
      </c>
      <c r="J9" s="6"/>
      <c r="K9" s="1198"/>
    </row>
    <row r="10" spans="1:13" ht="20" customHeight="1" thickBot="1">
      <c r="A10" s="1122" t="s">
        <v>505</v>
      </c>
      <c r="B10" s="287">
        <v>9723021</v>
      </c>
      <c r="C10" s="288">
        <v>9932062</v>
      </c>
      <c r="D10" s="287">
        <v>10379244.527227085</v>
      </c>
      <c r="E10" s="1114"/>
      <c r="F10" s="288">
        <v>35779</v>
      </c>
      <c r="G10" s="287">
        <v>8</v>
      </c>
      <c r="H10" s="288">
        <v>35787</v>
      </c>
      <c r="J10" s="6"/>
      <c r="K10" s="1198"/>
    </row>
    <row r="11" spans="1:13" ht="20" customHeight="1" thickBot="1">
      <c r="A11" s="1122" t="s">
        <v>506</v>
      </c>
      <c r="B11" s="287">
        <v>40477804</v>
      </c>
      <c r="C11" s="288">
        <v>41606913</v>
      </c>
      <c r="D11" s="287">
        <v>43701060.760401383</v>
      </c>
      <c r="E11" s="1114"/>
      <c r="F11" s="288">
        <v>150613</v>
      </c>
      <c r="G11" s="287">
        <v>65.583333299999993</v>
      </c>
      <c r="H11" s="288">
        <v>150678.58333329999</v>
      </c>
      <c r="J11" s="6"/>
      <c r="K11" s="1198"/>
    </row>
    <row r="12" spans="1:13" ht="20" customHeight="1" thickBot="1">
      <c r="A12" s="1122" t="s">
        <v>507</v>
      </c>
      <c r="B12" s="287">
        <v>9834847</v>
      </c>
      <c r="C12" s="288">
        <v>10065412</v>
      </c>
      <c r="D12" s="287">
        <v>10539436.85201556</v>
      </c>
      <c r="E12" s="1114"/>
      <c r="F12" s="288">
        <v>36311</v>
      </c>
      <c r="G12" s="287">
        <v>28.333333333333332</v>
      </c>
      <c r="H12" s="288">
        <v>36339.333333333336</v>
      </c>
      <c r="J12" s="6"/>
      <c r="K12" s="1198"/>
    </row>
    <row r="13" spans="1:13" ht="20" customHeight="1" thickBot="1">
      <c r="A13" s="1122" t="s">
        <v>508</v>
      </c>
      <c r="B13" s="287">
        <v>11306608</v>
      </c>
      <c r="C13" s="288">
        <v>11583610</v>
      </c>
      <c r="D13" s="287">
        <v>12109964.531116311</v>
      </c>
      <c r="E13" s="1114"/>
      <c r="F13" s="288">
        <v>41736</v>
      </c>
      <c r="G13" s="287">
        <v>18.416666666666664</v>
      </c>
      <c r="H13" s="288">
        <v>41754.416666666664</v>
      </c>
      <c r="J13" s="6"/>
      <c r="K13" s="1198"/>
    </row>
    <row r="14" spans="1:13" ht="20" customHeight="1" thickBot="1">
      <c r="A14" s="1122" t="s">
        <v>509</v>
      </c>
      <c r="B14" s="287">
        <v>10729701</v>
      </c>
      <c r="C14" s="288">
        <v>10986739</v>
      </c>
      <c r="D14" s="287">
        <v>11467116.695460938</v>
      </c>
      <c r="E14" s="1114"/>
      <c r="F14" s="288">
        <v>39481</v>
      </c>
      <c r="G14" s="287">
        <v>56.916666666666664</v>
      </c>
      <c r="H14" s="288">
        <v>39537.916666666664</v>
      </c>
      <c r="J14" s="6"/>
      <c r="K14" s="1198"/>
    </row>
    <row r="15" spans="1:13" ht="20" customHeight="1" thickBot="1">
      <c r="A15" s="1122" t="s">
        <v>510</v>
      </c>
      <c r="B15" s="287">
        <v>31363774</v>
      </c>
      <c r="C15" s="288">
        <v>32404670</v>
      </c>
      <c r="D15" s="287">
        <v>34086863.627329029</v>
      </c>
      <c r="E15" s="1114"/>
      <c r="F15" s="288">
        <v>117346.5</v>
      </c>
      <c r="G15" s="287">
        <v>182.91993333333332</v>
      </c>
      <c r="H15" s="288">
        <v>117529.41993333334</v>
      </c>
      <c r="J15" s="6"/>
      <c r="K15" s="1198"/>
    </row>
    <row r="16" spans="1:13" ht="20" customHeight="1" thickBot="1">
      <c r="A16" s="1122" t="s">
        <v>511</v>
      </c>
      <c r="B16" s="287">
        <v>77353042</v>
      </c>
      <c r="C16" s="288">
        <v>80500386</v>
      </c>
      <c r="D16" s="287">
        <v>85430073.761489764</v>
      </c>
      <c r="E16" s="1114"/>
      <c r="F16" s="288">
        <v>294508.5</v>
      </c>
      <c r="G16" s="287">
        <v>49.166666633333335</v>
      </c>
      <c r="H16" s="288">
        <v>294557.66666663333</v>
      </c>
      <c r="J16" s="6"/>
      <c r="K16" s="1198"/>
      <c r="M16" s="3" t="s">
        <v>537</v>
      </c>
    </row>
    <row r="17" spans="1:13" ht="20" customHeight="1" thickBot="1">
      <c r="A17" s="1122" t="s">
        <v>512</v>
      </c>
      <c r="B17" s="287">
        <v>70388287</v>
      </c>
      <c r="C17" s="288">
        <v>72185573</v>
      </c>
      <c r="D17" s="287">
        <v>75592626.359324738</v>
      </c>
      <c r="E17" s="1114"/>
      <c r="F17" s="288">
        <v>260360</v>
      </c>
      <c r="G17" s="287">
        <v>278.75000003333338</v>
      </c>
      <c r="H17" s="288">
        <v>260638.75000003332</v>
      </c>
      <c r="J17" s="6"/>
      <c r="K17" s="1198"/>
    </row>
    <row r="18" spans="1:13" ht="20" customHeight="1" thickBot="1">
      <c r="A18" s="1122" t="s">
        <v>513</v>
      </c>
      <c r="B18" s="287">
        <v>52253432</v>
      </c>
      <c r="C18" s="288">
        <v>53597665</v>
      </c>
      <c r="D18" s="287">
        <v>56290926.519165061</v>
      </c>
      <c r="E18" s="1114"/>
      <c r="F18" s="288">
        <v>188380</v>
      </c>
      <c r="G18" s="287">
        <v>5707.6700666333327</v>
      </c>
      <c r="H18" s="288">
        <v>194087.67006663332</v>
      </c>
      <c r="J18" s="6"/>
      <c r="K18" s="1198"/>
    </row>
    <row r="19" spans="1:13" ht="20" customHeight="1" thickBot="1">
      <c r="A19" s="1122" t="s">
        <v>514</v>
      </c>
      <c r="B19" s="287">
        <v>76071244</v>
      </c>
      <c r="C19" s="288">
        <v>77745078</v>
      </c>
      <c r="D19" s="287">
        <v>81305413.041026771</v>
      </c>
      <c r="E19" s="1114"/>
      <c r="F19" s="288">
        <v>277596.5</v>
      </c>
      <c r="G19" s="287">
        <v>2739.5888999666658</v>
      </c>
      <c r="H19" s="288">
        <v>280336.08889996668</v>
      </c>
      <c r="J19" s="6"/>
      <c r="K19" s="1198"/>
    </row>
    <row r="20" spans="1:13" ht="20" customHeight="1" thickBot="1">
      <c r="A20" s="1122" t="s">
        <v>515</v>
      </c>
      <c r="B20" s="287">
        <v>21582712</v>
      </c>
      <c r="C20" s="288">
        <v>22232602</v>
      </c>
      <c r="D20" s="287">
        <v>23405191.091710679</v>
      </c>
      <c r="E20" s="1114"/>
      <c r="F20" s="288">
        <v>78369</v>
      </c>
      <c r="G20" s="287">
        <v>2330.6666666666683</v>
      </c>
      <c r="H20" s="288">
        <v>80699.666666666672</v>
      </c>
      <c r="J20" s="6"/>
      <c r="K20" s="1198"/>
    </row>
    <row r="21" spans="1:13" ht="20" customHeight="1" thickBot="1">
      <c r="A21" s="1122" t="s">
        <v>516</v>
      </c>
      <c r="B21" s="287">
        <v>14609173</v>
      </c>
      <c r="C21" s="288">
        <v>14924590</v>
      </c>
      <c r="D21" s="287">
        <v>15549265.708251091</v>
      </c>
      <c r="E21" s="1114"/>
      <c r="F21" s="288">
        <v>53564.5</v>
      </c>
      <c r="G21" s="287">
        <v>48.416666666666664</v>
      </c>
      <c r="H21" s="288">
        <v>53612.916666666664</v>
      </c>
      <c r="J21" s="6"/>
      <c r="K21" s="1198"/>
    </row>
    <row r="22" spans="1:13" ht="20" customHeight="1" thickBot="1">
      <c r="A22" s="1122" t="s">
        <v>517</v>
      </c>
      <c r="B22" s="287">
        <v>4321479</v>
      </c>
      <c r="C22" s="288">
        <v>4398657</v>
      </c>
      <c r="D22" s="287">
        <v>4571620.1898595802</v>
      </c>
      <c r="E22" s="1114"/>
      <c r="F22" s="288">
        <v>15747.5</v>
      </c>
      <c r="G22" s="287">
        <v>15.166666666666668</v>
      </c>
      <c r="H22" s="288">
        <v>15762.666666666666</v>
      </c>
      <c r="J22" s="6"/>
      <c r="K22" s="1198"/>
    </row>
    <row r="23" spans="1:13" ht="20" customHeight="1" thickBot="1">
      <c r="A23" s="1122" t="s">
        <v>518</v>
      </c>
      <c r="B23" s="287">
        <v>132232540</v>
      </c>
      <c r="C23" s="288">
        <v>135695043</v>
      </c>
      <c r="D23" s="287">
        <v>142126313.9123857</v>
      </c>
      <c r="E23" s="1114"/>
      <c r="F23" s="288">
        <v>489379.5</v>
      </c>
      <c r="G23" s="287">
        <v>663.33333339999967</v>
      </c>
      <c r="H23" s="288">
        <v>490042.83333340002</v>
      </c>
      <c r="J23" s="6"/>
      <c r="K23" s="1198"/>
    </row>
    <row r="24" spans="1:13" ht="20" customHeight="1" thickBot="1">
      <c r="A24" s="1122" t="s">
        <v>519</v>
      </c>
      <c r="B24" s="287">
        <v>53015149</v>
      </c>
      <c r="C24" s="288">
        <v>54125876</v>
      </c>
      <c r="D24" s="287">
        <v>56417160.352664396</v>
      </c>
      <c r="E24" s="1114"/>
      <c r="F24" s="288">
        <v>194439.5</v>
      </c>
      <c r="G24" s="287">
        <v>83.416600000000003</v>
      </c>
      <c r="H24" s="288">
        <v>194522.9166</v>
      </c>
      <c r="J24" s="6"/>
      <c r="K24" s="1198"/>
    </row>
    <row r="25" spans="1:13" ht="20" customHeight="1" thickBot="1">
      <c r="A25" s="1122" t="s">
        <v>520</v>
      </c>
      <c r="B25" s="287">
        <v>169856944</v>
      </c>
      <c r="C25" s="288">
        <v>175146043</v>
      </c>
      <c r="D25" s="287">
        <v>184601184.0598053</v>
      </c>
      <c r="E25" s="1114"/>
      <c r="F25" s="288">
        <v>631851</v>
      </c>
      <c r="G25" s="287">
        <v>4642.586466566665</v>
      </c>
      <c r="H25" s="288">
        <v>636493.58646656666</v>
      </c>
      <c r="J25" s="6"/>
      <c r="K25" s="1198"/>
    </row>
    <row r="26" spans="1:13" ht="20" customHeight="1" thickBot="1">
      <c r="A26" s="1122" t="s">
        <v>521</v>
      </c>
      <c r="B26" s="287">
        <v>69172102</v>
      </c>
      <c r="C26" s="288">
        <v>71492913</v>
      </c>
      <c r="D26" s="287">
        <v>75499550.461568967</v>
      </c>
      <c r="E26" s="1114"/>
      <c r="F26" s="288">
        <v>258245.5</v>
      </c>
      <c r="G26" s="287">
        <v>2072.3300000999993</v>
      </c>
      <c r="H26" s="288">
        <v>260317.83000009999</v>
      </c>
      <c r="J26" s="6"/>
      <c r="K26" s="1198"/>
    </row>
    <row r="27" spans="1:13" ht="20" customHeight="1" thickBot="1">
      <c r="A27" s="1122" t="s">
        <v>522</v>
      </c>
      <c r="B27" s="287">
        <v>92246783</v>
      </c>
      <c r="C27" s="288">
        <v>94941540</v>
      </c>
      <c r="D27" s="287">
        <v>99930241.665203631</v>
      </c>
      <c r="E27" s="1114"/>
      <c r="F27" s="288">
        <v>344095.5</v>
      </c>
      <c r="G27" s="287">
        <v>457.85829996666661</v>
      </c>
      <c r="H27" s="288">
        <v>344553.35829996667</v>
      </c>
      <c r="J27" s="6"/>
      <c r="K27" s="1198"/>
    </row>
    <row r="28" spans="1:13" ht="20" customHeight="1" thickBot="1">
      <c r="A28" s="1122" t="s">
        <v>523</v>
      </c>
      <c r="B28" s="287">
        <v>197713721</v>
      </c>
      <c r="C28" s="288">
        <v>204148390</v>
      </c>
      <c r="D28" s="287">
        <v>215341664.8353726</v>
      </c>
      <c r="E28" s="1114"/>
      <c r="F28" s="288">
        <v>741864.5</v>
      </c>
      <c r="G28" s="287">
        <v>620.38309990000005</v>
      </c>
      <c r="H28" s="288">
        <v>742484.88309989998</v>
      </c>
      <c r="J28" s="6"/>
      <c r="K28" s="1198"/>
    </row>
    <row r="29" spans="1:13" ht="20" customHeight="1" thickBot="1">
      <c r="A29" s="1122" t="s">
        <v>524</v>
      </c>
      <c r="B29" s="287">
        <v>86468622</v>
      </c>
      <c r="C29" s="288">
        <v>89249080</v>
      </c>
      <c r="D29" s="287">
        <v>94089455.012712821</v>
      </c>
      <c r="E29" s="1114"/>
      <c r="F29" s="288">
        <v>324371.5</v>
      </c>
      <c r="G29" s="287">
        <v>43.183333366666673</v>
      </c>
      <c r="H29" s="288">
        <v>324414.68333336664</v>
      </c>
      <c r="J29" s="6"/>
      <c r="K29" s="1198"/>
    </row>
    <row r="30" spans="1:13" ht="20" customHeight="1" thickBot="1">
      <c r="A30" s="1122" t="s">
        <v>525</v>
      </c>
      <c r="B30" s="287">
        <v>47433636</v>
      </c>
      <c r="C30" s="288">
        <v>48606681</v>
      </c>
      <c r="D30" s="287">
        <v>50912277.292965904</v>
      </c>
      <c r="E30" s="1114"/>
      <c r="F30" s="288">
        <v>175478</v>
      </c>
      <c r="G30" s="287">
        <v>64.416666633333307</v>
      </c>
      <c r="H30" s="288">
        <v>175542.41666663333</v>
      </c>
      <c r="J30" s="6"/>
      <c r="K30" s="1198"/>
    </row>
    <row r="31" spans="1:13" ht="20" customHeight="1" thickBot="1">
      <c r="A31" s="1122" t="s">
        <v>526</v>
      </c>
      <c r="B31" s="287">
        <v>127335189</v>
      </c>
      <c r="C31" s="288">
        <v>130474097</v>
      </c>
      <c r="D31" s="287">
        <v>137163814.54071131</v>
      </c>
      <c r="E31" s="1114"/>
      <c r="F31" s="288">
        <v>466267</v>
      </c>
      <c r="G31" s="287">
        <v>6665.4391666333331</v>
      </c>
      <c r="H31" s="288">
        <v>472932.43916663335</v>
      </c>
      <c r="K31" s="1198"/>
    </row>
    <row r="32" spans="1:13" ht="20" customHeight="1" thickBot="1">
      <c r="A32" s="1122" t="s">
        <v>527</v>
      </c>
      <c r="B32" s="287">
        <v>19339638</v>
      </c>
      <c r="C32" s="288">
        <v>19771890</v>
      </c>
      <c r="D32" s="287">
        <v>20699782.482792243</v>
      </c>
      <c r="E32" s="1114"/>
      <c r="F32" s="288">
        <v>71340</v>
      </c>
      <c r="G32" s="287">
        <v>31.5833333</v>
      </c>
      <c r="H32" s="288">
        <v>71371.583333300005</v>
      </c>
      <c r="K32" s="1198"/>
      <c r="L32" s="8"/>
      <c r="M32" s="8"/>
    </row>
    <row r="33" spans="1:11" s="200" customFormat="1" ht="30" customHeight="1" thickBot="1">
      <c r="A33" s="1124" t="s">
        <v>530</v>
      </c>
      <c r="B33" s="290">
        <v>2179437651</v>
      </c>
      <c r="C33" s="291">
        <v>2241674190</v>
      </c>
      <c r="D33" s="290">
        <v>2355199994</v>
      </c>
      <c r="E33" s="252"/>
      <c r="F33" s="291">
        <v>8089345.5</v>
      </c>
      <c r="G33" s="290">
        <v>31239.959199666653</v>
      </c>
      <c r="H33" s="291">
        <v>8120585.4591996679</v>
      </c>
      <c r="I33" s="190"/>
      <c r="K33" s="1202"/>
    </row>
    <row r="34" spans="1:11" ht="20" customHeight="1">
      <c r="A34" s="1098" t="s">
        <v>1919</v>
      </c>
      <c r="B34" s="457"/>
      <c r="C34" s="457"/>
      <c r="D34" s="1127"/>
      <c r="E34" s="1128"/>
      <c r="F34" s="1127"/>
      <c r="G34" s="1127"/>
      <c r="H34" s="1127"/>
      <c r="I34" s="459"/>
    </row>
    <row r="35" spans="1:11" ht="14.25" customHeight="1">
      <c r="A35" s="1099"/>
      <c r="B35" s="459"/>
      <c r="C35" s="459"/>
      <c r="D35" s="1128"/>
      <c r="E35" s="1128"/>
      <c r="F35" s="1128"/>
      <c r="G35" s="1128"/>
      <c r="H35" s="1128"/>
      <c r="I35" s="459"/>
    </row>
    <row r="36" spans="1:11" ht="15.75" customHeight="1">
      <c r="A36" s="1099" t="s">
        <v>1920</v>
      </c>
      <c r="B36" s="459"/>
      <c r="C36" s="459"/>
      <c r="D36" s="1128"/>
      <c r="E36" s="1128"/>
      <c r="F36" s="1128"/>
      <c r="G36" s="1128"/>
      <c r="H36" s="1128"/>
      <c r="I36" s="459"/>
    </row>
    <row r="37" spans="1:11" ht="15.75" customHeight="1">
      <c r="A37" s="1099"/>
      <c r="B37" s="459"/>
      <c r="C37" s="459"/>
      <c r="D37" s="1128"/>
      <c r="E37" s="1128"/>
      <c r="F37" s="1128"/>
      <c r="G37" s="1128"/>
      <c r="H37" s="1128"/>
      <c r="I37" s="459"/>
    </row>
    <row r="38" spans="1:11" ht="15.75" customHeight="1">
      <c r="A38" s="3" t="s">
        <v>1921</v>
      </c>
      <c r="B38" s="459"/>
      <c r="C38" s="459"/>
      <c r="D38" s="1128"/>
      <c r="E38" s="1128"/>
      <c r="F38" s="1128"/>
      <c r="G38" s="1128"/>
      <c r="H38" s="1128"/>
      <c r="I38" s="459"/>
    </row>
    <row r="39" spans="1:11" ht="15.75" customHeight="1">
      <c r="A39" s="1203" t="s">
        <v>1785</v>
      </c>
      <c r="B39" s="459"/>
      <c r="C39" s="459"/>
      <c r="D39" s="1128"/>
      <c r="E39" s="1128"/>
      <c r="F39" s="1128"/>
      <c r="G39" s="1128"/>
      <c r="H39" s="1128"/>
      <c r="I39" s="459"/>
    </row>
    <row r="40" spans="1:11" ht="15.75" customHeight="1">
      <c r="A40" s="3" t="s">
        <v>1922</v>
      </c>
      <c r="B40" s="459"/>
      <c r="C40" s="459"/>
      <c r="D40" s="1128"/>
      <c r="E40" s="1128"/>
      <c r="F40" s="1128"/>
      <c r="G40" s="1128"/>
      <c r="H40" s="1128"/>
      <c r="I40" s="459"/>
    </row>
    <row r="41" spans="1:11" ht="15.75" customHeight="1">
      <c r="A41" s="3" t="s">
        <v>1923</v>
      </c>
      <c r="B41" s="459"/>
      <c r="C41" s="459"/>
      <c r="D41" s="1128"/>
      <c r="E41" s="1128"/>
      <c r="F41" s="1128"/>
      <c r="G41" s="1128"/>
      <c r="H41" s="1128"/>
      <c r="I41" s="459"/>
    </row>
    <row r="42" spans="1:11" ht="15.75" customHeight="1">
      <c r="B42" s="459"/>
      <c r="C42" s="459"/>
      <c r="D42" s="1128"/>
      <c r="E42" s="1128"/>
      <c r="F42" s="1128"/>
      <c r="G42" s="1128"/>
      <c r="H42" s="1128"/>
      <c r="I42" s="459"/>
    </row>
    <row r="44" spans="1:11">
      <c r="A44" s="3" t="s">
        <v>302</v>
      </c>
    </row>
  </sheetData>
  <mergeCells count="3">
    <mergeCell ref="A2:H2"/>
    <mergeCell ref="B3:D3"/>
    <mergeCell ref="F3:H3"/>
  </mergeCells>
  <pageMargins left="0.59055118110236227" right="0.59055118110236227" top="0.78740157480314965" bottom="0.47244094488188981" header="0.47244094488188981" footer="0.51181102362204722"/>
  <pageSetup paperSize="9" scale="72" orientation="portrait" horizontalDpi="1200" verticalDpi="1200"/>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B42FA-E994-DC45-A476-B83FE18839C4}">
  <dimension ref="A1:M55"/>
  <sheetViews>
    <sheetView zoomScaleNormal="100" workbookViewId="0">
      <selection activeCell="B66" sqref="B66"/>
    </sheetView>
  </sheetViews>
  <sheetFormatPr baseColWidth="10" defaultColWidth="11.3984375" defaultRowHeight="13"/>
  <cols>
    <col min="1" max="1" width="10.59765625" style="3" customWidth="1"/>
    <col min="2" max="3" width="14.59765625" style="3" customWidth="1"/>
    <col min="4" max="4" width="14.59765625" style="245" customWidth="1"/>
    <col min="5" max="5" width="18.59765625" style="3" customWidth="1"/>
    <col min="6" max="6" width="18.59765625" style="201" customWidth="1"/>
    <col min="7" max="7" width="17.796875" style="3" customWidth="1"/>
    <col min="8" max="12" width="11.3984375" style="3"/>
    <col min="13" max="13" width="17.59765625" style="3" customWidth="1"/>
    <col min="14" max="16384" width="11.3984375" style="3"/>
  </cols>
  <sheetData>
    <row r="1" spans="1:12" s="1" customFormat="1" ht="14" customHeight="1">
      <c r="D1" s="221"/>
      <c r="F1" s="359"/>
      <c r="I1" s="1104"/>
    </row>
    <row r="2" spans="1:12" s="1" customFormat="1" ht="25.25" customHeight="1">
      <c r="A2" s="2010" t="s">
        <v>1787</v>
      </c>
      <c r="B2" s="2011"/>
      <c r="C2" s="2011"/>
      <c r="D2" s="2011"/>
      <c r="E2" s="2011"/>
      <c r="F2" s="2011"/>
      <c r="G2" s="327">
        <v>2013</v>
      </c>
      <c r="I2" s="1105"/>
    </row>
    <row r="3" spans="1:12" ht="24" customHeight="1">
      <c r="A3" s="224" t="s">
        <v>67</v>
      </c>
      <c r="B3" s="612" t="s">
        <v>1788</v>
      </c>
      <c r="C3" s="1223"/>
      <c r="D3" s="1223"/>
      <c r="E3" s="305" t="s">
        <v>475</v>
      </c>
      <c r="F3" s="465" t="s">
        <v>1789</v>
      </c>
      <c r="G3" s="305" t="s">
        <v>475</v>
      </c>
      <c r="I3" s="1111"/>
    </row>
    <row r="4" spans="1:12" ht="15" customHeight="1">
      <c r="A4" s="269"/>
      <c r="B4" s="270" t="s">
        <v>644</v>
      </c>
      <c r="C4" s="272" t="s">
        <v>645</v>
      </c>
      <c r="D4" s="270" t="s">
        <v>381</v>
      </c>
      <c r="E4" s="1190" t="s">
        <v>476</v>
      </c>
      <c r="F4" s="1205" t="s">
        <v>382</v>
      </c>
      <c r="G4" s="1190" t="s">
        <v>476</v>
      </c>
      <c r="I4" s="1192"/>
    </row>
    <row r="5" spans="1:12" s="286" customFormat="1" ht="24" customHeight="1">
      <c r="A5" s="469"/>
      <c r="B5" s="1224"/>
      <c r="C5" s="1178"/>
      <c r="D5" s="315"/>
      <c r="E5" s="1193" t="s">
        <v>477</v>
      </c>
      <c r="F5" s="1225"/>
      <c r="G5" s="1193" t="s">
        <v>477</v>
      </c>
      <c r="I5" s="1197"/>
      <c r="J5" s="1226"/>
    </row>
    <row r="6" spans="1:12" ht="30" customHeight="1" thickBot="1">
      <c r="A6" s="1119" t="s">
        <v>502</v>
      </c>
      <c r="B6" s="352">
        <v>9849</v>
      </c>
      <c r="C6" s="353">
        <v>6784</v>
      </c>
      <c r="D6" s="352">
        <v>16633</v>
      </c>
      <c r="E6" s="1227">
        <v>9.8612945838837521E-2</v>
      </c>
      <c r="F6" s="1228">
        <v>33835499.82</v>
      </c>
      <c r="G6" s="1227">
        <v>6.3834263641370251E-2</v>
      </c>
      <c r="H6" s="6"/>
      <c r="I6" s="1198"/>
      <c r="L6" s="6"/>
    </row>
    <row r="7" spans="1:12" ht="20" customHeight="1" thickBot="1">
      <c r="A7" s="1122" t="s">
        <v>503</v>
      </c>
      <c r="B7" s="289">
        <v>6364</v>
      </c>
      <c r="C7" s="159">
        <v>7151</v>
      </c>
      <c r="D7" s="289">
        <v>13515</v>
      </c>
      <c r="E7" s="1229">
        <v>-0.30417546208103796</v>
      </c>
      <c r="F7" s="1230">
        <v>29600536.719999999</v>
      </c>
      <c r="G7" s="1229">
        <v>0.11624720397825614</v>
      </c>
      <c r="H7" s="6"/>
      <c r="I7" s="1198"/>
      <c r="L7" s="6"/>
    </row>
    <row r="8" spans="1:12" ht="20" customHeight="1" thickBot="1">
      <c r="A8" s="1122" t="s">
        <v>504</v>
      </c>
      <c r="B8" s="289">
        <v>1260</v>
      </c>
      <c r="C8" s="159">
        <v>901</v>
      </c>
      <c r="D8" s="289">
        <v>2161</v>
      </c>
      <c r="E8" s="1229">
        <v>-0.3576099881093936</v>
      </c>
      <c r="F8" s="1230">
        <v>2281269</v>
      </c>
      <c r="G8" s="1229">
        <v>-0.41731125553327797</v>
      </c>
      <c r="H8" s="6"/>
      <c r="I8" s="1198"/>
      <c r="L8" s="6"/>
    </row>
    <row r="9" spans="1:12" ht="20" customHeight="1" thickBot="1">
      <c r="A9" s="1122" t="s">
        <v>505</v>
      </c>
      <c r="B9" s="289"/>
      <c r="C9" s="159"/>
      <c r="D9" s="289"/>
      <c r="E9" s="1229"/>
      <c r="F9" s="1230"/>
      <c r="G9" s="1229"/>
      <c r="H9" s="6"/>
      <c r="I9" s="1198"/>
      <c r="L9" s="6"/>
    </row>
    <row r="10" spans="1:12" ht="20" customHeight="1" thickBot="1">
      <c r="A10" s="1122" t="s">
        <v>506</v>
      </c>
      <c r="B10" s="289">
        <v>370</v>
      </c>
      <c r="C10" s="159">
        <v>222</v>
      </c>
      <c r="D10" s="289">
        <v>592</v>
      </c>
      <c r="E10" s="1229">
        <v>2.4619883040935671</v>
      </c>
      <c r="F10" s="660">
        <v>224373.15</v>
      </c>
      <c r="G10" s="1229">
        <v>-0.40236533431992144</v>
      </c>
      <c r="H10" s="6"/>
      <c r="I10" s="1198"/>
      <c r="L10" s="6"/>
    </row>
    <row r="11" spans="1:12" ht="20" customHeight="1" thickBot="1">
      <c r="A11" s="1122" t="s">
        <v>507</v>
      </c>
      <c r="B11" s="289">
        <v>23</v>
      </c>
      <c r="C11" s="159">
        <v>18</v>
      </c>
      <c r="D11" s="289">
        <v>41</v>
      </c>
      <c r="E11" s="1229">
        <v>1</v>
      </c>
      <c r="F11" s="660">
        <v>26311.35</v>
      </c>
      <c r="G11" s="1229">
        <v>1</v>
      </c>
      <c r="H11" s="6"/>
      <c r="I11" s="1198"/>
      <c r="L11" s="6"/>
    </row>
    <row r="12" spans="1:12" ht="20" customHeight="1" thickBot="1">
      <c r="A12" s="1122" t="s">
        <v>508</v>
      </c>
      <c r="B12" s="289">
        <v>122</v>
      </c>
      <c r="C12" s="159">
        <v>73</v>
      </c>
      <c r="D12" s="289">
        <v>195</v>
      </c>
      <c r="E12" s="1229">
        <v>1</v>
      </c>
      <c r="F12" s="660">
        <v>44744</v>
      </c>
      <c r="G12" s="1229">
        <v>1</v>
      </c>
      <c r="H12" s="6"/>
      <c r="I12" s="1198"/>
      <c r="L12" s="6"/>
    </row>
    <row r="13" spans="1:12" ht="20" customHeight="1" thickBot="1">
      <c r="A13" s="1122" t="s">
        <v>509</v>
      </c>
      <c r="B13" s="289" t="s">
        <v>153</v>
      </c>
      <c r="C13" s="159" t="s">
        <v>153</v>
      </c>
      <c r="D13" s="289">
        <v>380</v>
      </c>
      <c r="E13" s="1229">
        <v>1.8787878787878789</v>
      </c>
      <c r="F13" s="660">
        <v>737674.3</v>
      </c>
      <c r="G13" s="1229">
        <v>1.8843231555446076</v>
      </c>
      <c r="H13" s="6"/>
      <c r="I13" s="1198"/>
      <c r="L13" s="6"/>
    </row>
    <row r="14" spans="1:12" ht="20" customHeight="1" thickBot="1">
      <c r="A14" s="1122" t="s">
        <v>510</v>
      </c>
      <c r="B14" s="289"/>
      <c r="C14" s="159"/>
      <c r="D14" s="289"/>
      <c r="E14" s="1229"/>
      <c r="F14" s="1230"/>
      <c r="G14" s="1229"/>
      <c r="H14" s="6"/>
      <c r="I14" s="1198"/>
      <c r="L14" s="6"/>
    </row>
    <row r="15" spans="1:12" ht="20" customHeight="1" thickBot="1">
      <c r="A15" s="1122" t="s">
        <v>511</v>
      </c>
      <c r="B15" s="289">
        <v>4582</v>
      </c>
      <c r="C15" s="159">
        <v>3266</v>
      </c>
      <c r="D15" s="289">
        <v>7848</v>
      </c>
      <c r="E15" s="1229">
        <v>-0.14154451979873114</v>
      </c>
      <c r="F15" s="660">
        <v>8267459</v>
      </c>
      <c r="G15" s="1229">
        <v>-0.24839573626673334</v>
      </c>
      <c r="H15" s="6"/>
      <c r="I15" s="1198"/>
      <c r="L15" s="6"/>
    </row>
    <row r="16" spans="1:12" ht="20" customHeight="1" thickBot="1">
      <c r="A16" s="1122" t="s">
        <v>512</v>
      </c>
      <c r="B16" s="289" t="s">
        <v>153</v>
      </c>
      <c r="C16" s="159" t="s">
        <v>153</v>
      </c>
      <c r="D16" s="289" t="s">
        <v>153</v>
      </c>
      <c r="E16" s="1229" t="s">
        <v>153</v>
      </c>
      <c r="F16" s="289" t="s">
        <v>153</v>
      </c>
      <c r="G16" s="1229" t="s">
        <v>153</v>
      </c>
      <c r="H16" s="6"/>
      <c r="I16" s="1198"/>
      <c r="L16" s="6"/>
    </row>
    <row r="17" spans="1:13" ht="20" customHeight="1" thickBot="1">
      <c r="A17" s="1122" t="s">
        <v>513</v>
      </c>
      <c r="B17" s="289" t="s">
        <v>153</v>
      </c>
      <c r="C17" s="159" t="s">
        <v>153</v>
      </c>
      <c r="D17" s="289" t="s">
        <v>153</v>
      </c>
      <c r="E17" s="1229" t="s">
        <v>153</v>
      </c>
      <c r="F17" s="660">
        <v>1040790</v>
      </c>
      <c r="G17" s="1229">
        <v>-0.92309337837822858</v>
      </c>
      <c r="H17" s="6"/>
      <c r="I17" s="1198"/>
      <c r="L17" s="6"/>
    </row>
    <row r="18" spans="1:13" ht="20" customHeight="1" thickBot="1">
      <c r="A18" s="1122" t="s">
        <v>514</v>
      </c>
      <c r="B18" s="289" t="s">
        <v>153</v>
      </c>
      <c r="C18" s="159" t="s">
        <v>153</v>
      </c>
      <c r="D18" s="289" t="s">
        <v>153</v>
      </c>
      <c r="E18" s="1229" t="s">
        <v>153</v>
      </c>
      <c r="F18" s="660">
        <v>6066502.5999999996</v>
      </c>
      <c r="G18" s="1229">
        <v>6.435660057187083</v>
      </c>
      <c r="H18" s="6"/>
      <c r="I18" s="1198"/>
      <c r="L18" s="6"/>
    </row>
    <row r="19" spans="1:13" ht="20" customHeight="1" thickBot="1">
      <c r="A19" s="1122" t="s">
        <v>515</v>
      </c>
      <c r="B19" s="289">
        <v>1</v>
      </c>
      <c r="C19" s="159">
        <v>1</v>
      </c>
      <c r="D19" s="289">
        <v>2</v>
      </c>
      <c r="E19" s="1229">
        <v>1</v>
      </c>
      <c r="F19" s="660">
        <v>136668</v>
      </c>
      <c r="G19" s="1229">
        <v>1</v>
      </c>
      <c r="H19" s="6"/>
      <c r="I19" s="1198"/>
      <c r="L19" s="6"/>
    </row>
    <row r="20" spans="1:13" ht="20" customHeight="1" thickBot="1">
      <c r="A20" s="1122" t="s">
        <v>516</v>
      </c>
      <c r="B20" s="289">
        <v>242</v>
      </c>
      <c r="C20" s="159">
        <v>223</v>
      </c>
      <c r="D20" s="289">
        <v>465</v>
      </c>
      <c r="E20" s="1229">
        <v>0.39221556886227543</v>
      </c>
      <c r="F20" s="660">
        <v>489751</v>
      </c>
      <c r="G20" s="1229">
        <v>0.83395057798814443</v>
      </c>
      <c r="H20" s="6"/>
      <c r="I20" s="1198"/>
      <c r="L20" s="6"/>
    </row>
    <row r="21" spans="1:13" ht="20" customHeight="1" thickBot="1">
      <c r="A21" s="1122" t="s">
        <v>517</v>
      </c>
      <c r="B21" s="289">
        <v>11</v>
      </c>
      <c r="C21" s="159">
        <v>9</v>
      </c>
      <c r="D21" s="289">
        <v>20</v>
      </c>
      <c r="E21" s="1229">
        <v>1.2222222222222223</v>
      </c>
      <c r="F21" s="660">
        <v>23969.1</v>
      </c>
      <c r="G21" s="1229">
        <v>0.56671024249950963</v>
      </c>
      <c r="H21" s="6"/>
      <c r="I21" s="1198"/>
      <c r="L21" s="6"/>
    </row>
    <row r="22" spans="1:13" ht="20" customHeight="1" thickBot="1">
      <c r="A22" s="1122" t="s">
        <v>518</v>
      </c>
      <c r="B22" s="289">
        <v>2679</v>
      </c>
      <c r="C22" s="159">
        <v>2679</v>
      </c>
      <c r="D22" s="289">
        <v>5358</v>
      </c>
      <c r="E22" s="1229">
        <v>0.12092050209205021</v>
      </c>
      <c r="F22" s="660">
        <v>6014572</v>
      </c>
      <c r="G22" s="1229">
        <v>-6.9455867564013299E-2</v>
      </c>
      <c r="H22" s="6"/>
      <c r="I22" s="1198"/>
      <c r="L22" s="6"/>
    </row>
    <row r="23" spans="1:13" ht="20" customHeight="1" thickBot="1">
      <c r="A23" s="1122" t="s">
        <v>519</v>
      </c>
      <c r="B23" s="289">
        <v>172</v>
      </c>
      <c r="C23" s="159">
        <v>128</v>
      </c>
      <c r="D23" s="289">
        <v>300</v>
      </c>
      <c r="E23" s="1229">
        <v>1</v>
      </c>
      <c r="F23" s="660">
        <v>299163.75</v>
      </c>
      <c r="G23" s="1229">
        <v>1</v>
      </c>
      <c r="H23" s="6"/>
      <c r="I23" s="1198"/>
      <c r="L23" s="6"/>
    </row>
    <row r="24" spans="1:13" ht="20" customHeight="1" thickBot="1">
      <c r="A24" s="1122" t="s">
        <v>520</v>
      </c>
      <c r="B24" s="289">
        <v>3519</v>
      </c>
      <c r="C24" s="159">
        <v>2881</v>
      </c>
      <c r="D24" s="289">
        <v>6400</v>
      </c>
      <c r="E24" s="1229">
        <v>24</v>
      </c>
      <c r="F24" s="660">
        <v>11200000.000000002</v>
      </c>
      <c r="G24" s="1229">
        <v>0.40000000000000024</v>
      </c>
      <c r="H24" s="6"/>
      <c r="I24" s="1198"/>
      <c r="L24" s="6"/>
    </row>
    <row r="25" spans="1:13" ht="20" customHeight="1" thickBot="1">
      <c r="A25" s="1122" t="s">
        <v>521</v>
      </c>
      <c r="B25" s="289" t="s">
        <v>153</v>
      </c>
      <c r="C25" s="159" t="s">
        <v>153</v>
      </c>
      <c r="D25" s="289" t="s">
        <v>153</v>
      </c>
      <c r="E25" s="1229" t="s">
        <v>153</v>
      </c>
      <c r="F25" s="660">
        <v>1750000</v>
      </c>
      <c r="G25" s="1229">
        <v>0.32502128552050813</v>
      </c>
      <c r="H25" s="6"/>
      <c r="I25" s="1198"/>
      <c r="L25" s="6"/>
    </row>
    <row r="26" spans="1:13" ht="20" customHeight="1" thickBot="1">
      <c r="A26" s="1122" t="s">
        <v>522</v>
      </c>
      <c r="B26" s="289" t="s">
        <v>153</v>
      </c>
      <c r="C26" s="159" t="s">
        <v>153</v>
      </c>
      <c r="D26" s="289" t="s">
        <v>153</v>
      </c>
      <c r="E26" s="1229" t="s">
        <v>153</v>
      </c>
      <c r="F26" s="660">
        <v>9359432.5999999996</v>
      </c>
      <c r="G26" s="1229">
        <v>0.3090176489912882</v>
      </c>
      <c r="H26" s="6"/>
      <c r="I26" s="1198"/>
      <c r="L26" s="6"/>
    </row>
    <row r="27" spans="1:13" ht="20" customHeight="1" thickBot="1">
      <c r="A27" s="1122" t="s">
        <v>523</v>
      </c>
      <c r="B27" s="289">
        <v>9280</v>
      </c>
      <c r="C27" s="159">
        <v>7200</v>
      </c>
      <c r="D27" s="289">
        <v>16480</v>
      </c>
      <c r="E27" s="1229">
        <v>0.33798814646423642</v>
      </c>
      <c r="F27" s="660">
        <v>37836678.5</v>
      </c>
      <c r="G27" s="1229">
        <v>1.224597425015056E-2</v>
      </c>
      <c r="H27" s="6"/>
      <c r="I27" s="1198"/>
      <c r="L27" s="6"/>
    </row>
    <row r="28" spans="1:13" ht="20" customHeight="1" thickBot="1">
      <c r="A28" s="1122" t="s">
        <v>524</v>
      </c>
      <c r="B28" s="289">
        <v>2328.6594962999179</v>
      </c>
      <c r="C28" s="159">
        <v>2791.3437745653391</v>
      </c>
      <c r="D28" s="289">
        <v>5120</v>
      </c>
      <c r="E28" s="1229">
        <v>1</v>
      </c>
      <c r="F28" s="660">
        <v>10541674.449999999</v>
      </c>
      <c r="G28" s="1229">
        <v>7.3056386828680001E-2</v>
      </c>
      <c r="H28" s="6"/>
      <c r="I28" s="1198"/>
      <c r="L28" s="6"/>
    </row>
    <row r="29" spans="1:13" ht="20" customHeight="1" thickBot="1">
      <c r="A29" s="1122" t="s">
        <v>525</v>
      </c>
      <c r="B29" s="289" t="s">
        <v>153</v>
      </c>
      <c r="C29" s="159" t="s">
        <v>153</v>
      </c>
      <c r="D29" s="289" t="s">
        <v>153</v>
      </c>
      <c r="E29" s="1229" t="s">
        <v>153</v>
      </c>
      <c r="F29" s="660">
        <v>10538274</v>
      </c>
      <c r="G29" s="1229">
        <v>6.5130339953402465E-3</v>
      </c>
      <c r="H29" s="6"/>
      <c r="I29" s="1198"/>
      <c r="J29" s="1231"/>
      <c r="K29" s="1231"/>
      <c r="L29" s="1201"/>
      <c r="M29" s="1201"/>
    </row>
    <row r="30" spans="1:13" ht="20" customHeight="1" thickBot="1">
      <c r="A30" s="1122" t="s">
        <v>526</v>
      </c>
      <c r="B30" s="289">
        <v>17424</v>
      </c>
      <c r="C30" s="159">
        <v>14839</v>
      </c>
      <c r="D30" s="289">
        <v>32263</v>
      </c>
      <c r="E30" s="1229">
        <v>0.60920744176766917</v>
      </c>
      <c r="F30" s="660">
        <v>50369603</v>
      </c>
      <c r="G30" s="1229">
        <v>0.59342041440841875</v>
      </c>
      <c r="I30" s="1198"/>
      <c r="L30" s="6"/>
    </row>
    <row r="31" spans="1:13" ht="20" customHeight="1" thickBot="1">
      <c r="A31" s="1122" t="s">
        <v>527</v>
      </c>
      <c r="B31" s="289" t="s">
        <v>153</v>
      </c>
      <c r="C31" s="159" t="s">
        <v>153</v>
      </c>
      <c r="D31" s="289" t="s">
        <v>153</v>
      </c>
      <c r="E31" s="1229" t="s">
        <v>153</v>
      </c>
      <c r="F31" s="660">
        <v>2340712.15</v>
      </c>
      <c r="G31" s="1229">
        <v>0.1047357909010823</v>
      </c>
      <c r="I31" s="1198"/>
      <c r="J31" s="1232"/>
      <c r="K31" s="1232"/>
      <c r="L31" s="6"/>
    </row>
    <row r="32" spans="1:13" s="200" customFormat="1" ht="30" customHeight="1" thickBot="1">
      <c r="A32" s="1124" t="s">
        <v>1739</v>
      </c>
      <c r="B32" s="1233">
        <v>58226.659496299915</v>
      </c>
      <c r="C32" s="1234">
        <v>49166.343774565335</v>
      </c>
      <c r="D32" s="1233">
        <v>107773</v>
      </c>
      <c r="E32" s="1235">
        <v>0.26617479469436189</v>
      </c>
      <c r="F32" s="1233">
        <v>223025658.48999998</v>
      </c>
      <c r="G32" s="1236">
        <v>9.9528670231471938E-2</v>
      </c>
      <c r="I32" s="1202"/>
    </row>
    <row r="33" spans="1:9" ht="20" customHeight="1">
      <c r="A33" s="1098" t="s">
        <v>1652</v>
      </c>
      <c r="B33" s="457"/>
      <c r="C33" s="457"/>
      <c r="D33" s="1127"/>
      <c r="E33" s="457"/>
      <c r="F33" s="457"/>
      <c r="G33" s="459"/>
    </row>
    <row r="34" spans="1:9" ht="14.25" customHeight="1">
      <c r="A34" s="1099"/>
      <c r="B34" s="459"/>
      <c r="C34" s="459"/>
      <c r="D34" s="1128"/>
      <c r="E34" s="459"/>
      <c r="F34" s="459"/>
      <c r="G34" s="459"/>
    </row>
    <row r="35" spans="1:9" ht="15.75" customHeight="1">
      <c r="A35" s="1099" t="s">
        <v>1790</v>
      </c>
      <c r="B35" s="459"/>
      <c r="C35" s="459"/>
      <c r="D35" s="1128"/>
      <c r="E35" s="459"/>
      <c r="F35" s="459"/>
      <c r="G35" s="459"/>
    </row>
    <row r="36" spans="1:9" ht="15.75" customHeight="1">
      <c r="A36" s="1099"/>
      <c r="B36" s="459"/>
      <c r="C36" s="459"/>
      <c r="D36" s="1128"/>
      <c r="E36" s="459"/>
      <c r="F36" s="459"/>
      <c r="G36" s="459"/>
    </row>
    <row r="37" spans="1:9">
      <c r="A37" s="63" t="s">
        <v>1791</v>
      </c>
    </row>
    <row r="38" spans="1:9" ht="12.75" customHeight="1">
      <c r="A38" s="1099" t="s">
        <v>1792</v>
      </c>
      <c r="B38" s="459"/>
      <c r="C38" s="459"/>
      <c r="D38" s="1128"/>
      <c r="E38" s="459"/>
      <c r="F38" s="459"/>
      <c r="G38" s="459"/>
    </row>
    <row r="39" spans="1:9" s="17" customFormat="1" ht="12.75" customHeight="1">
      <c r="A39" s="63" t="s">
        <v>1793</v>
      </c>
      <c r="B39" s="1237"/>
      <c r="C39" s="1238"/>
      <c r="D39" s="1238"/>
      <c r="E39" s="1239"/>
      <c r="F39" s="1239"/>
      <c r="G39" s="1239"/>
      <c r="H39" s="1239"/>
      <c r="I39" s="1239"/>
    </row>
    <row r="40" spans="1:9" s="17" customFormat="1" ht="12.75" customHeight="1">
      <c r="A40" s="63" t="s">
        <v>1794</v>
      </c>
      <c r="B40" s="1237"/>
      <c r="C40" s="1238"/>
      <c r="D40" s="1238"/>
      <c r="E40" s="1239"/>
      <c r="F40" s="1239"/>
      <c r="G40" s="1239"/>
      <c r="H40" s="1239"/>
      <c r="I40" s="1239"/>
    </row>
    <row r="41" spans="1:9" ht="12.75" customHeight="1">
      <c r="A41" s="1237" t="s">
        <v>1795</v>
      </c>
      <c r="B41" s="63"/>
      <c r="C41" s="63"/>
      <c r="D41" s="63"/>
      <c r="E41" s="63"/>
      <c r="F41" s="63"/>
    </row>
    <row r="42" spans="1:9" ht="12.75" customHeight="1">
      <c r="A42" s="3" t="s">
        <v>1796</v>
      </c>
    </row>
    <row r="43" spans="1:9" ht="12.75" customHeight="1">
      <c r="A43" s="1237" t="s">
        <v>1797</v>
      </c>
    </row>
    <row r="46" spans="1:9">
      <c r="A46" s="3" t="s">
        <v>302</v>
      </c>
    </row>
    <row r="48" spans="1:9">
      <c r="A48" s="63"/>
    </row>
    <row r="50" spans="1:10">
      <c r="A50" s="1237"/>
    </row>
    <row r="51" spans="1:10" ht="20" customHeight="1">
      <c r="A51" s="63"/>
    </row>
    <row r="52" spans="1:10" ht="11.25" customHeight="1"/>
    <row r="53" spans="1:10" ht="14.25" customHeight="1"/>
    <row r="54" spans="1:10" ht="13.5" customHeight="1"/>
    <row r="55" spans="1:10" s="17" customFormat="1">
      <c r="A55" s="3"/>
      <c r="B55" s="3"/>
      <c r="C55" s="3"/>
      <c r="D55" s="245"/>
      <c r="E55" s="3"/>
      <c r="F55" s="201"/>
      <c r="G55" s="3"/>
      <c r="H55" s="3"/>
      <c r="I55" s="3"/>
      <c r="J55" s="3"/>
    </row>
  </sheetData>
  <mergeCells count="1">
    <mergeCell ref="A2:F2"/>
  </mergeCells>
  <pageMargins left="0.59055118110236227" right="0.59055118110236227" top="0.78740157480314965" bottom="0.47244094488188981" header="0.47244094488188981" footer="0.51181102362204722"/>
  <pageSetup paperSize="9" scale="82" orientation="portrait" horizontalDpi="1200" verticalDpi="1200"/>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F1343-8D5D-9940-8DE8-39222DDA7CF1}">
  <dimension ref="A1:N52"/>
  <sheetViews>
    <sheetView zoomScaleNormal="100" workbookViewId="0">
      <selection activeCell="C68" sqref="C68"/>
    </sheetView>
  </sheetViews>
  <sheetFormatPr baseColWidth="10" defaultColWidth="11.3984375" defaultRowHeight="13"/>
  <cols>
    <col min="1" max="1" width="10.59765625" style="3" customWidth="1"/>
    <col min="2" max="3" width="12.59765625" style="3" customWidth="1"/>
    <col min="4" max="4" width="12.59765625" style="245" customWidth="1"/>
    <col min="5" max="5" width="12.59765625" style="3" customWidth="1"/>
    <col min="6" max="6" width="12.59765625" style="201" customWidth="1"/>
    <col min="7" max="8" width="12.59765625" style="3" customWidth="1"/>
    <col min="9" max="9" width="17.59765625" style="201" customWidth="1"/>
    <col min="10" max="13" width="11.3984375" style="3"/>
    <col min="14" max="14" width="17.59765625" style="3" customWidth="1"/>
    <col min="15" max="16384" width="11.3984375" style="3"/>
  </cols>
  <sheetData>
    <row r="1" spans="1:13" s="1" customFormat="1" ht="14" customHeight="1">
      <c r="D1" s="221"/>
      <c r="F1" s="359"/>
      <c r="I1" s="359"/>
    </row>
    <row r="2" spans="1:13" s="1" customFormat="1" ht="25.25" customHeight="1">
      <c r="A2" s="2010" t="s">
        <v>1798</v>
      </c>
      <c r="B2" s="2011"/>
      <c r="C2" s="2011"/>
      <c r="D2" s="2011"/>
      <c r="E2" s="2011"/>
      <c r="F2" s="2011"/>
      <c r="G2" s="2016"/>
      <c r="H2" s="2016"/>
      <c r="I2" s="2016"/>
    </row>
    <row r="3" spans="1:13" ht="24" customHeight="1">
      <c r="A3" s="224" t="s">
        <v>67</v>
      </c>
      <c r="B3" s="1174" t="s">
        <v>1799</v>
      </c>
      <c r="C3" s="1240"/>
      <c r="D3" s="1240"/>
      <c r="E3" s="1240"/>
      <c r="F3" s="1240"/>
      <c r="G3" s="1240"/>
      <c r="H3" s="1240"/>
      <c r="I3" s="1241" t="s">
        <v>475</v>
      </c>
    </row>
    <row r="4" spans="1:13" ht="15" customHeight="1">
      <c r="A4" s="269"/>
      <c r="B4" s="270">
        <v>2007</v>
      </c>
      <c r="C4" s="1242">
        <v>2008</v>
      </c>
      <c r="D4" s="270">
        <v>2009</v>
      </c>
      <c r="E4" s="1242">
        <v>2010</v>
      </c>
      <c r="F4" s="1243">
        <v>2011</v>
      </c>
      <c r="G4" s="271">
        <v>2012</v>
      </c>
      <c r="H4" s="1243">
        <v>2013</v>
      </c>
      <c r="I4" s="1244" t="s">
        <v>476</v>
      </c>
    </row>
    <row r="5" spans="1:13" ht="24" customHeight="1">
      <c r="A5" s="269"/>
      <c r="B5" s="1245"/>
      <c r="C5" s="227"/>
      <c r="D5" s="615"/>
      <c r="E5" s="275"/>
      <c r="F5" s="1246"/>
      <c r="G5" s="230"/>
      <c r="H5" s="1246"/>
      <c r="I5" s="1247" t="s">
        <v>477</v>
      </c>
      <c r="K5" s="6"/>
    </row>
    <row r="6" spans="1:13" ht="30" customHeight="1" thickBot="1">
      <c r="A6" s="1119" t="s">
        <v>502</v>
      </c>
      <c r="B6" s="1095">
        <v>22.7</v>
      </c>
      <c r="C6" s="1182">
        <v>19.999206000000001</v>
      </c>
      <c r="D6" s="1095">
        <v>21.769221000000002</v>
      </c>
      <c r="E6" s="1182">
        <v>25.350891000000001</v>
      </c>
      <c r="F6" s="1095">
        <v>25.705490999999999</v>
      </c>
      <c r="G6" s="1182">
        <v>31.805236000000001</v>
      </c>
      <c r="H6" s="1095">
        <v>33.835499820000003</v>
      </c>
      <c r="I6" s="1227">
        <v>6.3834263641370237E-2</v>
      </c>
      <c r="M6" s="6"/>
    </row>
    <row r="7" spans="1:13" ht="20" customHeight="1" thickBot="1">
      <c r="A7" s="1122" t="s">
        <v>503</v>
      </c>
      <c r="B7" s="281">
        <v>17.5</v>
      </c>
      <c r="C7" s="282">
        <v>18</v>
      </c>
      <c r="D7" s="281">
        <v>22.212717000000001</v>
      </c>
      <c r="E7" s="282">
        <v>21.585070999999999</v>
      </c>
      <c r="F7" s="1248">
        <v>25.010442000000001</v>
      </c>
      <c r="G7" s="282">
        <v>26.517904469999998</v>
      </c>
      <c r="H7" s="1095">
        <v>29.600536719999997</v>
      </c>
      <c r="I7" s="1249">
        <v>0.11624720397825605</v>
      </c>
      <c r="M7" s="6"/>
    </row>
    <row r="8" spans="1:13" ht="20" customHeight="1" thickBot="1">
      <c r="A8" s="1122" t="s">
        <v>504</v>
      </c>
      <c r="B8" s="281">
        <v>3.408461</v>
      </c>
      <c r="C8" s="282">
        <v>2.9657990000000001</v>
      </c>
      <c r="D8" s="281">
        <v>3.402968</v>
      </c>
      <c r="E8" s="282">
        <v>4.1737330000000004</v>
      </c>
      <c r="F8" s="1248">
        <v>4.1638590000000004</v>
      </c>
      <c r="G8" s="282">
        <v>3.9150730499999997</v>
      </c>
      <c r="H8" s="1095">
        <v>2.281269</v>
      </c>
      <c r="I8" s="1249">
        <v>-0.41731125553327797</v>
      </c>
      <c r="M8" s="6"/>
    </row>
    <row r="9" spans="1:13" ht="20" customHeight="1" thickBot="1">
      <c r="A9" s="1122" t="s">
        <v>505</v>
      </c>
      <c r="B9" s="281">
        <v>0.1</v>
      </c>
      <c r="C9" s="282">
        <v>0.2</v>
      </c>
      <c r="D9" s="281">
        <v>0.2</v>
      </c>
      <c r="E9" s="282">
        <v>0.2</v>
      </c>
      <c r="F9" s="281">
        <v>0.2</v>
      </c>
      <c r="G9" s="282"/>
      <c r="H9" s="1095"/>
      <c r="I9" s="1229"/>
      <c r="M9" s="6"/>
    </row>
    <row r="10" spans="1:13" ht="20" customHeight="1" thickBot="1">
      <c r="A10" s="1122" t="s">
        <v>506</v>
      </c>
      <c r="B10" s="281">
        <v>0.91249199999999997</v>
      </c>
      <c r="C10" s="282">
        <v>0.99322334999999995</v>
      </c>
      <c r="D10" s="281">
        <v>1.3670640000000001</v>
      </c>
      <c r="E10" s="282">
        <v>1.1250089999999999</v>
      </c>
      <c r="F10" s="281">
        <v>1.2840167499999999</v>
      </c>
      <c r="G10" s="282">
        <v>0.37543529999999997</v>
      </c>
      <c r="H10" s="1095">
        <v>0.22437314999999999</v>
      </c>
      <c r="I10" s="1229">
        <v>-0.40236533431992139</v>
      </c>
      <c r="M10" s="6"/>
    </row>
    <row r="11" spans="1:13" ht="20" customHeight="1" thickBot="1">
      <c r="A11" s="1122" t="s">
        <v>507</v>
      </c>
      <c r="B11" s="281"/>
      <c r="C11" s="282"/>
      <c r="D11" s="281"/>
      <c r="E11" s="282"/>
      <c r="F11" s="281"/>
      <c r="G11" s="282"/>
      <c r="H11" s="1095">
        <v>2.6311349999999997E-2</v>
      </c>
      <c r="I11" s="1229">
        <v>1</v>
      </c>
      <c r="M11" s="6"/>
    </row>
    <row r="12" spans="1:13" ht="20" customHeight="1" thickBot="1">
      <c r="A12" s="1122" t="s">
        <v>508</v>
      </c>
      <c r="B12" s="281"/>
      <c r="C12" s="282"/>
      <c r="D12" s="281"/>
      <c r="E12" s="282"/>
      <c r="F12" s="281"/>
      <c r="G12" s="282"/>
      <c r="H12" s="1095">
        <v>4.4743999999999999E-2</v>
      </c>
      <c r="I12" s="1229">
        <v>1</v>
      </c>
      <c r="M12" s="6"/>
    </row>
    <row r="13" spans="1:13" ht="20" customHeight="1" thickBot="1">
      <c r="A13" s="1122" t="s">
        <v>509</v>
      </c>
      <c r="B13" s="281">
        <v>0.51370519999999997</v>
      </c>
      <c r="C13" s="282">
        <v>0.53300000000000003</v>
      </c>
      <c r="D13" s="281">
        <v>0.65900000000000003</v>
      </c>
      <c r="E13" s="282">
        <v>0.56399999999999995</v>
      </c>
      <c r="F13" s="281">
        <v>0.89806699999999995</v>
      </c>
      <c r="G13" s="282">
        <v>0.25575300000000001</v>
      </c>
      <c r="H13" s="1095">
        <v>0.73767430000000001</v>
      </c>
      <c r="I13" s="1229">
        <v>1.8843231555446076</v>
      </c>
      <c r="M13" s="6"/>
    </row>
    <row r="14" spans="1:13" ht="20" customHeight="1" thickBot="1">
      <c r="A14" s="1122" t="s">
        <v>510</v>
      </c>
      <c r="B14" s="281"/>
      <c r="C14" s="282"/>
      <c r="D14" s="281"/>
      <c r="E14" s="282"/>
      <c r="F14" s="281"/>
      <c r="G14" s="282"/>
      <c r="H14" s="1095"/>
      <c r="I14" s="1229"/>
      <c r="M14" s="6"/>
    </row>
    <row r="15" spans="1:13" ht="20" customHeight="1" thickBot="1">
      <c r="A15" s="1122" t="s">
        <v>511</v>
      </c>
      <c r="B15" s="281">
        <v>1.5</v>
      </c>
      <c r="C15" s="282">
        <v>1.7</v>
      </c>
      <c r="D15" s="281">
        <v>2.7172239999999999</v>
      </c>
      <c r="E15" s="282">
        <v>4.9711879999999997</v>
      </c>
      <c r="F15" s="281">
        <v>6.0479200000000004</v>
      </c>
      <c r="G15" s="282">
        <v>10.999750000000001</v>
      </c>
      <c r="H15" s="1095">
        <v>8.2674590000000006</v>
      </c>
      <c r="I15" s="1229">
        <v>-0.24839573626673328</v>
      </c>
      <c r="M15" s="6"/>
    </row>
    <row r="16" spans="1:13" ht="20" customHeight="1" thickBot="1">
      <c r="A16" s="1122" t="s">
        <v>512</v>
      </c>
      <c r="B16" s="281" t="s">
        <v>153</v>
      </c>
      <c r="C16" s="282">
        <v>1.2098249999999999</v>
      </c>
      <c r="D16" s="281">
        <v>1.4096569999999999</v>
      </c>
      <c r="E16" s="282">
        <v>1.694097</v>
      </c>
      <c r="F16" s="281">
        <v>2.1436999999999999</v>
      </c>
      <c r="G16" s="282" t="s">
        <v>153</v>
      </c>
      <c r="H16" s="281" t="s">
        <v>153</v>
      </c>
      <c r="I16" s="1229" t="s">
        <v>153</v>
      </c>
      <c r="M16" s="6"/>
    </row>
    <row r="17" spans="1:14" ht="20" customHeight="1" thickBot="1">
      <c r="A17" s="1122" t="s">
        <v>513</v>
      </c>
      <c r="B17" s="281" t="s">
        <v>153</v>
      </c>
      <c r="C17" s="282">
        <v>0.12</v>
      </c>
      <c r="D17" s="281">
        <v>7.1796300000000004</v>
      </c>
      <c r="E17" s="282">
        <v>6.5059279999999999</v>
      </c>
      <c r="F17" s="281">
        <v>6.5139339999999999</v>
      </c>
      <c r="G17" s="282">
        <v>13.533165</v>
      </c>
      <c r="H17" s="1095">
        <v>1.0407900000000001</v>
      </c>
      <c r="I17" s="1229">
        <v>-0.92309337837822858</v>
      </c>
      <c r="M17" s="6"/>
    </row>
    <row r="18" spans="1:14" ht="20" customHeight="1" thickBot="1">
      <c r="A18" s="1122" t="s">
        <v>514</v>
      </c>
      <c r="B18" s="281" t="s">
        <v>153</v>
      </c>
      <c r="C18" s="282">
        <v>0.61089000000000004</v>
      </c>
      <c r="D18" s="281">
        <v>1.3597999999999999</v>
      </c>
      <c r="E18" s="282">
        <v>1.5519860000000001</v>
      </c>
      <c r="F18" s="281">
        <v>1.9312450000000001</v>
      </c>
      <c r="G18" s="282">
        <v>0.81586605000000001</v>
      </c>
      <c r="H18" s="1095">
        <v>6.0665025999999997</v>
      </c>
      <c r="I18" s="1229">
        <v>6.435660057187083</v>
      </c>
      <c r="M18" s="6"/>
    </row>
    <row r="19" spans="1:14" ht="20" customHeight="1" thickBot="1">
      <c r="A19" s="1122" t="s">
        <v>515</v>
      </c>
      <c r="B19" s="281">
        <v>1.151972</v>
      </c>
      <c r="C19" s="282">
        <v>1.107064</v>
      </c>
      <c r="D19" s="281" t="s">
        <v>153</v>
      </c>
      <c r="E19" s="282" t="s">
        <v>153</v>
      </c>
      <c r="F19" s="281" t="s">
        <v>153</v>
      </c>
      <c r="G19" s="282" t="s">
        <v>153</v>
      </c>
      <c r="H19" s="1095">
        <v>0.13666800000000001</v>
      </c>
      <c r="I19" s="1229">
        <v>1</v>
      </c>
      <c r="M19" s="6"/>
    </row>
    <row r="20" spans="1:14" ht="20" customHeight="1" thickBot="1">
      <c r="A20" s="1122" t="s">
        <v>516</v>
      </c>
      <c r="B20" s="281" t="s">
        <v>153</v>
      </c>
      <c r="C20" s="282" t="s">
        <v>153</v>
      </c>
      <c r="D20" s="281" t="s">
        <v>153</v>
      </c>
      <c r="E20" s="282">
        <v>0.4</v>
      </c>
      <c r="F20" s="281">
        <v>0.56296999999999997</v>
      </c>
      <c r="G20" s="282">
        <v>0.26704699999999998</v>
      </c>
      <c r="H20" s="1095">
        <v>0.48975099999999999</v>
      </c>
      <c r="I20" s="1229">
        <v>0.83395057798814443</v>
      </c>
      <c r="M20" s="6"/>
    </row>
    <row r="21" spans="1:14" ht="20" customHeight="1" thickBot="1">
      <c r="A21" s="1122" t="s">
        <v>517</v>
      </c>
      <c r="B21" s="1250">
        <v>0</v>
      </c>
      <c r="C21" s="1251">
        <v>2.8000000000000001E-2</v>
      </c>
      <c r="D21" s="1250">
        <v>3.4000000000000002E-2</v>
      </c>
      <c r="E21" s="1251">
        <v>2.64E-2</v>
      </c>
      <c r="F21" s="1250">
        <v>1.3244000000000001E-2</v>
      </c>
      <c r="G21" s="1251">
        <v>1.5299E-2</v>
      </c>
      <c r="H21" s="1095">
        <v>2.39691E-2</v>
      </c>
      <c r="I21" s="1229">
        <v>0.56671024249950985</v>
      </c>
      <c r="M21" s="6"/>
    </row>
    <row r="22" spans="1:14" ht="20" customHeight="1" thickBot="1">
      <c r="A22" s="1122" t="s">
        <v>518</v>
      </c>
      <c r="B22" s="281">
        <v>22.373737999999999</v>
      </c>
      <c r="C22" s="282">
        <v>5.9842589999999998</v>
      </c>
      <c r="D22" s="281">
        <v>6.5513050000000002</v>
      </c>
      <c r="E22" s="282">
        <v>6.8167559999999998</v>
      </c>
      <c r="F22" s="281">
        <v>7.2645520000000001</v>
      </c>
      <c r="G22" s="282">
        <v>6.4634999999999998</v>
      </c>
      <c r="H22" s="1095">
        <v>6.0145720000000003</v>
      </c>
      <c r="I22" s="1229">
        <v>-6.9455867564013229E-2</v>
      </c>
      <c r="M22" s="6"/>
    </row>
    <row r="23" spans="1:14" ht="20" customHeight="1" thickBot="1">
      <c r="A23" s="1122" t="s">
        <v>519</v>
      </c>
      <c r="B23" s="281"/>
      <c r="C23" s="282"/>
      <c r="D23" s="281"/>
      <c r="E23" s="282"/>
      <c r="F23" s="281"/>
      <c r="G23" s="282"/>
      <c r="H23" s="1095">
        <v>0.29916375000000001</v>
      </c>
      <c r="I23" s="1229">
        <v>1</v>
      </c>
      <c r="M23" s="6"/>
    </row>
    <row r="24" spans="1:14" ht="20" customHeight="1" thickBot="1">
      <c r="A24" s="1122" t="s">
        <v>520</v>
      </c>
      <c r="B24" s="281">
        <v>1.138943</v>
      </c>
      <c r="C24" s="282">
        <v>1.0154110000000001</v>
      </c>
      <c r="D24" s="281">
        <v>1.8120700000000001</v>
      </c>
      <c r="E24" s="282">
        <v>2.3859006000000003</v>
      </c>
      <c r="F24" s="281">
        <v>1.6853689999999999</v>
      </c>
      <c r="G24" s="282">
        <v>8</v>
      </c>
      <c r="H24" s="1095">
        <v>11.200000000000001</v>
      </c>
      <c r="I24" s="1229">
        <v>0.40000000000000013</v>
      </c>
      <c r="M24" s="6"/>
    </row>
    <row r="25" spans="1:14" ht="20" customHeight="1" thickBot="1">
      <c r="A25" s="1122" t="s">
        <v>521</v>
      </c>
      <c r="B25" s="281">
        <v>1.5</v>
      </c>
      <c r="C25" s="282">
        <v>1.5</v>
      </c>
      <c r="D25" s="281">
        <v>1.5</v>
      </c>
      <c r="E25" s="282">
        <v>1.5598399999999999</v>
      </c>
      <c r="F25" s="281">
        <v>1.558664</v>
      </c>
      <c r="G25" s="282">
        <v>1.3207335</v>
      </c>
      <c r="H25" s="1095">
        <v>1.75</v>
      </c>
      <c r="I25" s="1229">
        <v>0.32502128552050813</v>
      </c>
      <c r="M25" s="6"/>
    </row>
    <row r="26" spans="1:14" ht="20" customHeight="1" thickBot="1">
      <c r="A26" s="1122" t="s">
        <v>522</v>
      </c>
      <c r="B26" s="281">
        <v>3.7897050000000001</v>
      </c>
      <c r="C26" s="282">
        <v>1.0537611999999998</v>
      </c>
      <c r="D26" s="281">
        <v>4.0948779999999996</v>
      </c>
      <c r="E26" s="282">
        <v>9.4327760000000005</v>
      </c>
      <c r="F26" s="281">
        <v>10.394158750000001</v>
      </c>
      <c r="G26" s="282">
        <v>7.1499667000000002</v>
      </c>
      <c r="H26" s="1095">
        <v>9.3594325999999999</v>
      </c>
      <c r="I26" s="1229">
        <v>0.30901764899128814</v>
      </c>
      <c r="M26" s="6"/>
    </row>
    <row r="27" spans="1:14" ht="20" customHeight="1" thickBot="1">
      <c r="A27" s="1122" t="s">
        <v>523</v>
      </c>
      <c r="B27" s="281">
        <v>29.680482999999999</v>
      </c>
      <c r="C27" s="282">
        <v>26.5</v>
      </c>
      <c r="D27" s="281">
        <v>18</v>
      </c>
      <c r="E27" s="282">
        <v>34.5</v>
      </c>
      <c r="F27" s="281">
        <v>36.355446999999998</v>
      </c>
      <c r="G27" s="282">
        <v>37.378937000000001</v>
      </c>
      <c r="H27" s="1095">
        <v>37.836678499999998</v>
      </c>
      <c r="I27" s="1229">
        <v>1.2245974250150393E-2</v>
      </c>
      <c r="M27" s="6"/>
    </row>
    <row r="28" spans="1:14" ht="20" customHeight="1" thickBot="1">
      <c r="A28" s="1122" t="s">
        <v>524</v>
      </c>
      <c r="B28" s="281">
        <v>8.4</v>
      </c>
      <c r="C28" s="282">
        <v>7.4222669999999997</v>
      </c>
      <c r="D28" s="281">
        <v>8.632009</v>
      </c>
      <c r="E28" s="282">
        <v>8.0148510000000002</v>
      </c>
      <c r="F28" s="281">
        <v>10.49955108</v>
      </c>
      <c r="G28" s="282">
        <v>9.8239706499999997</v>
      </c>
      <c r="H28" s="1095">
        <v>10.541674449999999</v>
      </c>
      <c r="I28" s="1229">
        <v>7.3056386828679987E-2</v>
      </c>
      <c r="M28" s="6"/>
    </row>
    <row r="29" spans="1:14" ht="20" customHeight="1" thickBot="1">
      <c r="A29" s="1122" t="s">
        <v>525</v>
      </c>
      <c r="B29" s="281">
        <v>18</v>
      </c>
      <c r="C29" s="282">
        <v>17.2</v>
      </c>
      <c r="D29" s="281">
        <v>8.34</v>
      </c>
      <c r="E29" s="282">
        <v>11.774749999999999</v>
      </c>
      <c r="F29" s="281">
        <v>10.065239</v>
      </c>
      <c r="G29" s="282">
        <v>10.470082</v>
      </c>
      <c r="H29" s="1095">
        <v>10.538273999999999</v>
      </c>
      <c r="I29" s="1229">
        <v>6.5130339953403116E-3</v>
      </c>
      <c r="J29" s="1231"/>
      <c r="K29" s="1231"/>
      <c r="L29" s="1231"/>
      <c r="M29" s="1201"/>
      <c r="N29" s="1201"/>
    </row>
    <row r="30" spans="1:14" ht="20" customHeight="1" thickBot="1">
      <c r="A30" s="1122" t="s">
        <v>526</v>
      </c>
      <c r="B30" s="281">
        <v>40.257382999999997</v>
      </c>
      <c r="C30" s="282">
        <v>33.362901999999998</v>
      </c>
      <c r="D30" s="281">
        <v>34.860502950000004</v>
      </c>
      <c r="E30" s="282">
        <v>38.994125950000011</v>
      </c>
      <c r="F30" s="281">
        <v>38.506505799999999</v>
      </c>
      <c r="G30" s="282">
        <v>31.610993900000004</v>
      </c>
      <c r="H30" s="1095">
        <v>50.369602999999998</v>
      </c>
      <c r="I30" s="1229">
        <v>0.59342041440841853</v>
      </c>
      <c r="M30" s="6"/>
    </row>
    <row r="31" spans="1:14" ht="20" customHeight="1" thickBot="1">
      <c r="A31" s="1122" t="s">
        <v>527</v>
      </c>
      <c r="B31" s="281">
        <v>3.7389999999999999</v>
      </c>
      <c r="C31" s="282">
        <v>2.3620000000000001</v>
      </c>
      <c r="D31" s="281">
        <v>3.0790000000000002</v>
      </c>
      <c r="E31" s="282">
        <v>3.0049999999999999</v>
      </c>
      <c r="F31" s="281">
        <v>3.5673279500000001</v>
      </c>
      <c r="G31" s="282">
        <v>2.1187981499999999</v>
      </c>
      <c r="H31" s="1095">
        <v>2.3407121499999999</v>
      </c>
      <c r="I31" s="1229">
        <v>0.1047357909010822</v>
      </c>
      <c r="J31" s="1232"/>
      <c r="K31" s="1232"/>
      <c r="L31" s="1232"/>
      <c r="M31" s="6"/>
    </row>
    <row r="32" spans="1:14" s="200" customFormat="1" ht="30" customHeight="1" thickBot="1">
      <c r="A32" s="1124" t="s">
        <v>1800</v>
      </c>
      <c r="B32" s="1252">
        <v>176.63382419999999</v>
      </c>
      <c r="C32" s="1253">
        <v>143.86760755</v>
      </c>
      <c r="D32" s="1252">
        <v>149.18104595</v>
      </c>
      <c r="E32" s="1253">
        <v>184.63230255000002</v>
      </c>
      <c r="F32" s="1252">
        <v>194.37170332999997</v>
      </c>
      <c r="G32" s="1254">
        <v>202.83751077000002</v>
      </c>
      <c r="H32" s="1255">
        <v>223.02565848999998</v>
      </c>
      <c r="I32" s="1256">
        <v>9.9528670231471938E-2</v>
      </c>
    </row>
    <row r="33" spans="1:9" ht="20" customHeight="1">
      <c r="A33" s="1098" t="s">
        <v>1652</v>
      </c>
      <c r="B33" s="457"/>
      <c r="C33" s="457"/>
      <c r="D33" s="1127"/>
      <c r="E33" s="457"/>
      <c r="F33" s="457"/>
      <c r="G33" s="459"/>
      <c r="H33" s="459"/>
      <c r="I33" s="457"/>
    </row>
    <row r="34" spans="1:9" ht="14.25" customHeight="1">
      <c r="A34" s="1099"/>
      <c r="B34" s="459"/>
      <c r="C34" s="459"/>
      <c r="D34" s="1128"/>
      <c r="E34" s="459"/>
      <c r="F34" s="459"/>
      <c r="G34" s="459"/>
      <c r="H34" s="459"/>
      <c r="I34" s="459"/>
    </row>
    <row r="35" spans="1:9" ht="15.75" customHeight="1">
      <c r="A35" s="1099" t="s">
        <v>1790</v>
      </c>
      <c r="B35" s="459"/>
      <c r="C35" s="459"/>
      <c r="D35" s="1128"/>
      <c r="E35" s="459"/>
      <c r="F35" s="459"/>
      <c r="G35" s="459"/>
      <c r="H35" s="459"/>
      <c r="I35" s="459"/>
    </row>
    <row r="36" spans="1:9" ht="15.75" customHeight="1">
      <c r="A36" s="1099"/>
      <c r="B36" s="459"/>
      <c r="C36" s="459"/>
      <c r="D36" s="1128"/>
      <c r="E36" s="459"/>
      <c r="F36" s="459"/>
      <c r="G36" s="459"/>
      <c r="H36" s="459"/>
      <c r="I36" s="459"/>
    </row>
    <row r="37" spans="1:9" ht="13.5" customHeight="1">
      <c r="A37" s="1099" t="s">
        <v>1801</v>
      </c>
      <c r="B37" s="459"/>
      <c r="C37" s="459"/>
      <c r="D37" s="1128"/>
      <c r="E37" s="459"/>
      <c r="F37" s="459"/>
      <c r="G37" s="1128"/>
      <c r="H37" s="1128"/>
      <c r="I37" s="459"/>
    </row>
    <row r="38" spans="1:9" s="17" customFormat="1" ht="14">
      <c r="A38" s="63" t="s">
        <v>1802</v>
      </c>
      <c r="B38" s="1237"/>
      <c r="C38" s="1238"/>
      <c r="D38" s="1238"/>
      <c r="E38" s="1239"/>
      <c r="F38" s="1239"/>
      <c r="G38" s="1239"/>
      <c r="H38" s="1239"/>
      <c r="I38" s="1237"/>
    </row>
    <row r="39" spans="1:9" s="17" customFormat="1" ht="14">
      <c r="A39" s="63" t="s">
        <v>1803</v>
      </c>
      <c r="B39" s="1237"/>
      <c r="C39" s="1238"/>
      <c r="D39" s="1238"/>
      <c r="E39" s="1239"/>
      <c r="F39" s="1239"/>
      <c r="G39" s="1239"/>
      <c r="H39" s="1239"/>
      <c r="I39" s="1237"/>
    </row>
    <row r="40" spans="1:9">
      <c r="A40" s="1237" t="s">
        <v>1804</v>
      </c>
      <c r="F40" s="3"/>
      <c r="G40" s="245"/>
      <c r="H40" s="245"/>
      <c r="I40" s="3"/>
    </row>
    <row r="43" spans="1:9">
      <c r="A43" s="3" t="s">
        <v>302</v>
      </c>
    </row>
    <row r="47" spans="1:9">
      <c r="A47" s="1237"/>
    </row>
    <row r="48" spans="1:9" ht="20" customHeight="1">
      <c r="A48" s="63"/>
    </row>
    <row r="49" spans="1:11" ht="11.25" customHeight="1"/>
    <row r="50" spans="1:11" ht="14.25" customHeight="1"/>
    <row r="51" spans="1:11" ht="13.5" customHeight="1"/>
    <row r="52" spans="1:11" s="17" customFormat="1">
      <c r="A52" s="3"/>
      <c r="B52" s="3"/>
      <c r="C52" s="3"/>
      <c r="D52" s="245"/>
      <c r="E52" s="3"/>
      <c r="F52" s="201"/>
      <c r="G52" s="3"/>
      <c r="H52" s="3"/>
      <c r="I52" s="201"/>
      <c r="K52" s="3"/>
    </row>
  </sheetData>
  <mergeCells count="1">
    <mergeCell ref="A2:I2"/>
  </mergeCells>
  <pageMargins left="0.59055118110236227" right="0.59055118110236227" top="0.78740157480314965" bottom="0.47244094488188981" header="0.47244094488188981" footer="0.51181102362204722"/>
  <pageSetup paperSize="9" scale="75" orientation="portrait" horizontalDpi="1200" verticalDpi="1200"/>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68545-BEAC-A04E-A99A-76690EE29C0E}">
  <sheetPr>
    <pageSetUpPr fitToPage="1"/>
  </sheetPr>
  <dimension ref="A1:B15"/>
  <sheetViews>
    <sheetView workbookViewId="0">
      <selection activeCell="K23" sqref="K23"/>
    </sheetView>
  </sheetViews>
  <sheetFormatPr baseColWidth="10" defaultColWidth="11.59765625" defaultRowHeight="13"/>
  <cols>
    <col min="1" max="1" width="5.59765625" style="393" customWidth="1"/>
    <col min="2" max="16384" width="11.59765625" style="393"/>
  </cols>
  <sheetData>
    <row r="1" spans="1:2" ht="16">
      <c r="A1" s="394" t="s">
        <v>1563</v>
      </c>
    </row>
    <row r="2" spans="1:2" ht="16">
      <c r="A2" s="394"/>
    </row>
    <row r="3" spans="1:2">
      <c r="A3" s="393">
        <v>5.01</v>
      </c>
      <c r="B3" s="399" t="s">
        <v>2614</v>
      </c>
    </row>
    <row r="4" spans="1:2">
      <c r="A4" s="393">
        <v>5.0199999999999996</v>
      </c>
      <c r="B4" s="399" t="s">
        <v>2613</v>
      </c>
    </row>
    <row r="5" spans="1:2">
      <c r="A5" s="1300">
        <v>5.03</v>
      </c>
      <c r="B5" s="399" t="s">
        <v>1566</v>
      </c>
    </row>
    <row r="6" spans="1:2">
      <c r="A6" s="393">
        <v>5.04</v>
      </c>
      <c r="B6" s="393" t="s">
        <v>1565</v>
      </c>
    </row>
    <row r="7" spans="1:2">
      <c r="A7" s="1300">
        <v>5.05</v>
      </c>
      <c r="B7" s="393" t="s">
        <v>1564</v>
      </c>
    </row>
    <row r="8" spans="1:2">
      <c r="A8" s="1300">
        <v>5.0599999999999996</v>
      </c>
      <c r="B8" s="393" t="s">
        <v>2594</v>
      </c>
    </row>
    <row r="9" spans="1:2">
      <c r="A9" s="1300">
        <v>5.07</v>
      </c>
      <c r="B9" s="393" t="s">
        <v>2595</v>
      </c>
    </row>
    <row r="10" spans="1:2">
      <c r="A10" s="1300">
        <v>5.08</v>
      </c>
      <c r="B10" s="393" t="s">
        <v>1905</v>
      </c>
    </row>
    <row r="11" spans="1:2">
      <c r="A11" s="1300">
        <v>5.09</v>
      </c>
      <c r="B11" s="393" t="s">
        <v>1906</v>
      </c>
    </row>
    <row r="12" spans="1:2">
      <c r="A12" s="1423" t="s">
        <v>2095</v>
      </c>
      <c r="B12" s="1424" t="s">
        <v>2593</v>
      </c>
    </row>
    <row r="15" spans="1:2">
      <c r="A15" s="402" t="s">
        <v>302</v>
      </c>
    </row>
  </sheetData>
  <pageMargins left="0.54" right="0.51" top="0.78" bottom="0.984251969" header="0.36" footer="0.4921259845"/>
  <pageSetup paperSize="9" scale="96" orientation="portrait"/>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CFF42-1DB9-F641-BE60-84450E4A0592}">
  <dimension ref="A1:AF83"/>
  <sheetViews>
    <sheetView zoomScaleNormal="100" workbookViewId="0"/>
  </sheetViews>
  <sheetFormatPr baseColWidth="10" defaultColWidth="11.3984375" defaultRowHeight="13"/>
  <cols>
    <col min="1" max="1" width="7.59765625" style="245" customWidth="1"/>
    <col min="2" max="2" width="43.796875" style="245" customWidth="1"/>
    <col min="3" max="4" width="14.3984375" style="245" customWidth="1"/>
    <col min="5" max="7" width="14.3984375" style="3" customWidth="1"/>
    <col min="8" max="9" width="14.3984375" style="6" customWidth="1"/>
    <col min="10" max="15" width="14.3984375" style="3" customWidth="1"/>
    <col min="16" max="16" width="14.3984375" style="3" hidden="1" customWidth="1"/>
    <col min="17" max="17" width="2.796875" style="3" hidden="1" customWidth="1"/>
    <col min="18" max="18" width="14.3984375" style="3" customWidth="1"/>
    <col min="19" max="19" width="14.3984375" style="881" customWidth="1"/>
    <col min="20" max="26" width="14.3984375" style="3" customWidth="1"/>
    <col min="27" max="30" width="14.3984375" style="3" hidden="1" customWidth="1"/>
    <col min="31" max="31" width="14.3984375" style="3" customWidth="1"/>
    <col min="32" max="32" width="14.796875" style="3" customWidth="1"/>
    <col min="33" max="16384" width="11.3984375" style="3"/>
  </cols>
  <sheetData>
    <row r="1" spans="1:32" s="1" customFormat="1" ht="9" customHeight="1">
      <c r="A1" s="221"/>
      <c r="B1" s="221"/>
      <c r="C1" s="221"/>
      <c r="D1" s="221"/>
      <c r="H1" s="403"/>
      <c r="I1" s="403"/>
      <c r="S1" s="838"/>
    </row>
    <row r="2" spans="1:32" s="1" customFormat="1" ht="21" customHeight="1">
      <c r="A2" s="2023" t="s">
        <v>2608</v>
      </c>
      <c r="B2" s="2018"/>
      <c r="C2" s="839"/>
      <c r="D2" s="839"/>
      <c r="E2" s="840"/>
      <c r="F2" s="840"/>
      <c r="G2" s="840"/>
      <c r="H2" s="193"/>
      <c r="I2" s="403"/>
      <c r="J2" s="194"/>
      <c r="O2" s="842">
        <v>2013</v>
      </c>
      <c r="P2" s="842"/>
      <c r="V2" s="842"/>
      <c r="AD2" s="842"/>
      <c r="AF2" s="842">
        <v>2013</v>
      </c>
    </row>
    <row r="3" spans="1:32" s="1" customFormat="1" ht="8.5" customHeight="1">
      <c r="A3" s="221"/>
      <c r="B3" s="221"/>
      <c r="C3" s="221"/>
      <c r="D3" s="221"/>
      <c r="H3" s="403"/>
      <c r="I3" s="403"/>
      <c r="S3" s="843"/>
      <c r="U3" s="844"/>
      <c r="W3" s="844"/>
      <c r="X3" s="844"/>
      <c r="Y3" s="844"/>
      <c r="Z3" s="844"/>
      <c r="AA3" s="844"/>
      <c r="AB3" s="844"/>
      <c r="AC3" s="844"/>
      <c r="AD3" s="844"/>
      <c r="AE3" s="844"/>
      <c r="AF3" s="844"/>
    </row>
    <row r="4" spans="1:32" ht="18" customHeight="1">
      <c r="A4" s="967" t="s">
        <v>1218</v>
      </c>
      <c r="B4" s="967" t="s">
        <v>1503</v>
      </c>
      <c r="C4" s="968" t="s">
        <v>1504</v>
      </c>
      <c r="D4" s="969" t="s">
        <v>1383</v>
      </c>
      <c r="E4" s="968" t="s">
        <v>1505</v>
      </c>
      <c r="F4" s="969" t="s">
        <v>1506</v>
      </c>
      <c r="G4" s="968" t="s">
        <v>1507</v>
      </c>
      <c r="H4" s="970" t="s">
        <v>1508</v>
      </c>
      <c r="I4" s="971" t="s">
        <v>1384</v>
      </c>
      <c r="J4" s="969" t="s">
        <v>1509</v>
      </c>
      <c r="K4" s="968" t="s">
        <v>1385</v>
      </c>
      <c r="L4" s="969" t="s">
        <v>1385</v>
      </c>
      <c r="M4" s="968" t="s">
        <v>1510</v>
      </c>
      <c r="N4" s="970" t="s">
        <v>1508</v>
      </c>
      <c r="O4" s="971" t="s">
        <v>1384</v>
      </c>
      <c r="P4" s="970" t="s">
        <v>861</v>
      </c>
      <c r="Q4" s="969"/>
      <c r="R4" s="971" t="s">
        <v>1511</v>
      </c>
      <c r="S4" s="972" t="s">
        <v>1512</v>
      </c>
      <c r="T4" s="971" t="s">
        <v>1383</v>
      </c>
      <c r="U4" s="969" t="s">
        <v>1505</v>
      </c>
      <c r="V4" s="971" t="s">
        <v>1506</v>
      </c>
      <c r="W4" s="973" t="s">
        <v>1507</v>
      </c>
      <c r="X4" s="254" t="s">
        <v>1513</v>
      </c>
      <c r="Y4" s="973" t="s">
        <v>1385</v>
      </c>
      <c r="Z4" s="254" t="s">
        <v>1385</v>
      </c>
      <c r="AA4" s="973" t="s">
        <v>1514</v>
      </c>
      <c r="AB4" s="254" t="s">
        <v>1515</v>
      </c>
      <c r="AC4" s="973" t="s">
        <v>1516</v>
      </c>
      <c r="AD4" s="254" t="s">
        <v>1517</v>
      </c>
      <c r="AE4" s="970" t="s">
        <v>1384</v>
      </c>
      <c r="AF4" s="254" t="s">
        <v>1510</v>
      </c>
    </row>
    <row r="5" spans="1:32" ht="15" customHeight="1">
      <c r="A5" s="974" t="s">
        <v>1223</v>
      </c>
      <c r="B5" s="974"/>
      <c r="C5" s="975" t="s">
        <v>1518</v>
      </c>
      <c r="D5" s="972" t="s">
        <v>1519</v>
      </c>
      <c r="E5" s="975" t="s">
        <v>1520</v>
      </c>
      <c r="F5" s="972" t="s">
        <v>1521</v>
      </c>
      <c r="G5" s="975" t="s">
        <v>1520</v>
      </c>
      <c r="H5" s="976" t="s">
        <v>1522</v>
      </c>
      <c r="I5" s="977" t="s">
        <v>1387</v>
      </c>
      <c r="J5" s="972" t="s">
        <v>1523</v>
      </c>
      <c r="K5" s="975" t="s">
        <v>1388</v>
      </c>
      <c r="L5" s="972" t="s">
        <v>1524</v>
      </c>
      <c r="M5" s="975" t="s">
        <v>1505</v>
      </c>
      <c r="N5" s="976" t="s">
        <v>1525</v>
      </c>
      <c r="O5" s="977" t="s">
        <v>1387</v>
      </c>
      <c r="P5" s="976" t="s">
        <v>1526</v>
      </c>
      <c r="Q5" s="972"/>
      <c r="R5" s="977" t="s">
        <v>381</v>
      </c>
      <c r="S5" s="972" t="s">
        <v>381</v>
      </c>
      <c r="T5" s="977" t="s">
        <v>843</v>
      </c>
      <c r="U5" s="972" t="s">
        <v>1520</v>
      </c>
      <c r="V5" s="977" t="s">
        <v>1521</v>
      </c>
      <c r="W5" s="973" t="s">
        <v>1520</v>
      </c>
      <c r="X5" s="254" t="s">
        <v>1527</v>
      </c>
      <c r="Y5" s="973" t="s">
        <v>1388</v>
      </c>
      <c r="Z5" s="254" t="s">
        <v>861</v>
      </c>
      <c r="AA5" s="973" t="s">
        <v>1528</v>
      </c>
      <c r="AB5" s="254" t="s">
        <v>1529</v>
      </c>
      <c r="AC5" s="973" t="s">
        <v>1530</v>
      </c>
      <c r="AD5" s="254" t="s">
        <v>1530</v>
      </c>
      <c r="AE5" s="976" t="s">
        <v>603</v>
      </c>
      <c r="AF5" s="254" t="s">
        <v>1531</v>
      </c>
    </row>
    <row r="6" spans="1:32" ht="15" customHeight="1">
      <c r="A6" s="974"/>
      <c r="B6" s="974"/>
      <c r="C6" s="975" t="s">
        <v>1532</v>
      </c>
      <c r="D6" s="972" t="s">
        <v>1533</v>
      </c>
      <c r="E6" s="975" t="s">
        <v>1534</v>
      </c>
      <c r="F6" s="972" t="s">
        <v>1534</v>
      </c>
      <c r="G6" s="975" t="s">
        <v>1534</v>
      </c>
      <c r="H6" s="976" t="s">
        <v>1535</v>
      </c>
      <c r="I6" s="977" t="s">
        <v>1390</v>
      </c>
      <c r="J6" s="972" t="s">
        <v>1536</v>
      </c>
      <c r="K6" s="975" t="s">
        <v>1537</v>
      </c>
      <c r="L6" s="972" t="s">
        <v>1538</v>
      </c>
      <c r="M6" s="975" t="s">
        <v>1539</v>
      </c>
      <c r="N6" s="976" t="s">
        <v>1540</v>
      </c>
      <c r="O6" s="977" t="s">
        <v>1390</v>
      </c>
      <c r="P6" s="976" t="s">
        <v>1383</v>
      </c>
      <c r="Q6" s="972"/>
      <c r="R6" s="977" t="s">
        <v>843</v>
      </c>
      <c r="S6" s="972" t="s">
        <v>843</v>
      </c>
      <c r="T6" s="977"/>
      <c r="U6" s="972" t="s">
        <v>843</v>
      </c>
      <c r="V6" s="977" t="s">
        <v>843</v>
      </c>
      <c r="W6" s="973" t="s">
        <v>843</v>
      </c>
      <c r="X6" s="254" t="s">
        <v>843</v>
      </c>
      <c r="Y6" s="973" t="s">
        <v>1391</v>
      </c>
      <c r="Z6" s="254" t="s">
        <v>1541</v>
      </c>
      <c r="AA6" s="973" t="s">
        <v>1542</v>
      </c>
      <c r="AB6" s="254" t="s">
        <v>1543</v>
      </c>
      <c r="AC6" s="973" t="s">
        <v>1529</v>
      </c>
      <c r="AD6" s="254" t="s">
        <v>1529</v>
      </c>
      <c r="AE6" s="976" t="s">
        <v>1544</v>
      </c>
      <c r="AF6" s="978" t="s">
        <v>1545</v>
      </c>
    </row>
    <row r="7" spans="1:32" ht="15" customHeight="1">
      <c r="A7" s="974"/>
      <c r="B7" s="974"/>
      <c r="C7" s="975" t="s">
        <v>1546</v>
      </c>
      <c r="D7" s="972" t="s">
        <v>382</v>
      </c>
      <c r="E7" s="975" t="s">
        <v>1533</v>
      </c>
      <c r="F7" s="972" t="s">
        <v>1533</v>
      </c>
      <c r="G7" s="975" t="s">
        <v>1533</v>
      </c>
      <c r="H7" s="976" t="s">
        <v>1533</v>
      </c>
      <c r="I7" s="977" t="s">
        <v>1547</v>
      </c>
      <c r="J7" s="972" t="s">
        <v>1548</v>
      </c>
      <c r="K7" s="975" t="s">
        <v>1536</v>
      </c>
      <c r="L7" s="972" t="s">
        <v>1533</v>
      </c>
      <c r="M7" s="975" t="s">
        <v>1383</v>
      </c>
      <c r="N7" s="976" t="s">
        <v>1549</v>
      </c>
      <c r="O7" s="977" t="s">
        <v>1550</v>
      </c>
      <c r="P7" s="976"/>
      <c r="Q7" s="972"/>
      <c r="R7" s="977"/>
      <c r="S7" s="972"/>
      <c r="T7" s="977"/>
      <c r="U7" s="972"/>
      <c r="V7" s="977"/>
      <c r="W7" s="973"/>
      <c r="X7" s="254"/>
      <c r="Y7" s="973" t="s">
        <v>1541</v>
      </c>
      <c r="Z7" s="254"/>
      <c r="AA7" s="973" t="s">
        <v>1383</v>
      </c>
      <c r="AB7" s="254" t="s">
        <v>843</v>
      </c>
      <c r="AC7" s="973" t="s">
        <v>1543</v>
      </c>
      <c r="AD7" s="254" t="s">
        <v>1543</v>
      </c>
      <c r="AE7" s="976" t="s">
        <v>1536</v>
      </c>
      <c r="AF7" s="254" t="s">
        <v>1551</v>
      </c>
    </row>
    <row r="8" spans="1:32" ht="15" customHeight="1">
      <c r="A8" s="974"/>
      <c r="B8" s="974"/>
      <c r="C8" s="979"/>
      <c r="D8" s="972"/>
      <c r="E8" s="975" t="s">
        <v>382</v>
      </c>
      <c r="F8" s="972" t="s">
        <v>382</v>
      </c>
      <c r="G8" s="975" t="s">
        <v>382</v>
      </c>
      <c r="H8" s="976" t="s">
        <v>382</v>
      </c>
      <c r="I8" s="977" t="s">
        <v>1536</v>
      </c>
      <c r="J8" s="972" t="s">
        <v>382</v>
      </c>
      <c r="K8" s="975" t="s">
        <v>1552</v>
      </c>
      <c r="L8" s="972" t="s">
        <v>382</v>
      </c>
      <c r="M8" s="975" t="s">
        <v>648</v>
      </c>
      <c r="N8" s="976"/>
      <c r="O8" s="977" t="s">
        <v>1553</v>
      </c>
      <c r="P8" s="976"/>
      <c r="Q8" s="972"/>
      <c r="R8" s="977"/>
      <c r="S8" s="972"/>
      <c r="T8" s="977"/>
      <c r="U8" s="972"/>
      <c r="V8" s="977"/>
      <c r="W8" s="973"/>
      <c r="X8" s="254"/>
      <c r="Y8" s="973"/>
      <c r="Z8" s="254"/>
      <c r="AA8" s="973" t="s">
        <v>843</v>
      </c>
      <c r="AB8" s="254"/>
      <c r="AC8" s="973" t="s">
        <v>1554</v>
      </c>
      <c r="AD8" s="254" t="s">
        <v>1555</v>
      </c>
      <c r="AE8" s="976" t="s">
        <v>1556</v>
      </c>
      <c r="AF8" s="254" t="s">
        <v>1557</v>
      </c>
    </row>
    <row r="9" spans="1:32" ht="15" customHeight="1">
      <c r="A9" s="974"/>
      <c r="B9" s="974"/>
      <c r="C9" s="975"/>
      <c r="D9" s="972"/>
      <c r="E9" s="975"/>
      <c r="F9" s="972"/>
      <c r="G9" s="975"/>
      <c r="H9" s="976"/>
      <c r="I9" s="977" t="s">
        <v>1556</v>
      </c>
      <c r="J9" s="972"/>
      <c r="K9" s="975" t="s">
        <v>382</v>
      </c>
      <c r="L9" s="972"/>
      <c r="M9" s="980"/>
      <c r="N9" s="976"/>
      <c r="O9" s="977" t="s">
        <v>1512</v>
      </c>
      <c r="P9" s="976"/>
      <c r="Q9" s="972"/>
      <c r="R9" s="977"/>
      <c r="S9" s="972"/>
      <c r="T9" s="977"/>
      <c r="U9" s="972"/>
      <c r="V9" s="977"/>
      <c r="W9" s="973"/>
      <c r="X9" s="254"/>
      <c r="Y9" s="973"/>
      <c r="Z9" s="254"/>
      <c r="AA9" s="973"/>
      <c r="AB9" s="254"/>
      <c r="AC9" s="973"/>
      <c r="AD9" s="254"/>
      <c r="AE9" s="976"/>
      <c r="AF9" s="254" t="s">
        <v>648</v>
      </c>
    </row>
    <row r="10" spans="1:32" ht="33.5" customHeight="1">
      <c r="A10" s="981">
        <v>0</v>
      </c>
      <c r="B10" s="981"/>
      <c r="C10" s="982">
        <v>1</v>
      </c>
      <c r="D10" s="981" t="s">
        <v>310</v>
      </c>
      <c r="E10" s="982" t="s">
        <v>1492</v>
      </c>
      <c r="F10" s="981" t="s">
        <v>327</v>
      </c>
      <c r="G10" s="982" t="s">
        <v>325</v>
      </c>
      <c r="H10" s="983" t="s">
        <v>1483</v>
      </c>
      <c r="I10" s="984" t="s">
        <v>311</v>
      </c>
      <c r="J10" s="981">
        <v>7</v>
      </c>
      <c r="K10" s="982" t="s">
        <v>319</v>
      </c>
      <c r="L10" s="981" t="s">
        <v>321</v>
      </c>
      <c r="M10" s="982">
        <v>15</v>
      </c>
      <c r="N10" s="983" t="s">
        <v>1486</v>
      </c>
      <c r="O10" s="984" t="s">
        <v>329</v>
      </c>
      <c r="P10" s="983" t="s">
        <v>1558</v>
      </c>
      <c r="Q10" s="981"/>
      <c r="R10" s="984">
        <v>2</v>
      </c>
      <c r="S10" s="981">
        <v>14</v>
      </c>
      <c r="T10" s="984" t="s">
        <v>309</v>
      </c>
      <c r="U10" s="981" t="s">
        <v>1489</v>
      </c>
      <c r="V10" s="984" t="s">
        <v>344</v>
      </c>
      <c r="W10" s="981" t="s">
        <v>340</v>
      </c>
      <c r="X10" s="982" t="s">
        <v>1480</v>
      </c>
      <c r="Y10" s="981" t="s">
        <v>333</v>
      </c>
      <c r="Z10" s="982" t="s">
        <v>335</v>
      </c>
      <c r="AA10" s="981">
        <v>10</v>
      </c>
      <c r="AB10" s="982" t="s">
        <v>1559</v>
      </c>
      <c r="AC10" s="981" t="s">
        <v>1560</v>
      </c>
      <c r="AD10" s="982" t="s">
        <v>1561</v>
      </c>
      <c r="AE10" s="981">
        <v>11</v>
      </c>
      <c r="AF10" s="982" t="s">
        <v>1499</v>
      </c>
    </row>
    <row r="11" spans="1:32" ht="14" thickBot="1">
      <c r="A11" s="985">
        <v>8</v>
      </c>
      <c r="B11" s="986" t="s">
        <v>1334</v>
      </c>
      <c r="C11" s="987">
        <v>847317.08</v>
      </c>
      <c r="D11" s="988">
        <v>3137.2833093486083</v>
      </c>
      <c r="E11" s="989">
        <v>3252.8534643253024</v>
      </c>
      <c r="F11" s="988">
        <v>494.89598831171901</v>
      </c>
      <c r="G11" s="989">
        <v>3747.7494526370219</v>
      </c>
      <c r="H11" s="988">
        <v>-282.22039735113088</v>
      </c>
      <c r="I11" s="987">
        <v>158.86837169622498</v>
      </c>
      <c r="J11" s="988">
        <v>-40.592520665345248</v>
      </c>
      <c r="K11" s="987">
        <v>797.28122558322548</v>
      </c>
      <c r="L11" s="988">
        <v>557.96317029275497</v>
      </c>
      <c r="M11" s="990">
        <v>1.0368376533392165</v>
      </c>
      <c r="N11" s="991">
        <v>-8.9544358277269323E-2</v>
      </c>
      <c r="O11" s="990">
        <v>4.9765632993695907E-2</v>
      </c>
      <c r="P11" s="991">
        <v>0.17784915013257266</v>
      </c>
      <c r="Q11" s="988"/>
      <c r="R11" s="992">
        <v>2670.5218240500003</v>
      </c>
      <c r="S11" s="993">
        <v>2704.9165601300006</v>
      </c>
      <c r="T11" s="992">
        <v>2658.2737328099997</v>
      </c>
      <c r="U11" s="993">
        <v>2756.19829906</v>
      </c>
      <c r="V11" s="992">
        <v>419.33382371999994</v>
      </c>
      <c r="W11" s="993">
        <v>3175.53212278</v>
      </c>
      <c r="X11" s="992">
        <v>-239.13016300000001</v>
      </c>
      <c r="Y11" s="993">
        <v>675.55</v>
      </c>
      <c r="Z11" s="992">
        <v>472.77172419999999</v>
      </c>
      <c r="AA11" s="993" t="s">
        <v>390</v>
      </c>
      <c r="AB11" s="992" t="s">
        <v>390</v>
      </c>
      <c r="AC11" s="993" t="s">
        <v>390</v>
      </c>
      <c r="AD11" s="992" t="s">
        <v>390</v>
      </c>
      <c r="AE11" s="988">
        <v>148.31418127438195</v>
      </c>
      <c r="AF11" s="990">
        <v>4.6459482229821408E-2</v>
      </c>
    </row>
    <row r="12" spans="1:32" ht="14" thickBot="1">
      <c r="A12" s="985">
        <v>32</v>
      </c>
      <c r="B12" s="986" t="s">
        <v>1238</v>
      </c>
      <c r="C12" s="987">
        <v>40023.19</v>
      </c>
      <c r="D12" s="988">
        <v>3032.3917333925651</v>
      </c>
      <c r="E12" s="989">
        <v>2948.0531616795161</v>
      </c>
      <c r="F12" s="988">
        <v>478.14271126314515</v>
      </c>
      <c r="G12" s="989">
        <v>3426.195872942661</v>
      </c>
      <c r="H12" s="988">
        <v>-66.373613647487872</v>
      </c>
      <c r="I12" s="987">
        <v>141.26052795891582</v>
      </c>
      <c r="J12" s="988">
        <v>4.5326554430069246</v>
      </c>
      <c r="K12" s="987">
        <v>592.15669715482443</v>
      </c>
      <c r="L12" s="988">
        <v>831.33181388090236</v>
      </c>
      <c r="M12" s="990">
        <v>0.97218744175288552</v>
      </c>
      <c r="N12" s="991">
        <v>-2.1562265499619288E-2</v>
      </c>
      <c r="O12" s="990">
        <v>4.5957851323550042E-2</v>
      </c>
      <c r="P12" s="991">
        <v>0.27415053428826913</v>
      </c>
      <c r="Q12" s="988"/>
      <c r="R12" s="992">
        <v>123.20058623</v>
      </c>
      <c r="S12" s="993">
        <v>123.01917490000001</v>
      </c>
      <c r="T12" s="994">
        <v>121.3659905</v>
      </c>
      <c r="U12" s="995">
        <v>117.99049182</v>
      </c>
      <c r="V12" s="994">
        <v>19.136796579999999</v>
      </c>
      <c r="W12" s="993">
        <v>137.1272884</v>
      </c>
      <c r="X12" s="992">
        <v>-2.65648375</v>
      </c>
      <c r="Y12" s="995">
        <v>23.7</v>
      </c>
      <c r="Z12" s="992">
        <v>33.272551139999997</v>
      </c>
      <c r="AA12" s="993" t="s">
        <v>390</v>
      </c>
      <c r="AB12" s="994" t="s">
        <v>390</v>
      </c>
      <c r="AC12" s="995" t="s">
        <v>390</v>
      </c>
      <c r="AD12" s="994" t="s">
        <v>390</v>
      </c>
      <c r="AE12" s="996">
        <v>136.56378989280964</v>
      </c>
      <c r="AF12" s="997">
        <v>4.5586068042824911E-2</v>
      </c>
    </row>
    <row r="13" spans="1:32" ht="14" thickBot="1">
      <c r="A13" s="985">
        <v>57</v>
      </c>
      <c r="B13" s="986" t="s">
        <v>1239</v>
      </c>
      <c r="C13" s="987">
        <v>6488.5</v>
      </c>
      <c r="D13" s="988">
        <v>3903.4128920397629</v>
      </c>
      <c r="E13" s="989">
        <v>3938.9434322262464</v>
      </c>
      <c r="F13" s="988">
        <v>439.76333667257455</v>
      </c>
      <c r="G13" s="989">
        <v>4378.7067688988209</v>
      </c>
      <c r="H13" s="988">
        <v>-220.12175387223564</v>
      </c>
      <c r="I13" s="987">
        <v>212.74218848732374</v>
      </c>
      <c r="J13" s="988">
        <v>-327.97839254064883</v>
      </c>
      <c r="K13" s="987">
        <v>1117.3948894197426</v>
      </c>
      <c r="L13" s="988">
        <v>1996.0805286275718</v>
      </c>
      <c r="M13" s="990">
        <v>1.009102429378901</v>
      </c>
      <c r="N13" s="991">
        <v>-5.9151459405753413E-2</v>
      </c>
      <c r="O13" s="990">
        <v>5.2537983199843638E-2</v>
      </c>
      <c r="P13" s="991">
        <v>0.51136802173763951</v>
      </c>
      <c r="Q13" s="988"/>
      <c r="R13" s="992">
        <v>24.145811689999999</v>
      </c>
      <c r="S13" s="993">
        <v>26.273899489999998</v>
      </c>
      <c r="T13" s="994">
        <v>25.327294550000001</v>
      </c>
      <c r="U13" s="995">
        <v>25.557834460000002</v>
      </c>
      <c r="V13" s="994">
        <v>2.85340441</v>
      </c>
      <c r="W13" s="993">
        <v>28.411238870000002</v>
      </c>
      <c r="X13" s="992">
        <v>-1.428260000000001</v>
      </c>
      <c r="Y13" s="995">
        <v>7.2502167399999999</v>
      </c>
      <c r="Z13" s="992">
        <v>12.95156851</v>
      </c>
      <c r="AA13" s="993" t="s">
        <v>390</v>
      </c>
      <c r="AB13" s="994" t="s">
        <v>390</v>
      </c>
      <c r="AC13" s="995" t="s">
        <v>390</v>
      </c>
      <c r="AD13" s="994" t="s">
        <v>390</v>
      </c>
      <c r="AE13" s="996">
        <v>212.74218848732374</v>
      </c>
      <c r="AF13" s="997">
        <v>5.1592191349291251E-2</v>
      </c>
    </row>
    <row r="14" spans="1:32" ht="14" thickBot="1">
      <c r="A14" s="985">
        <v>62</v>
      </c>
      <c r="B14" s="986" t="s">
        <v>1335</v>
      </c>
      <c r="C14" s="987">
        <v>60043.17</v>
      </c>
      <c r="D14" s="988">
        <v>3371.9591453948883</v>
      </c>
      <c r="E14" s="989">
        <v>3908.0115165471771</v>
      </c>
      <c r="F14" s="988">
        <v>533.1999143283075</v>
      </c>
      <c r="G14" s="989">
        <v>4441.2114308754844</v>
      </c>
      <c r="H14" s="988">
        <v>-547.50721855624874</v>
      </c>
      <c r="I14" s="987">
        <v>239.66932825165625</v>
      </c>
      <c r="J14" s="988">
        <v>28.68737826467191</v>
      </c>
      <c r="K14" s="987">
        <v>1281.1876854603113</v>
      </c>
      <c r="L14" s="988">
        <v>2297.130687470365</v>
      </c>
      <c r="M14" s="990">
        <v>1.1589735664159453</v>
      </c>
      <c r="N14" s="991">
        <v>-0.16098239766108061</v>
      </c>
      <c r="O14" s="990">
        <v>7.1068927819271294E-2</v>
      </c>
      <c r="P14" s="991">
        <v>0.68124511253571229</v>
      </c>
      <c r="Q14" s="988"/>
      <c r="R14" s="992">
        <v>204.20909041999997</v>
      </c>
      <c r="S14" s="993">
        <v>202.48660929000002</v>
      </c>
      <c r="T14" s="994">
        <v>202.4631162</v>
      </c>
      <c r="U14" s="995">
        <v>234.64939984999995</v>
      </c>
      <c r="V14" s="994">
        <v>32.015013100000004</v>
      </c>
      <c r="W14" s="993">
        <v>266.66441294999993</v>
      </c>
      <c r="X14" s="992">
        <v>-32.874068999999999</v>
      </c>
      <c r="Y14" s="995">
        <v>76.926569999999998</v>
      </c>
      <c r="Z14" s="992">
        <v>137.92700837999999</v>
      </c>
      <c r="AA14" s="993" t="s">
        <v>390</v>
      </c>
      <c r="AB14" s="994" t="s">
        <v>390</v>
      </c>
      <c r="AC14" s="995" t="s">
        <v>390</v>
      </c>
      <c r="AD14" s="994" t="s">
        <v>390</v>
      </c>
      <c r="AE14" s="996">
        <v>238.40995353842914</v>
      </c>
      <c r="AF14" s="997">
        <v>6.1148458998395466E-2</v>
      </c>
    </row>
    <row r="15" spans="1:32" ht="14" thickBot="1">
      <c r="A15" s="985">
        <v>134</v>
      </c>
      <c r="B15" s="986" t="s">
        <v>1336</v>
      </c>
      <c r="C15" s="987">
        <v>3627.51</v>
      </c>
      <c r="D15" s="988">
        <v>2641.453310948833</v>
      </c>
      <c r="E15" s="989">
        <v>2570.2412619124407</v>
      </c>
      <c r="F15" s="988">
        <v>432.2269738746412</v>
      </c>
      <c r="G15" s="989">
        <v>3002.468235787082</v>
      </c>
      <c r="H15" s="988">
        <v>-123.18339577285798</v>
      </c>
      <c r="I15" s="987">
        <v>121.05935200729976</v>
      </c>
      <c r="J15" s="988">
        <v>193.45780163252482</v>
      </c>
      <c r="K15" s="987">
        <v>598.20648323505645</v>
      </c>
      <c r="L15" s="988">
        <v>1738.5064355439406</v>
      </c>
      <c r="M15" s="990">
        <v>0.97304058006960858</v>
      </c>
      <c r="N15" s="991">
        <v>-4.5365753999427577E-2</v>
      </c>
      <c r="O15" s="990">
        <v>4.8003592604424661E-2</v>
      </c>
      <c r="P15" s="991">
        <v>0.65816284858711138</v>
      </c>
      <c r="Q15" s="988"/>
      <c r="R15" s="992">
        <v>9.8499189500000011</v>
      </c>
      <c r="S15" s="993">
        <v>9.1481488399999993</v>
      </c>
      <c r="T15" s="994">
        <v>9.5818983000000006</v>
      </c>
      <c r="U15" s="995">
        <v>9.3235758799999982</v>
      </c>
      <c r="V15" s="994">
        <v>1.5679076699999999</v>
      </c>
      <c r="W15" s="993">
        <v>10.891483549999998</v>
      </c>
      <c r="X15" s="992">
        <v>-0.446849</v>
      </c>
      <c r="Y15" s="995">
        <v>2.17</v>
      </c>
      <c r="Z15" s="992">
        <v>6.3064494800000004</v>
      </c>
      <c r="AA15" s="993" t="s">
        <v>390</v>
      </c>
      <c r="AB15" s="994" t="s">
        <v>390</v>
      </c>
      <c r="AC15" s="995" t="s">
        <v>390</v>
      </c>
      <c r="AD15" s="994" t="s">
        <v>390</v>
      </c>
      <c r="AE15" s="996">
        <v>121.05935200729976</v>
      </c>
      <c r="AF15" s="997">
        <v>4.3788520825527227E-2</v>
      </c>
    </row>
    <row r="16" spans="1:32" ht="14" thickBot="1">
      <c r="A16" s="985">
        <v>182</v>
      </c>
      <c r="B16" s="986" t="s">
        <v>1242</v>
      </c>
      <c r="C16" s="987">
        <v>61948.25</v>
      </c>
      <c r="D16" s="988">
        <v>2816.8722546641752</v>
      </c>
      <c r="E16" s="989">
        <v>2738.5841564531688</v>
      </c>
      <c r="F16" s="988">
        <v>482.00346628032275</v>
      </c>
      <c r="G16" s="989">
        <v>3220.5876227334911</v>
      </c>
      <c r="H16" s="988">
        <v>102.8939445424205</v>
      </c>
      <c r="I16" s="987">
        <v>107.37160936749625</v>
      </c>
      <c r="J16" s="988">
        <v>-42.50256173499654</v>
      </c>
      <c r="K16" s="987">
        <v>488.16337830366479</v>
      </c>
      <c r="L16" s="988">
        <v>338.90217350772616</v>
      </c>
      <c r="M16" s="990">
        <v>0.97220743749334848</v>
      </c>
      <c r="N16" s="991">
        <v>3.5874414531433169E-2</v>
      </c>
      <c r="O16" s="990">
        <v>3.6888925623519656E-2</v>
      </c>
      <c r="P16" s="991">
        <v>0.1203115167706211</v>
      </c>
      <c r="Q16" s="988"/>
      <c r="R16" s="992">
        <v>177.67815540000001</v>
      </c>
      <c r="S16" s="993">
        <v>180.31111472000001</v>
      </c>
      <c r="T16" s="994">
        <v>174.50030665</v>
      </c>
      <c r="U16" s="995">
        <v>169.65049597000001</v>
      </c>
      <c r="V16" s="994">
        <v>29.859271230000001</v>
      </c>
      <c r="W16" s="993">
        <v>199.5097672</v>
      </c>
      <c r="X16" s="992">
        <v>6.3740998000000006</v>
      </c>
      <c r="Y16" s="995">
        <v>30.240867000000001</v>
      </c>
      <c r="Z16" s="992">
        <v>20.994396569999999</v>
      </c>
      <c r="AA16" s="993" t="s">
        <v>390</v>
      </c>
      <c r="AB16" s="994" t="s">
        <v>390</v>
      </c>
      <c r="AC16" s="995" t="s">
        <v>390</v>
      </c>
      <c r="AD16" s="994" t="s">
        <v>390</v>
      </c>
      <c r="AE16" s="996">
        <v>106.23813441057656</v>
      </c>
      <c r="AF16" s="997">
        <v>3.9562441957275381E-2</v>
      </c>
    </row>
    <row r="17" spans="1:32" ht="14" thickBot="1">
      <c r="A17" s="985">
        <v>194</v>
      </c>
      <c r="B17" s="986" t="s">
        <v>1243</v>
      </c>
      <c r="C17" s="987">
        <v>18961.330000000002</v>
      </c>
      <c r="D17" s="988">
        <v>2826.553464340318</v>
      </c>
      <c r="E17" s="989">
        <v>2252.7245267077778</v>
      </c>
      <c r="F17" s="988">
        <v>427.27933905480256</v>
      </c>
      <c r="G17" s="989">
        <v>2680.0038657625805</v>
      </c>
      <c r="H17" s="988">
        <v>380.03137438143835</v>
      </c>
      <c r="I17" s="987">
        <v>86.384274731783066</v>
      </c>
      <c r="J17" s="988">
        <v>91.669297459619131</v>
      </c>
      <c r="K17" s="987">
        <v>662.41460910178762</v>
      </c>
      <c r="L17" s="988">
        <v>625.37885686288882</v>
      </c>
      <c r="M17" s="990">
        <v>0.7969863493219066</v>
      </c>
      <c r="N17" s="991">
        <v>0.13397503244307185</v>
      </c>
      <c r="O17" s="990">
        <v>3.1470664105417864E-2</v>
      </c>
      <c r="P17" s="991">
        <v>0.22125138079029558</v>
      </c>
      <c r="Q17" s="988"/>
      <c r="R17" s="992">
        <v>53.785396940000005</v>
      </c>
      <c r="S17" s="993">
        <v>52.047225140000002</v>
      </c>
      <c r="T17" s="994">
        <v>53.595213000000001</v>
      </c>
      <c r="U17" s="995">
        <v>42.714653149999997</v>
      </c>
      <c r="V17" s="994">
        <v>8.1017845499999996</v>
      </c>
      <c r="W17" s="993">
        <v>50.816437699999994</v>
      </c>
      <c r="X17" s="992">
        <v>7.2059002999999988</v>
      </c>
      <c r="Y17" s="995">
        <v>12.560262</v>
      </c>
      <c r="Z17" s="992">
        <v>11.858014880000001</v>
      </c>
      <c r="AA17" s="993" t="s">
        <v>390</v>
      </c>
      <c r="AB17" s="994" t="s">
        <v>390</v>
      </c>
      <c r="AC17" s="995" t="s">
        <v>390</v>
      </c>
      <c r="AD17" s="994" t="s">
        <v>390</v>
      </c>
      <c r="AE17" s="996">
        <v>85.113476217121899</v>
      </c>
      <c r="AF17" s="997">
        <v>3.5309010732551778E-2</v>
      </c>
    </row>
    <row r="18" spans="1:32" ht="14" thickBot="1">
      <c r="A18" s="985">
        <v>246</v>
      </c>
      <c r="B18" s="986" t="s">
        <v>1244</v>
      </c>
      <c r="C18" s="987">
        <v>3337.57</v>
      </c>
      <c r="D18" s="988">
        <v>3196.0449968090547</v>
      </c>
      <c r="E18" s="989">
        <v>2701.0966361754208</v>
      </c>
      <c r="F18" s="988">
        <v>434.04539829876234</v>
      </c>
      <c r="G18" s="989">
        <v>3135.1420344741832</v>
      </c>
      <c r="H18" s="988">
        <v>-158.85419631648173</v>
      </c>
      <c r="I18" s="987">
        <v>202.79018567400831</v>
      </c>
      <c r="J18" s="988">
        <v>76.607361044112906</v>
      </c>
      <c r="K18" s="987">
        <v>1273.3815320727356</v>
      </c>
      <c r="L18" s="988">
        <v>1345.5325820881656</v>
      </c>
      <c r="M18" s="990">
        <v>0.84513723645074068</v>
      </c>
      <c r="N18" s="991">
        <v>-4.9816540500851103E-2</v>
      </c>
      <c r="O18" s="990">
        <v>6.5160239082100849E-2</v>
      </c>
      <c r="P18" s="991">
        <v>0.42099926109662134</v>
      </c>
      <c r="Q18" s="988"/>
      <c r="R18" s="992">
        <v>10.642790419999997</v>
      </c>
      <c r="S18" s="993">
        <v>10.387107989999999</v>
      </c>
      <c r="T18" s="994">
        <v>10.667023899999998</v>
      </c>
      <c r="U18" s="995">
        <v>9.0150991000000005</v>
      </c>
      <c r="V18" s="994">
        <v>1.4486569000000002</v>
      </c>
      <c r="W18" s="993">
        <v>10.463756</v>
      </c>
      <c r="X18" s="992">
        <v>-0.53018699999999996</v>
      </c>
      <c r="Y18" s="995">
        <v>4.25</v>
      </c>
      <c r="Z18" s="992">
        <v>4.4908091799999994</v>
      </c>
      <c r="AA18" s="993" t="s">
        <v>390</v>
      </c>
      <c r="AB18" s="994" t="s">
        <v>390</v>
      </c>
      <c r="AC18" s="995" t="s">
        <v>390</v>
      </c>
      <c r="AD18" s="994" t="s">
        <v>390</v>
      </c>
      <c r="AE18" s="996">
        <v>200.94427982034833</v>
      </c>
      <c r="AF18" s="997">
        <v>6.0445984812164254E-2</v>
      </c>
    </row>
    <row r="19" spans="1:32" ht="14" thickBot="1">
      <c r="A19" s="985">
        <v>290</v>
      </c>
      <c r="B19" s="986" t="s">
        <v>1337</v>
      </c>
      <c r="C19" s="987">
        <v>542287.4</v>
      </c>
      <c r="D19" s="988">
        <v>2962.1945245270308</v>
      </c>
      <c r="E19" s="989">
        <v>3024.0945047589157</v>
      </c>
      <c r="F19" s="988">
        <v>467.27185337516596</v>
      </c>
      <c r="G19" s="989">
        <v>3491.366358134082</v>
      </c>
      <c r="H19" s="988">
        <v>-207.59680199097377</v>
      </c>
      <c r="I19" s="987">
        <v>165.54788940329428</v>
      </c>
      <c r="J19" s="988">
        <v>-26.048495133761179</v>
      </c>
      <c r="K19" s="987">
        <v>821.67901677228713</v>
      </c>
      <c r="L19" s="988">
        <v>1117.2138474727608</v>
      </c>
      <c r="M19" s="990">
        <v>1.0208966628353917</v>
      </c>
      <c r="N19" s="991">
        <v>-6.8744026005393408E-2</v>
      </c>
      <c r="O19" s="990">
        <v>5.4351045208469229E-2</v>
      </c>
      <c r="P19" s="991">
        <v>0.37715748855188524</v>
      </c>
      <c r="Q19" s="988"/>
      <c r="R19" s="992">
        <v>1637.6278280699999</v>
      </c>
      <c r="S19" s="993">
        <v>1651.7535987700001</v>
      </c>
      <c r="T19" s="994">
        <v>1606.3607669999999</v>
      </c>
      <c r="U19" s="995">
        <v>1639.9283463400002</v>
      </c>
      <c r="V19" s="994">
        <v>253.39563845999999</v>
      </c>
      <c r="W19" s="993">
        <v>1893.3239848000003</v>
      </c>
      <c r="X19" s="992">
        <v>-112.57713</v>
      </c>
      <c r="Y19" s="995">
        <v>445.58617763999996</v>
      </c>
      <c r="Z19" s="992">
        <v>605.85099259000003</v>
      </c>
      <c r="AA19" s="993" t="s">
        <v>390</v>
      </c>
      <c r="AB19" s="994" t="s">
        <v>390</v>
      </c>
      <c r="AC19" s="995" t="s">
        <v>390</v>
      </c>
      <c r="AD19" s="994" t="s">
        <v>390</v>
      </c>
      <c r="AE19" s="996">
        <v>165.54788940329428</v>
      </c>
      <c r="AF19" s="997">
        <v>5.2226746921270543E-2</v>
      </c>
    </row>
    <row r="20" spans="1:32" ht="14" thickBot="1">
      <c r="A20" s="985">
        <v>294</v>
      </c>
      <c r="B20" s="986" t="s">
        <v>1246</v>
      </c>
      <c r="C20" s="987">
        <v>8608.34</v>
      </c>
      <c r="D20" s="988">
        <v>2680.0365691875554</v>
      </c>
      <c r="E20" s="989">
        <v>2679.2875107163518</v>
      </c>
      <c r="F20" s="988">
        <v>422.1261242004847</v>
      </c>
      <c r="G20" s="989">
        <v>3101.4136349168371</v>
      </c>
      <c r="H20" s="988">
        <v>385.30892715668756</v>
      </c>
      <c r="I20" s="987">
        <v>112.01397714309611</v>
      </c>
      <c r="J20" s="988">
        <v>-3.3440895689528651</v>
      </c>
      <c r="K20" s="987">
        <v>685.38185062392995</v>
      </c>
      <c r="L20" s="988">
        <v>344.62065043899287</v>
      </c>
      <c r="M20" s="990">
        <v>0.99972050438422533</v>
      </c>
      <c r="N20" s="991">
        <v>0.11941405849806509</v>
      </c>
      <c r="O20" s="990">
        <v>3.4679173509093233E-2</v>
      </c>
      <c r="P20" s="991">
        <v>0.12858804032792118</v>
      </c>
      <c r="Q20" s="988"/>
      <c r="R20" s="992">
        <v>27.77621238</v>
      </c>
      <c r="S20" s="993">
        <v>27.804999439999996</v>
      </c>
      <c r="T20" s="994">
        <v>23.070665999999999</v>
      </c>
      <c r="U20" s="995">
        <v>23.064217850000002</v>
      </c>
      <c r="V20" s="994">
        <v>3.6338052000000003</v>
      </c>
      <c r="W20" s="993">
        <v>26.698023050000003</v>
      </c>
      <c r="X20" s="992">
        <v>3.31687025</v>
      </c>
      <c r="Y20" s="995">
        <v>5.9</v>
      </c>
      <c r="Z20" s="992">
        <v>2.9666117299999999</v>
      </c>
      <c r="AA20" s="993" t="s">
        <v>390</v>
      </c>
      <c r="AB20" s="994" t="s">
        <v>390</v>
      </c>
      <c r="AC20" s="995" t="s">
        <v>390</v>
      </c>
      <c r="AD20" s="994" t="s">
        <v>390</v>
      </c>
      <c r="AE20" s="996">
        <v>110.2945864127114</v>
      </c>
      <c r="AF20" s="997">
        <v>4.8813626110313507E-2</v>
      </c>
    </row>
    <row r="21" spans="1:32" ht="14" thickBot="1">
      <c r="A21" s="985">
        <v>312</v>
      </c>
      <c r="B21" s="986" t="s">
        <v>1338</v>
      </c>
      <c r="C21" s="987">
        <v>168330.33</v>
      </c>
      <c r="D21" s="988">
        <v>3036.1172529038586</v>
      </c>
      <c r="E21" s="989">
        <v>2800.3312992970427</v>
      </c>
      <c r="F21" s="988">
        <v>477.00449604061242</v>
      </c>
      <c r="G21" s="989">
        <v>3277.3357953376553</v>
      </c>
      <c r="H21" s="988">
        <v>94.956571403382867</v>
      </c>
      <c r="I21" s="987">
        <v>110.73226815393278</v>
      </c>
      <c r="J21" s="988">
        <v>-24.330110206520722</v>
      </c>
      <c r="K21" s="987">
        <v>671.47138605383816</v>
      </c>
      <c r="L21" s="988">
        <v>673.30261118124099</v>
      </c>
      <c r="M21" s="990">
        <v>0.92233964173112837</v>
      </c>
      <c r="N21" s="991">
        <v>3.1103429572639472E-2</v>
      </c>
      <c r="O21" s="990">
        <v>3.5984053819761747E-2</v>
      </c>
      <c r="P21" s="991">
        <v>0.22176436385560161</v>
      </c>
      <c r="Q21" s="988"/>
      <c r="R21" s="992">
        <v>513.90059616000008</v>
      </c>
      <c r="S21" s="993">
        <v>517.99609164000003</v>
      </c>
      <c r="T21" s="994">
        <v>511.07061910000004</v>
      </c>
      <c r="U21" s="995">
        <v>471.38069172000002</v>
      </c>
      <c r="V21" s="994">
        <v>80.294324229999987</v>
      </c>
      <c r="W21" s="993">
        <v>551.67501594999999</v>
      </c>
      <c r="X21" s="992">
        <v>15.984071000000002</v>
      </c>
      <c r="Y21" s="995">
        <v>113.029</v>
      </c>
      <c r="Z21" s="992">
        <v>113.33725073000001</v>
      </c>
      <c r="AA21" s="993" t="s">
        <v>390</v>
      </c>
      <c r="AB21" s="994" t="s">
        <v>390</v>
      </c>
      <c r="AC21" s="995" t="s">
        <v>390</v>
      </c>
      <c r="AD21" s="994" t="s">
        <v>390</v>
      </c>
      <c r="AE21" s="996">
        <v>107.99349517107225</v>
      </c>
      <c r="AF21" s="997">
        <v>3.7649173284011503E-2</v>
      </c>
    </row>
    <row r="22" spans="1:32" ht="14" thickBot="1">
      <c r="A22" s="985">
        <v>343</v>
      </c>
      <c r="B22" s="986" t="s">
        <v>1248</v>
      </c>
      <c r="C22" s="987">
        <v>225831.93</v>
      </c>
      <c r="D22" s="988">
        <v>2952.748038773791</v>
      </c>
      <c r="E22" s="989">
        <v>2666.9363830437974</v>
      </c>
      <c r="F22" s="988">
        <v>486.02071704386532</v>
      </c>
      <c r="G22" s="989">
        <v>3152.9571000876626</v>
      </c>
      <c r="H22" s="988">
        <v>266.80084609824661</v>
      </c>
      <c r="I22" s="987">
        <v>118.16850394007614</v>
      </c>
      <c r="J22" s="988">
        <v>-109.46079887817456</v>
      </c>
      <c r="K22" s="987">
        <v>631.60687684863694</v>
      </c>
      <c r="L22" s="988">
        <v>429.47534394272765</v>
      </c>
      <c r="M22" s="990">
        <v>0.90320486137764577</v>
      </c>
      <c r="N22" s="991">
        <v>9.0102355603923656E-2</v>
      </c>
      <c r="O22" s="990">
        <v>3.8484511760600297E-2</v>
      </c>
      <c r="P22" s="991">
        <v>0.14544937065509966</v>
      </c>
      <c r="Q22" s="988"/>
      <c r="R22" s="992">
        <v>668.70782230000009</v>
      </c>
      <c r="S22" s="993">
        <v>693.42756577</v>
      </c>
      <c r="T22" s="994">
        <v>666.82478839999999</v>
      </c>
      <c r="U22" s="995">
        <v>602.27939057000003</v>
      </c>
      <c r="V22" s="994">
        <v>109.75899654999999</v>
      </c>
      <c r="W22" s="993">
        <v>712.03838712000004</v>
      </c>
      <c r="X22" s="992">
        <v>60.25215</v>
      </c>
      <c r="Y22" s="995">
        <v>142.637</v>
      </c>
      <c r="Z22" s="992">
        <v>96.98924581</v>
      </c>
      <c r="AA22" s="993" t="s">
        <v>390</v>
      </c>
      <c r="AB22" s="994" t="s">
        <v>390</v>
      </c>
      <c r="AC22" s="995" t="s">
        <v>390</v>
      </c>
      <c r="AD22" s="994" t="s">
        <v>390</v>
      </c>
      <c r="AE22" s="996">
        <v>118.16850394007614</v>
      </c>
      <c r="AF22" s="997">
        <v>4.3995095757026155E-2</v>
      </c>
    </row>
    <row r="23" spans="1:32" ht="14" thickBot="1">
      <c r="A23" s="985">
        <v>360</v>
      </c>
      <c r="B23" s="986" t="s">
        <v>1249</v>
      </c>
      <c r="C23" s="987">
        <v>20979.45</v>
      </c>
      <c r="D23" s="988">
        <v>2532.6092438076307</v>
      </c>
      <c r="E23" s="989">
        <v>2233.4032112376635</v>
      </c>
      <c r="F23" s="988">
        <v>424.89879381966637</v>
      </c>
      <c r="G23" s="989">
        <v>2658.3020050573296</v>
      </c>
      <c r="H23" s="988">
        <v>218.9905836425645</v>
      </c>
      <c r="I23" s="987">
        <v>80.051812607098853</v>
      </c>
      <c r="J23" s="988">
        <v>9.0439453846502165</v>
      </c>
      <c r="K23" s="987">
        <v>443.29093470038538</v>
      </c>
      <c r="L23" s="988">
        <v>1320.6352883416869</v>
      </c>
      <c r="M23" s="990">
        <v>0.88185858781746829</v>
      </c>
      <c r="N23" s="991">
        <v>8.6143421468660789E-2</v>
      </c>
      <c r="O23" s="990">
        <v>3.1602077818227638E-2</v>
      </c>
      <c r="P23" s="991">
        <v>0.52145244734090457</v>
      </c>
      <c r="Q23" s="988"/>
      <c r="R23" s="992">
        <v>53.333173000000002</v>
      </c>
      <c r="S23" s="993">
        <v>53.143436000000001</v>
      </c>
      <c r="T23" s="994">
        <v>53.132748999999997</v>
      </c>
      <c r="U23" s="995">
        <v>46.855570999999998</v>
      </c>
      <c r="V23" s="994">
        <v>8.9141429999999993</v>
      </c>
      <c r="W23" s="993">
        <v>55.769713999999993</v>
      </c>
      <c r="X23" s="992">
        <v>4.5943019999999999</v>
      </c>
      <c r="Y23" s="995">
        <v>9.3000000000000007</v>
      </c>
      <c r="Z23" s="992">
        <v>27.706202000000001</v>
      </c>
      <c r="AA23" s="993" t="s">
        <v>390</v>
      </c>
      <c r="AB23" s="994" t="s">
        <v>390</v>
      </c>
      <c r="AC23" s="995" t="s">
        <v>390</v>
      </c>
      <c r="AD23" s="994" t="s">
        <v>390</v>
      </c>
      <c r="AE23" s="996">
        <v>77.936361534739945</v>
      </c>
      <c r="AF23" s="997">
        <v>3.4600262344611069E-2</v>
      </c>
    </row>
    <row r="24" spans="1:32" ht="14" thickBot="1">
      <c r="A24" s="985">
        <v>376</v>
      </c>
      <c r="B24" s="986" t="s">
        <v>1250</v>
      </c>
      <c r="C24" s="987">
        <v>388523</v>
      </c>
      <c r="D24" s="988">
        <v>3290.6755121318433</v>
      </c>
      <c r="E24" s="989">
        <v>3308.5933754243633</v>
      </c>
      <c r="F24" s="988">
        <v>515.3035470229562</v>
      </c>
      <c r="G24" s="989">
        <v>3823.8969224473199</v>
      </c>
      <c r="H24" s="988">
        <v>-46.834192570324028</v>
      </c>
      <c r="I24" s="987">
        <v>166.06387009263287</v>
      </c>
      <c r="J24" s="988">
        <v>-197.57548973934618</v>
      </c>
      <c r="K24" s="987">
        <v>755.42503275224374</v>
      </c>
      <c r="L24" s="988">
        <v>477.99732834349578</v>
      </c>
      <c r="M24" s="990">
        <v>1.0054450410642015</v>
      </c>
      <c r="N24" s="991">
        <v>-1.4073216257471313E-2</v>
      </c>
      <c r="O24" s="990">
        <v>4.7104024453488137E-2</v>
      </c>
      <c r="P24" s="991">
        <v>0.14525811693715987</v>
      </c>
      <c r="Q24" s="988"/>
      <c r="R24" s="992">
        <v>1292.9639299999999</v>
      </c>
      <c r="S24" s="993">
        <v>1369.7265520000001</v>
      </c>
      <c r="T24" s="994">
        <v>1278.5031220000001</v>
      </c>
      <c r="U24" s="995">
        <v>1285.464624</v>
      </c>
      <c r="V24" s="994">
        <v>200.20728</v>
      </c>
      <c r="W24" s="993">
        <v>1485.671904</v>
      </c>
      <c r="X24" s="992">
        <v>-18.196161</v>
      </c>
      <c r="Y24" s="995">
        <v>293.5</v>
      </c>
      <c r="Z24" s="992">
        <v>185.71295599999999</v>
      </c>
      <c r="AA24" s="993" t="s">
        <v>390</v>
      </c>
      <c r="AB24" s="994" t="s">
        <v>390</v>
      </c>
      <c r="AC24" s="995" t="s">
        <v>390</v>
      </c>
      <c r="AD24" s="994" t="s">
        <v>390</v>
      </c>
      <c r="AE24" s="996">
        <v>165.33695302466006</v>
      </c>
      <c r="AF24" s="997">
        <v>4.9756820140078692E-2</v>
      </c>
    </row>
    <row r="25" spans="1:32" ht="14" thickBot="1">
      <c r="A25" s="985">
        <v>455</v>
      </c>
      <c r="B25" s="986" t="s">
        <v>1339</v>
      </c>
      <c r="C25" s="987">
        <v>149943.51999999999</v>
      </c>
      <c r="D25" s="988">
        <v>2852.1457588830781</v>
      </c>
      <c r="E25" s="989">
        <v>2528.9877493205449</v>
      </c>
      <c r="F25" s="988">
        <v>438.85120163912381</v>
      </c>
      <c r="G25" s="989">
        <v>2967.8389509596686</v>
      </c>
      <c r="H25" s="988">
        <v>143.92091969029403</v>
      </c>
      <c r="I25" s="987">
        <v>191.1054123579332</v>
      </c>
      <c r="J25" s="988">
        <v>12.249919703098872</v>
      </c>
      <c r="K25" s="987">
        <v>576.01688955948225</v>
      </c>
      <c r="L25" s="988">
        <v>545.67379864098166</v>
      </c>
      <c r="M25" s="990">
        <v>0.88669653065378951</v>
      </c>
      <c r="N25" s="991">
        <v>5.0066586011129607E-2</v>
      </c>
      <c r="O25" s="990">
        <v>6.676544041461091E-2</v>
      </c>
      <c r="P25" s="991">
        <v>0.19132044599805853</v>
      </c>
      <c r="Q25" s="988"/>
      <c r="R25" s="992">
        <v>431.02617972000002</v>
      </c>
      <c r="S25" s="993">
        <v>429.18938363999996</v>
      </c>
      <c r="T25" s="994">
        <v>427.66077464</v>
      </c>
      <c r="U25" s="995">
        <v>379.20532517000009</v>
      </c>
      <c r="V25" s="994">
        <v>65.802893929999996</v>
      </c>
      <c r="W25" s="993">
        <v>445.00821910000008</v>
      </c>
      <c r="X25" s="992">
        <v>21.580009299999993</v>
      </c>
      <c r="Y25" s="995">
        <v>86.37</v>
      </c>
      <c r="Z25" s="992">
        <v>81.820250139999999</v>
      </c>
      <c r="AA25" s="993" t="s">
        <v>390</v>
      </c>
      <c r="AB25" s="994" t="s">
        <v>390</v>
      </c>
      <c r="AC25" s="995" t="s">
        <v>390</v>
      </c>
      <c r="AD25" s="994" t="s">
        <v>390</v>
      </c>
      <c r="AE25" s="996">
        <v>178.33810510784329</v>
      </c>
      <c r="AF25" s="997">
        <v>7.0564825191875222E-2</v>
      </c>
    </row>
    <row r="26" spans="1:32" ht="14" thickBot="1">
      <c r="A26" s="985">
        <v>509</v>
      </c>
      <c r="B26" s="986" t="s">
        <v>1252</v>
      </c>
      <c r="C26" s="987">
        <v>135907</v>
      </c>
      <c r="D26" s="988">
        <v>3923.5756808700075</v>
      </c>
      <c r="E26" s="989">
        <v>3949.6750247595778</v>
      </c>
      <c r="F26" s="988">
        <v>504.60254217957873</v>
      </c>
      <c r="G26" s="989">
        <v>4454.2775669391567</v>
      </c>
      <c r="H26" s="988">
        <v>-277.94377037238701</v>
      </c>
      <c r="I26" s="987">
        <v>322.13004333845942</v>
      </c>
      <c r="J26" s="988">
        <v>-72.090238177577291</v>
      </c>
      <c r="K26" s="987">
        <v>963.22313949980492</v>
      </c>
      <c r="L26" s="988">
        <v>881.80585709345371</v>
      </c>
      <c r="M26" s="990">
        <v>1.0066519282441324</v>
      </c>
      <c r="N26" s="991">
        <v>-7.024549789915234E-2</v>
      </c>
      <c r="O26" s="990">
        <v>7.9956052370928635E-2</v>
      </c>
      <c r="P26" s="991">
        <v>0.22474546913745869</v>
      </c>
      <c r="Q26" s="988"/>
      <c r="R26" s="992">
        <v>537.74982211999998</v>
      </c>
      <c r="S26" s="993">
        <v>547.54739011999993</v>
      </c>
      <c r="T26" s="994">
        <v>533.24140006000005</v>
      </c>
      <c r="U26" s="995">
        <v>536.78848358999994</v>
      </c>
      <c r="V26" s="994">
        <v>68.579017700000009</v>
      </c>
      <c r="W26" s="993">
        <v>605.36750128999995</v>
      </c>
      <c r="X26" s="992">
        <v>-37.774504</v>
      </c>
      <c r="Y26" s="995">
        <v>130.90876721999999</v>
      </c>
      <c r="Z26" s="992">
        <v>119.84358862000001</v>
      </c>
      <c r="AA26" s="993" t="s">
        <v>390</v>
      </c>
      <c r="AB26" s="994" t="s">
        <v>390</v>
      </c>
      <c r="AC26" s="995" t="s">
        <v>390</v>
      </c>
      <c r="AD26" s="994" t="s">
        <v>390</v>
      </c>
      <c r="AE26" s="996">
        <v>322.13004333845942</v>
      </c>
      <c r="AF26" s="997">
        <v>7.6669892184648869E-2</v>
      </c>
    </row>
    <row r="27" spans="1:32" ht="14" thickBot="1">
      <c r="A27" s="985">
        <v>558</v>
      </c>
      <c r="B27" s="986" t="s">
        <v>1340</v>
      </c>
      <c r="C27" s="987">
        <v>3555.5</v>
      </c>
      <c r="D27" s="988">
        <v>2310.5090985796655</v>
      </c>
      <c r="E27" s="989">
        <v>1772.3356152439883</v>
      </c>
      <c r="F27" s="988">
        <v>404.12791449866398</v>
      </c>
      <c r="G27" s="989">
        <v>2176.4635297426526</v>
      </c>
      <c r="H27" s="988">
        <v>234.04733511461123</v>
      </c>
      <c r="I27" s="987">
        <v>189.30104064126002</v>
      </c>
      <c r="J27" s="988">
        <v>82.797764027562948</v>
      </c>
      <c r="K27" s="987">
        <v>680.07312614259604</v>
      </c>
      <c r="L27" s="988">
        <v>1476.4551314864293</v>
      </c>
      <c r="M27" s="990">
        <v>0.76707580001891895</v>
      </c>
      <c r="N27" s="991">
        <v>9.7846185595367619E-2</v>
      </c>
      <c r="O27" s="990">
        <v>8.1977082115643946E-2</v>
      </c>
      <c r="P27" s="991">
        <v>0.63901723321238924</v>
      </c>
      <c r="Q27" s="988"/>
      <c r="R27" s="992">
        <v>8.5047290800000006</v>
      </c>
      <c r="S27" s="993">
        <v>8.2103416300000003</v>
      </c>
      <c r="T27" s="994">
        <v>8.2150151000000005</v>
      </c>
      <c r="U27" s="995">
        <v>6.3015392800000001</v>
      </c>
      <c r="V27" s="994">
        <v>1.4368767999999998</v>
      </c>
      <c r="W27" s="993">
        <v>7.7384160800000004</v>
      </c>
      <c r="X27" s="992">
        <v>0.83215530000000015</v>
      </c>
      <c r="Y27" s="995">
        <v>2.4180000000000001</v>
      </c>
      <c r="Z27" s="992">
        <v>5.2495362199999995</v>
      </c>
      <c r="AA27" s="993" t="s">
        <v>390</v>
      </c>
      <c r="AB27" s="994" t="s">
        <v>390</v>
      </c>
      <c r="AC27" s="995" t="s">
        <v>390</v>
      </c>
      <c r="AD27" s="994" t="s">
        <v>390</v>
      </c>
      <c r="AE27" s="996">
        <v>189.30104064126002</v>
      </c>
      <c r="AF27" s="997">
        <v>9.1165194549678419E-2</v>
      </c>
    </row>
    <row r="28" spans="1:32" ht="14" thickBot="1">
      <c r="A28" s="985">
        <v>762</v>
      </c>
      <c r="B28" s="986" t="s">
        <v>1341</v>
      </c>
      <c r="C28" s="987">
        <v>19210.170000000002</v>
      </c>
      <c r="D28" s="988">
        <v>3170.4041661265878</v>
      </c>
      <c r="E28" s="989">
        <v>3484.2867241674594</v>
      </c>
      <c r="F28" s="988">
        <v>512.66781085227251</v>
      </c>
      <c r="G28" s="989">
        <v>3996.9545350197322</v>
      </c>
      <c r="H28" s="988">
        <v>-427.62958370488127</v>
      </c>
      <c r="I28" s="987">
        <v>247.34534467940674</v>
      </c>
      <c r="J28" s="988">
        <v>-244.54791394349974</v>
      </c>
      <c r="K28" s="987">
        <v>723.55580403505007</v>
      </c>
      <c r="L28" s="988">
        <v>322.24599261745203</v>
      </c>
      <c r="M28" s="990">
        <v>1.0990039570962193</v>
      </c>
      <c r="N28" s="991">
        <v>-0.1373439002957299</v>
      </c>
      <c r="O28" s="990">
        <v>7.3655986050948197E-2</v>
      </c>
      <c r="P28" s="991">
        <v>0.10164192819969484</v>
      </c>
      <c r="Q28" s="988"/>
      <c r="R28" s="992">
        <v>59.812172090000004</v>
      </c>
      <c r="S28" s="993">
        <v>64.509979090000002</v>
      </c>
      <c r="T28" s="994">
        <v>60.904002999999996</v>
      </c>
      <c r="U28" s="995">
        <v>66.933740300000011</v>
      </c>
      <c r="V28" s="994">
        <v>9.8484358000000007</v>
      </c>
      <c r="W28" s="993">
        <v>76.782176100000015</v>
      </c>
      <c r="X28" s="992">
        <v>-8.2148369999999993</v>
      </c>
      <c r="Y28" s="995">
        <v>13.89963</v>
      </c>
      <c r="Z28" s="992">
        <v>6.1904002999999994</v>
      </c>
      <c r="AA28" s="993" t="s">
        <v>390</v>
      </c>
      <c r="AB28" s="994" t="s">
        <v>390</v>
      </c>
      <c r="AC28" s="995" t="s">
        <v>390</v>
      </c>
      <c r="AD28" s="994" t="s">
        <v>390</v>
      </c>
      <c r="AE28" s="996">
        <v>245.8943934384755</v>
      </c>
      <c r="AF28" s="997">
        <v>6.8744587148742667E-2</v>
      </c>
    </row>
    <row r="29" spans="1:32" ht="14" thickBot="1">
      <c r="A29" s="985">
        <v>774</v>
      </c>
      <c r="B29" s="986" t="s">
        <v>1255</v>
      </c>
      <c r="C29" s="987">
        <v>225010.83</v>
      </c>
      <c r="D29" s="988">
        <v>2855.9152539457764</v>
      </c>
      <c r="E29" s="989">
        <v>2375.3130173778745</v>
      </c>
      <c r="F29" s="988">
        <v>467.73226199823353</v>
      </c>
      <c r="G29" s="989">
        <v>2843.0452793761078</v>
      </c>
      <c r="H29" s="988">
        <v>497.2513100813859</v>
      </c>
      <c r="I29" s="987">
        <v>108.63776881317226</v>
      </c>
      <c r="J29" s="988">
        <v>-167.17884250282529</v>
      </c>
      <c r="K29" s="987">
        <v>584.54075299397812</v>
      </c>
      <c r="L29" s="988">
        <v>418.19141727533736</v>
      </c>
      <c r="M29" s="990">
        <v>0.83171691250155466</v>
      </c>
      <c r="N29" s="991">
        <v>0.17402099276275224</v>
      </c>
      <c r="O29" s="990">
        <v>3.5918058530772422E-2</v>
      </c>
      <c r="P29" s="991">
        <v>0.14642991128590307</v>
      </c>
      <c r="Q29" s="988"/>
      <c r="R29" s="992">
        <v>642.95076257000005</v>
      </c>
      <c r="S29" s="993">
        <v>680.56781268000009</v>
      </c>
      <c r="T29" s="994">
        <v>642.61186169999996</v>
      </c>
      <c r="U29" s="995">
        <v>534.47115354999994</v>
      </c>
      <c r="V29" s="994">
        <v>105.24482449</v>
      </c>
      <c r="W29" s="993">
        <v>639.71597803999998</v>
      </c>
      <c r="X29" s="992">
        <v>111.88693000000001</v>
      </c>
      <c r="Y29" s="995">
        <v>131.52799999999999</v>
      </c>
      <c r="Z29" s="992">
        <v>94.097597900000011</v>
      </c>
      <c r="AA29" s="993" t="s">
        <v>390</v>
      </c>
      <c r="AB29" s="994" t="s">
        <v>390</v>
      </c>
      <c r="AC29" s="995" t="s">
        <v>390</v>
      </c>
      <c r="AD29" s="994" t="s">
        <v>390</v>
      </c>
      <c r="AE29" s="996">
        <v>108.63776881317226</v>
      </c>
      <c r="AF29" s="997">
        <v>4.6059028076370294E-2</v>
      </c>
    </row>
    <row r="30" spans="1:32" ht="14" thickBot="1">
      <c r="A30" s="985">
        <v>780</v>
      </c>
      <c r="B30" s="986" t="s">
        <v>1342</v>
      </c>
      <c r="C30" s="987">
        <v>6350.18</v>
      </c>
      <c r="D30" s="988">
        <v>2296.890253504625</v>
      </c>
      <c r="E30" s="989">
        <v>1670.3125218497744</v>
      </c>
      <c r="F30" s="988">
        <v>412.12918059015652</v>
      </c>
      <c r="G30" s="989">
        <v>2082.4417024399309</v>
      </c>
      <c r="H30" s="988">
        <v>347.7849446787335</v>
      </c>
      <c r="I30" s="987">
        <v>104.82512621689465</v>
      </c>
      <c r="J30" s="988">
        <v>119.45437609642559</v>
      </c>
      <c r="K30" s="987">
        <v>456.67996812688773</v>
      </c>
      <c r="L30" s="988">
        <v>759.04418457429563</v>
      </c>
      <c r="M30" s="990">
        <v>0.72720606450447067</v>
      </c>
      <c r="N30" s="991">
        <v>0.15218032465069314</v>
      </c>
      <c r="O30" s="990">
        <v>4.8398103599502147E-2</v>
      </c>
      <c r="P30" s="991">
        <v>0.33046602179452678</v>
      </c>
      <c r="Q30" s="988"/>
      <c r="R30" s="992">
        <v>14.51236883</v>
      </c>
      <c r="S30" s="993">
        <v>13.753812040000001</v>
      </c>
      <c r="T30" s="994">
        <v>14.585666550000001</v>
      </c>
      <c r="U30" s="995">
        <v>10.60678517</v>
      </c>
      <c r="V30" s="994">
        <v>2.61709448</v>
      </c>
      <c r="W30" s="993">
        <v>13.223879650000001</v>
      </c>
      <c r="X30" s="992">
        <v>2.2084969999999999</v>
      </c>
      <c r="Y30" s="995">
        <v>2.9</v>
      </c>
      <c r="Z30" s="992">
        <v>4.8200672000000004</v>
      </c>
      <c r="AA30" s="993" t="s">
        <v>390</v>
      </c>
      <c r="AB30" s="994" t="s">
        <v>390</v>
      </c>
      <c r="AC30" s="995" t="s">
        <v>390</v>
      </c>
      <c r="AD30" s="994" t="s">
        <v>390</v>
      </c>
      <c r="AE30" s="996">
        <v>101.62889083459051</v>
      </c>
      <c r="AF30" s="997">
        <v>5.3781150634718423E-2</v>
      </c>
    </row>
    <row r="31" spans="1:32" ht="14" thickBot="1">
      <c r="A31" s="985">
        <v>820</v>
      </c>
      <c r="B31" s="986" t="s">
        <v>1257</v>
      </c>
      <c r="C31" s="987">
        <v>2532.5</v>
      </c>
      <c r="D31" s="988">
        <v>2524.9146692991117</v>
      </c>
      <c r="E31" s="989">
        <v>2359.5465784797634</v>
      </c>
      <c r="F31" s="988">
        <v>403.22988746298125</v>
      </c>
      <c r="G31" s="989">
        <v>2762.7764659427448</v>
      </c>
      <c r="H31" s="988">
        <v>-107.52181638696938</v>
      </c>
      <c r="I31" s="987">
        <v>97.805326752221134</v>
      </c>
      <c r="J31" s="988">
        <v>232.31299901283313</v>
      </c>
      <c r="K31" s="987">
        <v>367.34728529121423</v>
      </c>
      <c r="L31" s="988">
        <v>1984.2473405725564</v>
      </c>
      <c r="M31" s="990">
        <v>0.93450547346011792</v>
      </c>
      <c r="N31" s="991">
        <v>-4.1819186764029806E-2</v>
      </c>
      <c r="O31" s="990">
        <v>4.1818609997377215E-2</v>
      </c>
      <c r="P31" s="991">
        <v>0.78586708877704825</v>
      </c>
      <c r="Q31" s="988"/>
      <c r="R31" s="992">
        <v>6.5113413500000004</v>
      </c>
      <c r="S31" s="993">
        <v>5.9230086799999997</v>
      </c>
      <c r="T31" s="994">
        <v>6.3943464000000008</v>
      </c>
      <c r="U31" s="995">
        <v>5.9755517100000004</v>
      </c>
      <c r="V31" s="994">
        <v>1.0211796900000001</v>
      </c>
      <c r="W31" s="993">
        <v>6.9967314000000007</v>
      </c>
      <c r="X31" s="992">
        <v>-0.27229899999999996</v>
      </c>
      <c r="Y31" s="995">
        <v>0.930307</v>
      </c>
      <c r="Z31" s="992">
        <v>5.0251063899999995</v>
      </c>
      <c r="AA31" s="993" t="s">
        <v>390</v>
      </c>
      <c r="AB31" s="994" t="s">
        <v>390</v>
      </c>
      <c r="AC31" s="995" t="s">
        <v>390</v>
      </c>
      <c r="AD31" s="994" t="s">
        <v>390</v>
      </c>
      <c r="AE31" s="996">
        <v>97.805326752221134</v>
      </c>
      <c r="AF31" s="997">
        <v>3.7153917020995297E-2</v>
      </c>
    </row>
    <row r="32" spans="1:32" ht="14" thickBot="1">
      <c r="A32" s="985">
        <v>829</v>
      </c>
      <c r="B32" s="986" t="s">
        <v>1258</v>
      </c>
      <c r="C32" s="987">
        <v>15718.08</v>
      </c>
      <c r="D32" s="1987">
        <v>2104.4780278507301</v>
      </c>
      <c r="E32" s="989">
        <v>2155.3473643091265</v>
      </c>
      <c r="F32" s="988">
        <v>389.93099666116979</v>
      </c>
      <c r="G32" s="989">
        <v>2545.278360970296</v>
      </c>
      <c r="H32" s="988">
        <v>20.305151774262505</v>
      </c>
      <c r="I32" s="987">
        <v>58.726915755613923</v>
      </c>
      <c r="J32" s="988">
        <v>-50.471608491622405</v>
      </c>
      <c r="K32" s="987">
        <v>390.63295262525702</v>
      </c>
      <c r="L32" s="988">
        <v>436.45065936806532</v>
      </c>
      <c r="M32" s="990">
        <v>1.0241719494265038</v>
      </c>
      <c r="N32" s="991">
        <v>9.2939574078704634E-3</v>
      </c>
      <c r="O32" s="990">
        <v>2.6273194307311329E-2</v>
      </c>
      <c r="P32" s="991">
        <v>0.20739140708150111</v>
      </c>
      <c r="Q32" s="988"/>
      <c r="R32" s="992">
        <v>34.34037687</v>
      </c>
      <c r="S32" s="993">
        <v>35.133693649999998</v>
      </c>
      <c r="T32" s="994">
        <v>33.078353999999997</v>
      </c>
      <c r="U32" s="995">
        <v>33.877922299999994</v>
      </c>
      <c r="V32" s="994">
        <v>6.1289666</v>
      </c>
      <c r="W32" s="993">
        <v>40.006888899999993</v>
      </c>
      <c r="X32" s="992">
        <v>0.319158</v>
      </c>
      <c r="Y32" s="995">
        <v>6.14</v>
      </c>
      <c r="Z32" s="992">
        <v>6.8601663799999999</v>
      </c>
      <c r="AA32" s="993" t="s">
        <v>390</v>
      </c>
      <c r="AB32" s="994" t="s">
        <v>390</v>
      </c>
      <c r="AC32" s="995" t="s">
        <v>390</v>
      </c>
      <c r="AD32" s="994" t="s">
        <v>390</v>
      </c>
      <c r="AE32" s="996">
        <v>55.999239729025433</v>
      </c>
      <c r="AF32" s="997">
        <v>2.817756455317158E-2</v>
      </c>
    </row>
    <row r="33" spans="1:32" ht="14" thickBot="1">
      <c r="A33" s="985">
        <v>881</v>
      </c>
      <c r="B33" s="986" t="s">
        <v>1259</v>
      </c>
      <c r="C33" s="987">
        <v>127325.83</v>
      </c>
      <c r="D33" s="988">
        <v>3029.0179400362044</v>
      </c>
      <c r="E33" s="989">
        <v>2885.8522278629557</v>
      </c>
      <c r="F33" s="988">
        <v>465.22015823497861</v>
      </c>
      <c r="G33" s="989">
        <v>3351.0723860979342</v>
      </c>
      <c r="H33" s="988">
        <v>-3.6658127420021533</v>
      </c>
      <c r="I33" s="987">
        <v>230.12057749790443</v>
      </c>
      <c r="J33" s="988">
        <v>72.939919574842008</v>
      </c>
      <c r="K33" s="987">
        <v>395.83484356630544</v>
      </c>
      <c r="L33" s="988">
        <v>275.81037468988029</v>
      </c>
      <c r="M33" s="990">
        <v>0.95273527096655708</v>
      </c>
      <c r="N33" s="991">
        <v>-1.3624784590452251E-3</v>
      </c>
      <c r="O33" s="990">
        <v>8.791256436848699E-2</v>
      </c>
      <c r="P33" s="991">
        <v>9.1056038673241926E-2</v>
      </c>
      <c r="Q33" s="988"/>
      <c r="R33" s="992">
        <v>342.57616838000001</v>
      </c>
      <c r="S33" s="993">
        <v>333.28903257999997</v>
      </c>
      <c r="T33" s="994">
        <v>385.67222329999998</v>
      </c>
      <c r="U33" s="995">
        <v>367.44353016999997</v>
      </c>
      <c r="V33" s="994">
        <v>59.234542779999991</v>
      </c>
      <c r="W33" s="993">
        <v>426.67807294999994</v>
      </c>
      <c r="X33" s="992">
        <v>-0.46675264999999999</v>
      </c>
      <c r="Y33" s="995">
        <v>50.4</v>
      </c>
      <c r="Z33" s="992">
        <v>35.117784880000002</v>
      </c>
      <c r="AA33" s="993" t="s">
        <v>390</v>
      </c>
      <c r="AB33" s="994" t="s">
        <v>390</v>
      </c>
      <c r="AC33" s="995" t="s">
        <v>390</v>
      </c>
      <c r="AD33" s="994" t="s">
        <v>390</v>
      </c>
      <c r="AE33" s="996">
        <v>220.94526538723525</v>
      </c>
      <c r="AF33" s="997">
        <v>7.58801761928172E-2</v>
      </c>
    </row>
    <row r="34" spans="1:32" ht="14" thickBot="1">
      <c r="A34" s="985">
        <v>901</v>
      </c>
      <c r="B34" s="986" t="s">
        <v>1343</v>
      </c>
      <c r="C34" s="987">
        <v>2493.56</v>
      </c>
      <c r="D34" s="988">
        <v>2310.5915037135665</v>
      </c>
      <c r="E34" s="989">
        <v>1960.3695920691705</v>
      </c>
      <c r="F34" s="988">
        <v>400.47175524150208</v>
      </c>
      <c r="G34" s="989">
        <v>2360.8413473106725</v>
      </c>
      <c r="H34" s="988">
        <v>156.30343765540033</v>
      </c>
      <c r="I34" s="987">
        <v>123.50967692776592</v>
      </c>
      <c r="J34" s="988">
        <v>271.84197693257835</v>
      </c>
      <c r="K34" s="987">
        <v>281.53683889699869</v>
      </c>
      <c r="L34" s="988">
        <v>2879.8640136992894</v>
      </c>
      <c r="M34" s="990">
        <v>0.84842759480352903</v>
      </c>
      <c r="N34" s="991">
        <v>6.1997972601140754E-2</v>
      </c>
      <c r="O34" s="990">
        <v>5.4911160309629482E-2</v>
      </c>
      <c r="P34" s="991">
        <v>1.2463752286247016</v>
      </c>
      <c r="Q34" s="988"/>
      <c r="R34" s="992">
        <v>6.2865281499999996</v>
      </c>
      <c r="S34" s="993">
        <v>5.6086738700000005</v>
      </c>
      <c r="T34" s="994">
        <v>5.7615985500000004</v>
      </c>
      <c r="U34" s="995">
        <v>4.8882992000000005</v>
      </c>
      <c r="V34" s="994">
        <v>0.99860035000000003</v>
      </c>
      <c r="W34" s="993">
        <v>5.8868995500000008</v>
      </c>
      <c r="X34" s="992">
        <v>0.38975200000000004</v>
      </c>
      <c r="Y34" s="995">
        <v>0.70202900000000001</v>
      </c>
      <c r="Z34" s="992">
        <v>7.18111371</v>
      </c>
      <c r="AA34" s="993" t="s">
        <v>390</v>
      </c>
      <c r="AB34" s="994" t="s">
        <v>390</v>
      </c>
      <c r="AC34" s="995" t="s">
        <v>390</v>
      </c>
      <c r="AD34" s="994" t="s">
        <v>390</v>
      </c>
      <c r="AE34" s="996">
        <v>119.19634578674666</v>
      </c>
      <c r="AF34" s="997">
        <v>5.7332015561762449E-2</v>
      </c>
    </row>
    <row r="35" spans="1:32" ht="14" thickBot="1">
      <c r="A35" s="985">
        <v>923</v>
      </c>
      <c r="B35" s="986" t="s">
        <v>1344</v>
      </c>
      <c r="C35" s="987">
        <v>13925.61</v>
      </c>
      <c r="D35" s="988">
        <v>2841.8794796062789</v>
      </c>
      <c r="E35" s="989">
        <v>2980.3591763664217</v>
      </c>
      <c r="F35" s="988">
        <v>483.11190317695235</v>
      </c>
      <c r="G35" s="989">
        <v>3463.4710795433743</v>
      </c>
      <c r="H35" s="988">
        <v>-465.11032550818237</v>
      </c>
      <c r="I35" s="987">
        <v>174.75814703987834</v>
      </c>
      <c r="J35" s="988">
        <v>166.54898851827673</v>
      </c>
      <c r="K35" s="987">
        <v>858.49022053612009</v>
      </c>
      <c r="L35" s="988">
        <v>1977.0663690854476</v>
      </c>
      <c r="M35" s="990">
        <v>1.0487282088328842</v>
      </c>
      <c r="N35" s="991">
        <v>-0.15905155570790777</v>
      </c>
      <c r="O35" s="990">
        <v>6.3370404122949073E-2</v>
      </c>
      <c r="P35" s="991">
        <v>0.69568973043126903</v>
      </c>
      <c r="Q35" s="988"/>
      <c r="R35" s="992">
        <v>40.722298950000003</v>
      </c>
      <c r="S35" s="993">
        <v>38.403002690000001</v>
      </c>
      <c r="T35" s="994">
        <v>39.574905299999998</v>
      </c>
      <c r="U35" s="995">
        <v>41.503319550000008</v>
      </c>
      <c r="V35" s="994">
        <v>6.7276279500000005</v>
      </c>
      <c r="W35" s="993">
        <v>48.230947500000006</v>
      </c>
      <c r="X35" s="992">
        <v>-6.4769449999999997</v>
      </c>
      <c r="Y35" s="995">
        <v>11.955</v>
      </c>
      <c r="Z35" s="992">
        <v>27.531855199999999</v>
      </c>
      <c r="AA35" s="993" t="s">
        <v>390</v>
      </c>
      <c r="AB35" s="994" t="s">
        <v>390</v>
      </c>
      <c r="AC35" s="995" t="s">
        <v>390</v>
      </c>
      <c r="AD35" s="994" t="s">
        <v>390</v>
      </c>
      <c r="AE35" s="996">
        <v>169.49913145635992</v>
      </c>
      <c r="AF35" s="997">
        <v>5.284508188371316E-2</v>
      </c>
    </row>
    <row r="36" spans="1:32" ht="14" thickBot="1">
      <c r="A36" s="985">
        <v>941</v>
      </c>
      <c r="B36" s="986" t="s">
        <v>1262</v>
      </c>
      <c r="C36" s="987">
        <v>33961.93</v>
      </c>
      <c r="D36" s="988">
        <v>2862.3189609659989</v>
      </c>
      <c r="E36" s="989">
        <v>2528.0981684492017</v>
      </c>
      <c r="F36" s="988">
        <v>420.71832401751027</v>
      </c>
      <c r="G36" s="989">
        <v>2948.8164924667117</v>
      </c>
      <c r="H36" s="988">
        <v>86.038478967479179</v>
      </c>
      <c r="I36" s="987">
        <v>76.568364342073608</v>
      </c>
      <c r="J36" s="988">
        <v>199.86301249663964</v>
      </c>
      <c r="K36" s="987">
        <v>676.99877333237544</v>
      </c>
      <c r="L36" s="988">
        <v>1099.2597620335478</v>
      </c>
      <c r="M36" s="990">
        <v>0.8832342596773346</v>
      </c>
      <c r="N36" s="991">
        <v>2.9715722624398561E-2</v>
      </c>
      <c r="O36" s="990">
        <v>2.840575748390468E-2</v>
      </c>
      <c r="P36" s="991">
        <v>0.38404516653257981</v>
      </c>
      <c r="Q36" s="988"/>
      <c r="R36" s="992">
        <v>98.332887170000006</v>
      </c>
      <c r="S36" s="993">
        <v>91.545153529999993</v>
      </c>
      <c r="T36" s="994">
        <v>97.209876189999989</v>
      </c>
      <c r="U36" s="995">
        <v>85.859093029999997</v>
      </c>
      <c r="V36" s="994">
        <v>14.288406270000001</v>
      </c>
      <c r="W36" s="993">
        <v>100.14749929999999</v>
      </c>
      <c r="X36" s="992">
        <v>2.9220328000000002</v>
      </c>
      <c r="Y36" s="995">
        <v>22.992184949999999</v>
      </c>
      <c r="Z36" s="992">
        <v>37.332983090000006</v>
      </c>
      <c r="AA36" s="993" t="s">
        <v>390</v>
      </c>
      <c r="AB36" s="994" t="s">
        <v>390</v>
      </c>
      <c r="AC36" s="995" t="s">
        <v>390</v>
      </c>
      <c r="AD36" s="994" t="s">
        <v>390</v>
      </c>
      <c r="AE36" s="996">
        <v>76.369150104249087</v>
      </c>
      <c r="AF36" s="997">
        <v>2.7579477231693638E-2</v>
      </c>
    </row>
    <row r="37" spans="1:32" ht="14" thickBot="1">
      <c r="A37" s="985">
        <v>966</v>
      </c>
      <c r="B37" s="986" t="s">
        <v>1263</v>
      </c>
      <c r="C37" s="987">
        <v>3744.63</v>
      </c>
      <c r="D37" s="988">
        <v>2825.4236600144736</v>
      </c>
      <c r="E37" s="989">
        <v>2557.6342388967669</v>
      </c>
      <c r="F37" s="988">
        <v>422.63063373417401</v>
      </c>
      <c r="G37" s="989">
        <v>2980.2648726309408</v>
      </c>
      <c r="H37" s="988">
        <v>-146.38589126295528</v>
      </c>
      <c r="I37" s="987">
        <v>139.19214982521638</v>
      </c>
      <c r="J37" s="988">
        <v>347.67725516272634</v>
      </c>
      <c r="K37" s="987">
        <v>427.27852952094065</v>
      </c>
      <c r="L37" s="988">
        <v>1009.5346509534986</v>
      </c>
      <c r="M37" s="990">
        <v>0.9052214983163499</v>
      </c>
      <c r="N37" s="991">
        <v>-5.1156235911057203E-2</v>
      </c>
      <c r="O37" s="990">
        <v>5.5369709992378446E-2</v>
      </c>
      <c r="P37" s="991">
        <v>0.3573038143767534</v>
      </c>
      <c r="Q37" s="988"/>
      <c r="R37" s="992">
        <v>10.715428730000003</v>
      </c>
      <c r="S37" s="993">
        <v>9.4135060500000005</v>
      </c>
      <c r="T37" s="994">
        <v>10.580166199999999</v>
      </c>
      <c r="U37" s="995">
        <v>9.5773939000000006</v>
      </c>
      <c r="V37" s="994">
        <v>1.5825953500000001</v>
      </c>
      <c r="W37" s="993">
        <v>11.159989250000001</v>
      </c>
      <c r="X37" s="992">
        <v>-0.54816100000000023</v>
      </c>
      <c r="Y37" s="995">
        <v>1.6</v>
      </c>
      <c r="Z37" s="992">
        <v>3.7803337400000001</v>
      </c>
      <c r="AA37" s="993" t="s">
        <v>390</v>
      </c>
      <c r="AB37" s="994" t="s">
        <v>390</v>
      </c>
      <c r="AC37" s="995" t="s">
        <v>390</v>
      </c>
      <c r="AD37" s="994" t="s">
        <v>390</v>
      </c>
      <c r="AE37" s="996">
        <v>139.19214982521638</v>
      </c>
      <c r="AF37" s="997">
        <v>4.6837506718889435E-2</v>
      </c>
    </row>
    <row r="38" spans="1:32" ht="14" thickBot="1">
      <c r="A38" s="985">
        <v>994</v>
      </c>
      <c r="B38" s="986" t="s">
        <v>1264</v>
      </c>
      <c r="C38" s="987">
        <v>180908.25</v>
      </c>
      <c r="D38" s="988">
        <v>3088.4946971738432</v>
      </c>
      <c r="E38" s="989">
        <v>2643.8502225852053</v>
      </c>
      <c r="F38" s="988">
        <v>475.85715410988718</v>
      </c>
      <c r="G38" s="989">
        <v>3119.7073766950925</v>
      </c>
      <c r="H38" s="988">
        <v>349.18157132137424</v>
      </c>
      <c r="I38" s="987">
        <v>164.2240992878987</v>
      </c>
      <c r="J38" s="988">
        <v>-57.586788219995505</v>
      </c>
      <c r="K38" s="987">
        <v>534.18280260850463</v>
      </c>
      <c r="L38" s="988">
        <v>945.85648404647111</v>
      </c>
      <c r="M38" s="990">
        <v>0.85603197732684666</v>
      </c>
      <c r="N38" s="991">
        <v>0.11177768764483866</v>
      </c>
      <c r="O38" s="990">
        <v>5.1618772993606267E-2</v>
      </c>
      <c r="P38" s="991">
        <v>0.30625161341930951</v>
      </c>
      <c r="Q38" s="988"/>
      <c r="R38" s="992">
        <v>565.13807299999985</v>
      </c>
      <c r="S38" s="993">
        <v>575.55599807999988</v>
      </c>
      <c r="T38" s="994">
        <v>558.7341707999999</v>
      </c>
      <c r="U38" s="995">
        <v>478.29431702999995</v>
      </c>
      <c r="V38" s="994">
        <v>86.086484999999996</v>
      </c>
      <c r="W38" s="993">
        <v>564.38080202999993</v>
      </c>
      <c r="X38" s="992">
        <v>63.169826999999998</v>
      </c>
      <c r="Y38" s="995">
        <v>96.638075999999998</v>
      </c>
      <c r="Z38" s="992">
        <v>171.11324128000001</v>
      </c>
      <c r="AA38" s="993" t="s">
        <v>390</v>
      </c>
      <c r="AB38" s="994" t="s">
        <v>390</v>
      </c>
      <c r="AC38" s="995" t="s">
        <v>390</v>
      </c>
      <c r="AD38" s="994" t="s">
        <v>390</v>
      </c>
      <c r="AE38" s="996">
        <v>164.2240992878987</v>
      </c>
      <c r="AF38" s="997">
        <v>5.9950831373756321E-2</v>
      </c>
    </row>
    <row r="39" spans="1:32" ht="14" thickBot="1">
      <c r="A39" s="985">
        <v>1003</v>
      </c>
      <c r="B39" s="986" t="s">
        <v>1265</v>
      </c>
      <c r="C39" s="987">
        <v>162.92000000000002</v>
      </c>
      <c r="D39" s="988">
        <v>2524.6719248711024</v>
      </c>
      <c r="E39" s="989">
        <v>1638.8604836729683</v>
      </c>
      <c r="F39" s="988">
        <v>348.99398477780494</v>
      </c>
      <c r="G39" s="989">
        <v>1987.8544684507733</v>
      </c>
      <c r="H39" s="988">
        <v>-558.52105327768231</v>
      </c>
      <c r="I39" s="987">
        <v>511.67352074637859</v>
      </c>
      <c r="J39" s="988">
        <v>974.53805548735579</v>
      </c>
      <c r="K39" s="987">
        <v>767.24772894672219</v>
      </c>
      <c r="L39" s="988">
        <v>11440.896697765775</v>
      </c>
      <c r="M39" s="990">
        <v>0.64913799988354548</v>
      </c>
      <c r="N39" s="991">
        <v>-0.21661979210137189</v>
      </c>
      <c r="O39" s="990">
        <v>0.31903639827534341</v>
      </c>
      <c r="P39" s="991">
        <v>4.5316369961019358</v>
      </c>
      <c r="Q39" s="988"/>
      <c r="R39" s="992">
        <v>0.42006433999999998</v>
      </c>
      <c r="S39" s="993">
        <v>0.26129260000000004</v>
      </c>
      <c r="T39" s="994">
        <v>0.41131955000000003</v>
      </c>
      <c r="U39" s="995">
        <v>0.26700315000000002</v>
      </c>
      <c r="V39" s="994">
        <v>5.6858099999999988E-2</v>
      </c>
      <c r="W39" s="993">
        <v>0.32386124999999999</v>
      </c>
      <c r="X39" s="992">
        <v>-9.0994249999999999E-2</v>
      </c>
      <c r="Y39" s="995">
        <v>0.125</v>
      </c>
      <c r="Z39" s="992">
        <v>1.8639508900000001</v>
      </c>
      <c r="AA39" s="993" t="s">
        <v>390</v>
      </c>
      <c r="AB39" s="994" t="s">
        <v>390</v>
      </c>
      <c r="AC39" s="995" t="s">
        <v>390</v>
      </c>
      <c r="AD39" s="994" t="s">
        <v>390</v>
      </c>
      <c r="AE39" s="996">
        <v>511.67352074637859</v>
      </c>
      <c r="AF39" s="997">
        <v>0.16595572329488062</v>
      </c>
    </row>
    <row r="40" spans="1:32" ht="14" thickBot="1">
      <c r="A40" s="985">
        <v>1040</v>
      </c>
      <c r="B40" s="986" t="s">
        <v>1266</v>
      </c>
      <c r="C40" s="987">
        <v>4132.75</v>
      </c>
      <c r="D40" s="988">
        <v>2479.8065573770491</v>
      </c>
      <c r="E40" s="989">
        <v>1681.9873328897222</v>
      </c>
      <c r="F40" s="988">
        <v>367.40966668683075</v>
      </c>
      <c r="G40" s="989">
        <v>2049.3969995765533</v>
      </c>
      <c r="H40" s="988">
        <v>528.84971266106095</v>
      </c>
      <c r="I40" s="987">
        <v>76.448207609944959</v>
      </c>
      <c r="J40" s="988">
        <v>99.532325933095393</v>
      </c>
      <c r="K40" s="987">
        <v>558.94985179359992</v>
      </c>
      <c r="L40" s="988">
        <v>1026.0592607827718</v>
      </c>
      <c r="M40" s="990">
        <v>0.6782736048044008</v>
      </c>
      <c r="N40" s="991">
        <v>0.21125077143228577</v>
      </c>
      <c r="O40" s="990">
        <v>3.1801885879526676E-2</v>
      </c>
      <c r="P40" s="991">
        <v>0.41376584706996633</v>
      </c>
      <c r="Q40" s="988"/>
      <c r="R40" s="992">
        <v>10.346015</v>
      </c>
      <c r="S40" s="993">
        <v>9.9346727799999996</v>
      </c>
      <c r="T40" s="994">
        <v>10.248420550000001</v>
      </c>
      <c r="U40" s="995">
        <v>6.9512331500000002</v>
      </c>
      <c r="V40" s="994">
        <v>1.5184122999999998</v>
      </c>
      <c r="W40" s="993">
        <v>8.4696454499999998</v>
      </c>
      <c r="X40" s="992">
        <v>2.18560365</v>
      </c>
      <c r="Y40" s="995">
        <v>2.31</v>
      </c>
      <c r="Z40" s="992">
        <v>4.2404464100000006</v>
      </c>
      <c r="AA40" s="993" t="s">
        <v>390</v>
      </c>
      <c r="AB40" s="994" t="s">
        <v>390</v>
      </c>
      <c r="AC40" s="995" t="s">
        <v>390</v>
      </c>
      <c r="AD40" s="994" t="s">
        <v>390</v>
      </c>
      <c r="AE40" s="996">
        <v>74.319382977436348</v>
      </c>
      <c r="AF40" s="997">
        <v>3.9184981367988155E-2</v>
      </c>
    </row>
    <row r="41" spans="1:32" ht="14" thickBot="1">
      <c r="A41" s="985">
        <v>1060</v>
      </c>
      <c r="B41" s="986" t="s">
        <v>1267</v>
      </c>
      <c r="C41" s="987">
        <v>161376.23000000001</v>
      </c>
      <c r="D41" s="988">
        <v>3872.8035640688845</v>
      </c>
      <c r="E41" s="989">
        <v>4851.2839519178242</v>
      </c>
      <c r="F41" s="988">
        <v>598.9252940163492</v>
      </c>
      <c r="G41" s="989">
        <v>5450.2092459341739</v>
      </c>
      <c r="H41" s="988">
        <v>-1140.4274969120297</v>
      </c>
      <c r="I41" s="987">
        <v>228.5645463399411</v>
      </c>
      <c r="J41" s="988">
        <v>63.274851630875247</v>
      </c>
      <c r="K41" s="987">
        <v>923.39155524949365</v>
      </c>
      <c r="L41" s="988">
        <v>935.52939934214601</v>
      </c>
      <c r="M41" s="990">
        <v>1.25265427787949</v>
      </c>
      <c r="N41" s="991">
        <v>-0.29165989329551095</v>
      </c>
      <c r="O41" s="990">
        <v>5.9415980090884363E-2</v>
      </c>
      <c r="P41" s="991">
        <v>0.24156386552155787</v>
      </c>
      <c r="Q41" s="988"/>
      <c r="R41" s="992">
        <v>631.00170530999992</v>
      </c>
      <c r="S41" s="993">
        <v>620.79064829999993</v>
      </c>
      <c r="T41" s="994">
        <v>624.97843870000008</v>
      </c>
      <c r="U41" s="995">
        <v>782.88191481999991</v>
      </c>
      <c r="V41" s="994">
        <v>96.652305999999996</v>
      </c>
      <c r="W41" s="993">
        <v>879.53422081999986</v>
      </c>
      <c r="X41" s="992">
        <v>-184.03789004000001</v>
      </c>
      <c r="Y41" s="995">
        <v>149.01344800000001</v>
      </c>
      <c r="Z41" s="992">
        <v>150.97220752000001</v>
      </c>
      <c r="AA41" s="993" t="s">
        <v>390</v>
      </c>
      <c r="AB41" s="994" t="s">
        <v>390</v>
      </c>
      <c r="AC41" s="995" t="s">
        <v>390</v>
      </c>
      <c r="AD41" s="994" t="s">
        <v>390</v>
      </c>
      <c r="AE41" s="996">
        <v>217.67813779018132</v>
      </c>
      <c r="AF41" s="997">
        <v>4.5592262466996492E-2</v>
      </c>
    </row>
    <row r="42" spans="1:32" ht="14" thickBot="1">
      <c r="A42" s="985">
        <v>1113</v>
      </c>
      <c r="B42" s="986" t="s">
        <v>1345</v>
      </c>
      <c r="C42" s="987">
        <v>8662.58</v>
      </c>
      <c r="D42" s="988">
        <v>2489.896381909316</v>
      </c>
      <c r="E42" s="989">
        <v>2095.3856137547941</v>
      </c>
      <c r="F42" s="988">
        <v>394.91340570592126</v>
      </c>
      <c r="G42" s="989">
        <v>2490.299019460715</v>
      </c>
      <c r="H42" s="988">
        <v>316.90835755629382</v>
      </c>
      <c r="I42" s="987">
        <v>165.57392832158547</v>
      </c>
      <c r="J42" s="988">
        <v>-130.12837399481444</v>
      </c>
      <c r="K42" s="987">
        <v>507.93181707990004</v>
      </c>
      <c r="L42" s="988">
        <v>280.90754024782456</v>
      </c>
      <c r="M42" s="990">
        <v>0.84155534703335688</v>
      </c>
      <c r="N42" s="991">
        <v>0.12657709684239601</v>
      </c>
      <c r="O42" s="990">
        <v>6.2864870299325151E-2</v>
      </c>
      <c r="P42" s="991">
        <v>0.1128189680055752</v>
      </c>
      <c r="Q42" s="988"/>
      <c r="R42" s="992">
        <v>21.688315410000001</v>
      </c>
      <c r="S42" s="993">
        <v>22.81556286</v>
      </c>
      <c r="T42" s="994">
        <v>21.568926600000001</v>
      </c>
      <c r="U42" s="995">
        <v>18.151445510000002</v>
      </c>
      <c r="V42" s="994">
        <v>3.4209689699999997</v>
      </c>
      <c r="W42" s="993">
        <v>21.572414480000003</v>
      </c>
      <c r="X42" s="992">
        <v>2.745244</v>
      </c>
      <c r="Y42" s="995">
        <v>4.4000000000000004</v>
      </c>
      <c r="Z42" s="992">
        <v>2.43338404</v>
      </c>
      <c r="AA42" s="993" t="s">
        <v>390</v>
      </c>
      <c r="AB42" s="994" t="s">
        <v>390</v>
      </c>
      <c r="AC42" s="995" t="s">
        <v>390</v>
      </c>
      <c r="AD42" s="994" t="s">
        <v>390</v>
      </c>
      <c r="AE42" s="996">
        <v>165.32919753699244</v>
      </c>
      <c r="AF42" s="997">
        <v>7.6196429278933969E-2</v>
      </c>
    </row>
    <row r="43" spans="1:32" ht="14" thickBot="1">
      <c r="A43" s="985">
        <v>1142</v>
      </c>
      <c r="B43" s="986" t="s">
        <v>1269</v>
      </c>
      <c r="C43" s="987">
        <v>777.17</v>
      </c>
      <c r="D43" s="988">
        <v>4216.9707399925364</v>
      </c>
      <c r="E43" s="989">
        <v>9541.2779700708979</v>
      </c>
      <c r="F43" s="988">
        <v>722.02561859052719</v>
      </c>
      <c r="G43" s="989">
        <v>10263.303588661425</v>
      </c>
      <c r="H43" s="988">
        <v>-6088.638264472379</v>
      </c>
      <c r="I43" s="987">
        <v>363.50309456103554</v>
      </c>
      <c r="J43" s="988">
        <v>1056.8207084679027</v>
      </c>
      <c r="K43" s="987">
        <v>2425.4667575948633</v>
      </c>
      <c r="L43" s="988">
        <v>22830.938752139173</v>
      </c>
      <c r="M43" s="990">
        <v>2.2625905082964328</v>
      </c>
      <c r="N43" s="991">
        <v>-1.1956624294609735</v>
      </c>
      <c r="O43" s="990">
        <v>9.0077434171675422E-2</v>
      </c>
      <c r="P43" s="991">
        <v>5.4140614578178416</v>
      </c>
      <c r="Q43" s="988"/>
      <c r="R43" s="992">
        <v>3.9575610000000001</v>
      </c>
      <c r="S43" s="993">
        <v>3.13623165</v>
      </c>
      <c r="T43" s="994">
        <v>3.2773031499999998</v>
      </c>
      <c r="U43" s="995">
        <v>7.4151949999999998</v>
      </c>
      <c r="V43" s="994">
        <v>0.56113665000000001</v>
      </c>
      <c r="W43" s="993">
        <v>7.9763316499999997</v>
      </c>
      <c r="X43" s="992">
        <v>-4.7319069999999996</v>
      </c>
      <c r="Y43" s="995">
        <v>1.885</v>
      </c>
      <c r="Z43" s="992">
        <v>17.743520670000002</v>
      </c>
      <c r="AA43" s="993" t="s">
        <v>390</v>
      </c>
      <c r="AB43" s="994" t="s">
        <v>390</v>
      </c>
      <c r="AC43" s="995" t="s">
        <v>390</v>
      </c>
      <c r="AD43" s="994" t="s">
        <v>390</v>
      </c>
      <c r="AE43" s="996">
        <v>363.50309456103554</v>
      </c>
      <c r="AF43" s="997">
        <v>3.5272354540478626E-2</v>
      </c>
    </row>
    <row r="44" spans="1:32" ht="14" thickBot="1">
      <c r="A44" s="985">
        <v>1147</v>
      </c>
      <c r="B44" s="986" t="s">
        <v>1270</v>
      </c>
      <c r="C44" s="987">
        <v>416</v>
      </c>
      <c r="D44" s="988">
        <v>2561.7283653846152</v>
      </c>
      <c r="E44" s="989">
        <v>2099.9568509615383</v>
      </c>
      <c r="F44" s="988">
        <v>358.37067307692308</v>
      </c>
      <c r="G44" s="989">
        <v>2458.3275240384619</v>
      </c>
      <c r="H44" s="988">
        <v>-600.73076923076917</v>
      </c>
      <c r="I44" s="987">
        <v>259.86802884615383</v>
      </c>
      <c r="J44" s="988">
        <v>654.59819711538455</v>
      </c>
      <c r="K44" s="987">
        <v>1562.5</v>
      </c>
      <c r="L44" s="988">
        <v>3875.2718750000004</v>
      </c>
      <c r="M44" s="990">
        <v>0.8197422019200904</v>
      </c>
      <c r="N44" s="991">
        <v>-0.23375262838884439</v>
      </c>
      <c r="O44" s="990">
        <v>0.13567694045738793</v>
      </c>
      <c r="P44" s="991">
        <v>1.5127567494526966</v>
      </c>
      <c r="Q44" s="988"/>
      <c r="R44" s="992">
        <v>1.069096</v>
      </c>
      <c r="S44" s="993">
        <v>0.79678315</v>
      </c>
      <c r="T44" s="994">
        <v>1.065679</v>
      </c>
      <c r="U44" s="995">
        <v>0.87358205</v>
      </c>
      <c r="V44" s="994">
        <v>0.1490822</v>
      </c>
      <c r="W44" s="993">
        <v>1.0226642500000001</v>
      </c>
      <c r="X44" s="992">
        <v>-0.24990399999999999</v>
      </c>
      <c r="Y44" s="995">
        <v>0.65</v>
      </c>
      <c r="Z44" s="992">
        <v>1.6121131000000002</v>
      </c>
      <c r="AA44" s="993" t="s">
        <v>390</v>
      </c>
      <c r="AB44" s="994" t="s">
        <v>390</v>
      </c>
      <c r="AC44" s="995" t="s">
        <v>390</v>
      </c>
      <c r="AD44" s="994" t="s">
        <v>390</v>
      </c>
      <c r="AE44" s="996">
        <v>259.86802884615383</v>
      </c>
      <c r="AF44" s="997">
        <v>8.2172770551154878E-2</v>
      </c>
    </row>
    <row r="45" spans="1:32" ht="14" thickBot="1">
      <c r="A45" s="985">
        <v>1318</v>
      </c>
      <c r="B45" s="986" t="s">
        <v>1346</v>
      </c>
      <c r="C45" s="987">
        <v>9492</v>
      </c>
      <c r="D45" s="988">
        <v>2555.632321955331</v>
      </c>
      <c r="E45" s="989">
        <v>2169.550674252002</v>
      </c>
      <c r="F45" s="988">
        <v>465.70944479561729</v>
      </c>
      <c r="G45" s="989">
        <v>2635.2601190476194</v>
      </c>
      <c r="H45" s="988">
        <v>254.52697008006743</v>
      </c>
      <c r="I45" s="987">
        <v>123.54618836915296</v>
      </c>
      <c r="J45" s="988">
        <v>131.89674884112938</v>
      </c>
      <c r="K45" s="987">
        <v>547.82975136957441</v>
      </c>
      <c r="L45" s="988">
        <v>1847.3179466919512</v>
      </c>
      <c r="M45" s="990">
        <v>0.84892911066020038</v>
      </c>
      <c r="N45" s="991">
        <v>9.702894968075465E-2</v>
      </c>
      <c r="O45" s="990">
        <v>4.9590858395935383E-2</v>
      </c>
      <c r="P45" s="991">
        <v>0.72284183089316867</v>
      </c>
      <c r="Q45" s="988"/>
      <c r="R45" s="992">
        <v>24.899475959999997</v>
      </c>
      <c r="S45" s="993">
        <v>23.647512020000001</v>
      </c>
      <c r="T45" s="994">
        <v>24.258061999999999</v>
      </c>
      <c r="U45" s="995">
        <v>20.593375000000002</v>
      </c>
      <c r="V45" s="994">
        <v>4.4205140499999995</v>
      </c>
      <c r="W45" s="993">
        <v>25.013889050000003</v>
      </c>
      <c r="X45" s="992">
        <v>2.4159700000000002</v>
      </c>
      <c r="Y45" s="995">
        <v>5.2</v>
      </c>
      <c r="Z45" s="992">
        <v>17.534741950000001</v>
      </c>
      <c r="AA45" s="993" t="s">
        <v>390</v>
      </c>
      <c r="AB45" s="994" t="s">
        <v>390</v>
      </c>
      <c r="AC45" s="995" t="s">
        <v>390</v>
      </c>
      <c r="AD45" s="994" t="s">
        <v>390</v>
      </c>
      <c r="AE45" s="996">
        <v>123.54618836915296</v>
      </c>
      <c r="AF45" s="997">
        <v>5.3689931349066744E-2</v>
      </c>
    </row>
    <row r="46" spans="1:32" ht="14" thickBot="1">
      <c r="A46" s="985">
        <v>1322</v>
      </c>
      <c r="B46" s="986" t="s">
        <v>1273</v>
      </c>
      <c r="C46" s="987">
        <v>9083.76</v>
      </c>
      <c r="D46" s="988">
        <v>2450.2808308453768</v>
      </c>
      <c r="E46" s="989">
        <v>2503.3522142813108</v>
      </c>
      <c r="F46" s="988">
        <v>466.08026852316669</v>
      </c>
      <c r="G46" s="989">
        <v>2969.4324828044778</v>
      </c>
      <c r="H46" s="988">
        <v>-60.66506050358003</v>
      </c>
      <c r="I46" s="987">
        <v>150.93583163800011</v>
      </c>
      <c r="J46" s="988">
        <v>-110.02089112878367</v>
      </c>
      <c r="K46" s="987">
        <v>524.01208310215145</v>
      </c>
      <c r="L46" s="988">
        <v>455.008765092869</v>
      </c>
      <c r="M46" s="990">
        <v>1.0216593064630979</v>
      </c>
      <c r="N46" s="991">
        <v>-2.4154670610442203E-2</v>
      </c>
      <c r="O46" s="990">
        <v>5.7575123447139741E-2</v>
      </c>
      <c r="P46" s="991">
        <v>0.18569657786364244</v>
      </c>
      <c r="Q46" s="988"/>
      <c r="R46" s="992">
        <v>22.81409086</v>
      </c>
      <c r="S46" s="993">
        <v>23.81349423</v>
      </c>
      <c r="T46" s="994">
        <v>22.257763000000001</v>
      </c>
      <c r="U46" s="995">
        <v>22.739850710000002</v>
      </c>
      <c r="V46" s="994">
        <v>4.2337613000000012</v>
      </c>
      <c r="W46" s="993">
        <v>26.973612010000004</v>
      </c>
      <c r="X46" s="992">
        <v>-0.55106685000000011</v>
      </c>
      <c r="Y46" s="995">
        <v>4.76</v>
      </c>
      <c r="Z46" s="992">
        <v>4.13319042</v>
      </c>
      <c r="AA46" s="993" t="s">
        <v>390</v>
      </c>
      <c r="AB46" s="994" t="s">
        <v>390</v>
      </c>
      <c r="AC46" s="995" t="s">
        <v>390</v>
      </c>
      <c r="AD46" s="994" t="s">
        <v>390</v>
      </c>
      <c r="AE46" s="996">
        <v>145.28288946427469</v>
      </c>
      <c r="AF46" s="997">
        <v>6.0111144631998722E-2</v>
      </c>
    </row>
    <row r="47" spans="1:32" ht="14" thickBot="1">
      <c r="A47" s="985">
        <v>1328</v>
      </c>
      <c r="B47" s="986" t="s">
        <v>1274</v>
      </c>
      <c r="C47" s="987">
        <v>5863.43</v>
      </c>
      <c r="D47" s="988">
        <v>3176.8277441702212</v>
      </c>
      <c r="E47" s="989">
        <v>3627.4200220689936</v>
      </c>
      <c r="F47" s="988">
        <v>519.08628055592033</v>
      </c>
      <c r="G47" s="989">
        <v>4146.5063026249136</v>
      </c>
      <c r="H47" s="988">
        <v>-406.94474053582974</v>
      </c>
      <c r="I47" s="987">
        <v>275.15025335000161</v>
      </c>
      <c r="J47" s="988">
        <v>-187.40526108438232</v>
      </c>
      <c r="K47" s="987">
        <v>963.0919103664578</v>
      </c>
      <c r="L47" s="988">
        <v>1109.844094668138</v>
      </c>
      <c r="M47" s="990">
        <v>1.1418371766381263</v>
      </c>
      <c r="N47" s="991">
        <v>-0.12325431713162258</v>
      </c>
      <c r="O47" s="990">
        <v>7.8860572143792426E-2</v>
      </c>
      <c r="P47" s="991">
        <v>0.34935608224424713</v>
      </c>
      <c r="Q47" s="988"/>
      <c r="R47" s="992">
        <v>19.359094719999998</v>
      </c>
      <c r="S47" s="993">
        <v>20.45793235</v>
      </c>
      <c r="T47" s="994">
        <v>18.6271071</v>
      </c>
      <c r="U47" s="995">
        <v>21.26912338</v>
      </c>
      <c r="V47" s="994">
        <v>3.0436260699999997</v>
      </c>
      <c r="W47" s="993">
        <v>24.312749449999998</v>
      </c>
      <c r="X47" s="992">
        <v>-2.3860920000000001</v>
      </c>
      <c r="Y47" s="995">
        <v>5.6470219999999998</v>
      </c>
      <c r="Z47" s="992">
        <v>6.5074931600000001</v>
      </c>
      <c r="AA47" s="993" t="s">
        <v>390</v>
      </c>
      <c r="AB47" s="994" t="s">
        <v>390</v>
      </c>
      <c r="AC47" s="995" t="s">
        <v>390</v>
      </c>
      <c r="AD47" s="994" t="s">
        <v>390</v>
      </c>
      <c r="AE47" s="996">
        <v>269.28263831920901</v>
      </c>
      <c r="AF47" s="997">
        <v>7.6776707931159316E-2</v>
      </c>
    </row>
    <row r="48" spans="1:32" ht="14" thickBot="1">
      <c r="A48" s="985">
        <v>1331</v>
      </c>
      <c r="B48" s="986" t="s">
        <v>1347</v>
      </c>
      <c r="C48" s="987">
        <v>1626.74</v>
      </c>
      <c r="D48" s="988">
        <v>2439.0379839433467</v>
      </c>
      <c r="E48" s="989">
        <v>2190.1667752683284</v>
      </c>
      <c r="F48" s="988">
        <v>404.88993324071453</v>
      </c>
      <c r="G48" s="989">
        <v>2595.0567085090429</v>
      </c>
      <c r="H48" s="988">
        <v>161.91093844129978</v>
      </c>
      <c r="I48" s="987">
        <v>127.60552393129818</v>
      </c>
      <c r="J48" s="988">
        <v>-54.436050014138701</v>
      </c>
      <c r="K48" s="987">
        <v>553.25374675731825</v>
      </c>
      <c r="L48" s="988">
        <v>495.32999127088533</v>
      </c>
      <c r="M48" s="990">
        <v>0.89796337313589003</v>
      </c>
      <c r="N48" s="991">
        <v>6.8490112894023389E-2</v>
      </c>
      <c r="O48" s="990">
        <v>5.2763555153937443E-2</v>
      </c>
      <c r="P48" s="991">
        <v>0.20308416454837414</v>
      </c>
      <c r="Q48" s="988"/>
      <c r="R48" s="992">
        <v>3.8456207599999996</v>
      </c>
      <c r="S48" s="993">
        <v>3.9341740600000001</v>
      </c>
      <c r="T48" s="994">
        <v>3.9676806499999997</v>
      </c>
      <c r="U48" s="995">
        <v>3.5628319000000004</v>
      </c>
      <c r="V48" s="994">
        <v>0.65865065</v>
      </c>
      <c r="W48" s="993">
        <v>4.2214825500000002</v>
      </c>
      <c r="X48" s="992">
        <v>0.26338699999999998</v>
      </c>
      <c r="Y48" s="995">
        <v>0.9</v>
      </c>
      <c r="Z48" s="992">
        <v>0.80577310999999996</v>
      </c>
      <c r="AA48" s="993" t="s">
        <v>390</v>
      </c>
      <c r="AB48" s="994" t="s">
        <v>390</v>
      </c>
      <c r="AC48" s="995" t="s">
        <v>390</v>
      </c>
      <c r="AD48" s="994" t="s">
        <v>390</v>
      </c>
      <c r="AE48" s="996">
        <v>121.44780972988923</v>
      </c>
      <c r="AF48" s="997">
        <v>5.6037946667646076E-2</v>
      </c>
    </row>
    <row r="49" spans="1:32" ht="14" thickBot="1">
      <c r="A49" s="985">
        <v>1362</v>
      </c>
      <c r="B49" s="986" t="s">
        <v>1276</v>
      </c>
      <c r="C49" s="987">
        <v>958.32</v>
      </c>
      <c r="D49" s="988">
        <v>2690.5770515068034</v>
      </c>
      <c r="E49" s="989">
        <v>2253.9794640621089</v>
      </c>
      <c r="F49" s="988">
        <v>371.85934760831452</v>
      </c>
      <c r="G49" s="989">
        <v>2625.8388116704232</v>
      </c>
      <c r="H49" s="988">
        <v>69.346356123215628</v>
      </c>
      <c r="I49" s="987">
        <v>119.32872109525002</v>
      </c>
      <c r="J49" s="988">
        <v>159.57608105851904</v>
      </c>
      <c r="K49" s="987">
        <v>547.83370899073384</v>
      </c>
      <c r="L49" s="988">
        <v>1717.645692461808</v>
      </c>
      <c r="M49" s="990">
        <v>0.83773087367998367</v>
      </c>
      <c r="N49" s="991">
        <v>2.6893032272144568E-2</v>
      </c>
      <c r="O49" s="990">
        <v>4.9329298130824345E-2</v>
      </c>
      <c r="P49" s="991">
        <v>0.63839305085125708</v>
      </c>
      <c r="Q49" s="988"/>
      <c r="R49" s="992">
        <v>2.4711233500000001</v>
      </c>
      <c r="S49" s="993">
        <v>2.3181984</v>
      </c>
      <c r="T49" s="994">
        <v>2.5784338</v>
      </c>
      <c r="U49" s="995">
        <v>2.1600336000000002</v>
      </c>
      <c r="V49" s="994">
        <v>0.35636024999999999</v>
      </c>
      <c r="W49" s="993">
        <v>2.51639385</v>
      </c>
      <c r="X49" s="992">
        <v>6.6456000000000001E-2</v>
      </c>
      <c r="Y49" s="995">
        <v>0.52500000000000002</v>
      </c>
      <c r="Z49" s="992">
        <v>1.6460542199999999</v>
      </c>
      <c r="AA49" s="993" t="s">
        <v>390</v>
      </c>
      <c r="AB49" s="994" t="s">
        <v>390</v>
      </c>
      <c r="AC49" s="995" t="s">
        <v>390</v>
      </c>
      <c r="AD49" s="994" t="s">
        <v>390</v>
      </c>
      <c r="AE49" s="996">
        <v>112.2322397529009</v>
      </c>
      <c r="AF49" s="997">
        <v>4.5523929391414211E-2</v>
      </c>
    </row>
    <row r="50" spans="1:32" ht="14" thickBot="1">
      <c r="A50" s="985">
        <v>1384</v>
      </c>
      <c r="B50" s="986" t="s">
        <v>1277</v>
      </c>
      <c r="C50" s="987">
        <v>630352.41</v>
      </c>
      <c r="D50" s="988">
        <v>3016.2945529152498</v>
      </c>
      <c r="E50" s="989">
        <v>2750.5724029991416</v>
      </c>
      <c r="F50" s="988">
        <v>497.87528208228792</v>
      </c>
      <c r="G50" s="989">
        <v>3248.4476850814294</v>
      </c>
      <c r="H50" s="988">
        <v>102.2535283873984</v>
      </c>
      <c r="I50" s="987">
        <v>150.91082091682645</v>
      </c>
      <c r="J50" s="988">
        <v>23.095232332022018</v>
      </c>
      <c r="K50" s="987">
        <v>478.3533452342952</v>
      </c>
      <c r="L50" s="988">
        <v>565.14224963461311</v>
      </c>
      <c r="M50" s="990">
        <v>0.91190444260183812</v>
      </c>
      <c r="N50" s="991">
        <v>3.3396483241471375E-2</v>
      </c>
      <c r="O50" s="990">
        <v>4.9662790805087405E-2</v>
      </c>
      <c r="P50" s="991">
        <v>0.18736308398276386</v>
      </c>
      <c r="Q50" s="988"/>
      <c r="R50" s="992">
        <v>1930.0163308800002</v>
      </c>
      <c r="S50" s="993">
        <v>1915.4581955199999</v>
      </c>
      <c r="T50" s="994">
        <v>1901.3285407000003</v>
      </c>
      <c r="U50" s="995">
        <v>1733.8299431100002</v>
      </c>
      <c r="V50" s="994">
        <v>313.83688394000001</v>
      </c>
      <c r="W50" s="993">
        <v>2047.6668270500002</v>
      </c>
      <c r="X50" s="992">
        <v>64.45575805</v>
      </c>
      <c r="Y50" s="995">
        <v>301.531184</v>
      </c>
      <c r="Z50" s="992">
        <v>356.23877905000001</v>
      </c>
      <c r="AA50" s="993" t="s">
        <v>390</v>
      </c>
      <c r="AB50" s="994" t="s">
        <v>390</v>
      </c>
      <c r="AC50" s="995" t="s">
        <v>390</v>
      </c>
      <c r="AD50" s="994" t="s">
        <v>390</v>
      </c>
      <c r="AE50" s="996">
        <v>149.31507933792147</v>
      </c>
      <c r="AF50" s="997">
        <v>5.1787473013108258E-2</v>
      </c>
    </row>
    <row r="51" spans="1:32" ht="14" thickBot="1">
      <c r="A51" s="985">
        <v>1386</v>
      </c>
      <c r="B51" s="986" t="s">
        <v>1348</v>
      </c>
      <c r="C51" s="987">
        <v>11153.99</v>
      </c>
      <c r="D51" s="988">
        <v>3634.3429929558838</v>
      </c>
      <c r="E51" s="989">
        <v>4452.071776108819</v>
      </c>
      <c r="F51" s="988">
        <v>615.40197095389181</v>
      </c>
      <c r="G51" s="989">
        <v>5067.4737470627106</v>
      </c>
      <c r="H51" s="988">
        <v>-1101.0258212532017</v>
      </c>
      <c r="I51" s="987">
        <v>180.01797831986582</v>
      </c>
      <c r="J51" s="988">
        <v>83.354230190272716</v>
      </c>
      <c r="K51" s="987">
        <v>1120.6752023267011</v>
      </c>
      <c r="L51" s="988">
        <v>910.17301342389578</v>
      </c>
      <c r="M51" s="990">
        <v>1.2250004429240346</v>
      </c>
      <c r="N51" s="991">
        <v>-0.30560581389315689</v>
      </c>
      <c r="O51" s="990">
        <v>5.115003854637469E-2</v>
      </c>
      <c r="P51" s="991">
        <v>0.25043674061254023</v>
      </c>
      <c r="Q51" s="988"/>
      <c r="R51" s="992">
        <v>40.185200810000005</v>
      </c>
      <c r="S51" s="993">
        <v>39.255468560000004</v>
      </c>
      <c r="T51" s="994">
        <v>40.537425399999997</v>
      </c>
      <c r="U51" s="995">
        <v>49.658364070000005</v>
      </c>
      <c r="V51" s="994">
        <v>6.8641874299999994</v>
      </c>
      <c r="W51" s="993">
        <v>56.522551500000006</v>
      </c>
      <c r="X51" s="992">
        <v>-12.280830999999999</v>
      </c>
      <c r="Y51" s="995">
        <v>12.5</v>
      </c>
      <c r="Z51" s="992">
        <v>10.152060689999999</v>
      </c>
      <c r="AA51" s="993" t="s">
        <v>390</v>
      </c>
      <c r="AB51" s="994" t="s">
        <v>390</v>
      </c>
      <c r="AC51" s="995" t="s">
        <v>390</v>
      </c>
      <c r="AD51" s="994" t="s">
        <v>390</v>
      </c>
      <c r="AE51" s="996">
        <v>178.88397246187239</v>
      </c>
      <c r="AF51" s="997">
        <v>3.8015619349373302E-2</v>
      </c>
    </row>
    <row r="52" spans="1:32" ht="14" thickBot="1">
      <c r="A52" s="985">
        <v>1401</v>
      </c>
      <c r="B52" s="986" t="s">
        <v>1279</v>
      </c>
      <c r="C52" s="987">
        <v>9857.92</v>
      </c>
      <c r="D52" s="988">
        <v>2672.9271793644093</v>
      </c>
      <c r="E52" s="989">
        <v>2597.867408134779</v>
      </c>
      <c r="F52" s="988">
        <v>451.34412736155298</v>
      </c>
      <c r="G52" s="989">
        <v>3049.2115354963316</v>
      </c>
      <c r="H52" s="988">
        <v>28.398079919496201</v>
      </c>
      <c r="I52" s="987">
        <v>194.63495950464193</v>
      </c>
      <c r="J52" s="988">
        <v>-139.1887122232682</v>
      </c>
      <c r="K52" s="987">
        <v>528.07985863143551</v>
      </c>
      <c r="L52" s="988">
        <v>855.38874224988626</v>
      </c>
      <c r="M52" s="990">
        <v>0.97191851247983541</v>
      </c>
      <c r="N52" s="991">
        <v>1.0586976355472321E-2</v>
      </c>
      <c r="O52" s="990">
        <v>6.898160983200835E-2</v>
      </c>
      <c r="P52" s="991">
        <v>0.32001947110780909</v>
      </c>
      <c r="Q52" s="988"/>
      <c r="R52" s="992">
        <v>26.442488450000003</v>
      </c>
      <c r="S52" s="993">
        <v>27.814599640000001</v>
      </c>
      <c r="T52" s="994">
        <v>26.349502299999997</v>
      </c>
      <c r="U52" s="995">
        <v>25.60956908</v>
      </c>
      <c r="V52" s="994">
        <v>4.4493143000000002</v>
      </c>
      <c r="W52" s="993">
        <v>30.058883380000001</v>
      </c>
      <c r="X52" s="992">
        <v>0.27994599999999997</v>
      </c>
      <c r="Y52" s="995">
        <v>5.2057690000000001</v>
      </c>
      <c r="Z52" s="992">
        <v>8.4323537899999987</v>
      </c>
      <c r="AA52" s="993" t="s">
        <v>390</v>
      </c>
      <c r="AB52" s="994" t="s">
        <v>390</v>
      </c>
      <c r="AC52" s="995" t="s">
        <v>390</v>
      </c>
      <c r="AD52" s="994" t="s">
        <v>390</v>
      </c>
      <c r="AE52" s="996">
        <v>191.03811047360904</v>
      </c>
      <c r="AF52" s="997">
        <v>7.3599099191419687E-2</v>
      </c>
    </row>
    <row r="53" spans="1:32" ht="14" thickBot="1">
      <c r="A53" s="985">
        <v>1423</v>
      </c>
      <c r="B53" s="986" t="s">
        <v>1349</v>
      </c>
      <c r="C53" s="987">
        <v>3490.17</v>
      </c>
      <c r="D53" s="988">
        <v>3225.5841406006011</v>
      </c>
      <c r="E53" s="989">
        <v>3238.9138637946003</v>
      </c>
      <c r="F53" s="988">
        <v>506.52718922000935</v>
      </c>
      <c r="G53" s="989">
        <v>3745.4410530146097</v>
      </c>
      <c r="H53" s="988">
        <v>-28.049350031660346</v>
      </c>
      <c r="I53" s="987">
        <v>163.34648455519357</v>
      </c>
      <c r="J53" s="988">
        <v>-230.69563946741849</v>
      </c>
      <c r="K53" s="987">
        <v>795.09021050550541</v>
      </c>
      <c r="L53" s="988">
        <v>220.46977654383596</v>
      </c>
      <c r="M53" s="990">
        <v>1.0041324989871501</v>
      </c>
      <c r="N53" s="991">
        <v>-8.8142919435172939E-3</v>
      </c>
      <c r="O53" s="990">
        <v>4.7860740973563326E-2</v>
      </c>
      <c r="P53" s="991">
        <v>6.8350341188986835E-2</v>
      </c>
      <c r="Q53" s="988"/>
      <c r="R53" s="992">
        <v>11.106621000000001</v>
      </c>
      <c r="S53" s="993">
        <v>11.911788</v>
      </c>
      <c r="T53" s="994">
        <v>11.257837</v>
      </c>
      <c r="U53" s="995">
        <v>11.304360000000001</v>
      </c>
      <c r="V53" s="994">
        <v>1.7678659999999999</v>
      </c>
      <c r="W53" s="993">
        <v>13.072226000000001</v>
      </c>
      <c r="X53" s="992">
        <v>-9.7896999999999998E-2</v>
      </c>
      <c r="Y53" s="995">
        <v>2.7749999999999999</v>
      </c>
      <c r="Z53" s="992">
        <v>0.76947699999999997</v>
      </c>
      <c r="AA53" s="993" t="s">
        <v>390</v>
      </c>
      <c r="AB53" s="994" t="s">
        <v>390</v>
      </c>
      <c r="AC53" s="995" t="s">
        <v>390</v>
      </c>
      <c r="AD53" s="994" t="s">
        <v>390</v>
      </c>
      <c r="AE53" s="996">
        <v>161.84369242758947</v>
      </c>
      <c r="AF53" s="997">
        <v>5.0204328491667734E-2</v>
      </c>
    </row>
    <row r="54" spans="1:32" ht="14" thickBot="1">
      <c r="A54" s="985">
        <v>1479</v>
      </c>
      <c r="B54" s="986" t="s">
        <v>1350</v>
      </c>
      <c r="C54" s="987">
        <v>432537.9</v>
      </c>
      <c r="D54" s="988">
        <v>3310.89676268831</v>
      </c>
      <c r="E54" s="989">
        <v>3080.6281410946876</v>
      </c>
      <c r="F54" s="988">
        <v>521.61341144903145</v>
      </c>
      <c r="G54" s="989">
        <v>3602.2415525437191</v>
      </c>
      <c r="H54" s="988">
        <v>207.02292215318008</v>
      </c>
      <c r="I54" s="987">
        <v>142.1376910092734</v>
      </c>
      <c r="J54" s="988">
        <v>-41.390242103639928</v>
      </c>
      <c r="K54" s="987">
        <v>725.42313633094352</v>
      </c>
      <c r="L54" s="988">
        <v>409.89056861837997</v>
      </c>
      <c r="M54" s="990">
        <v>0.93045128311199476</v>
      </c>
      <c r="N54" s="991">
        <v>6.2118126525938691E-2</v>
      </c>
      <c r="O54" s="990">
        <v>4.2125856668341656E-2</v>
      </c>
      <c r="P54" s="991">
        <v>0.12380046796915709</v>
      </c>
      <c r="Q54" s="988"/>
      <c r="R54" s="992">
        <v>1441.5318846199998</v>
      </c>
      <c r="S54" s="993">
        <v>1459.4347330200001</v>
      </c>
      <c r="T54" s="994">
        <v>1432.0883328499999</v>
      </c>
      <c r="U54" s="995">
        <v>1332.48842683</v>
      </c>
      <c r="V54" s="994">
        <v>225.6175696</v>
      </c>
      <c r="W54" s="993">
        <v>1558.10599643</v>
      </c>
      <c r="X54" s="992">
        <v>89.545259999999999</v>
      </c>
      <c r="Y54" s="995">
        <v>313.77300000000002</v>
      </c>
      <c r="Z54" s="992">
        <v>177.29320577999999</v>
      </c>
      <c r="AA54" s="993" t="s">
        <v>390</v>
      </c>
      <c r="AB54" s="994" t="s">
        <v>390</v>
      </c>
      <c r="AC54" s="995" t="s">
        <v>390</v>
      </c>
      <c r="AD54" s="994" t="s">
        <v>390</v>
      </c>
      <c r="AE54" s="996">
        <v>142.1376910092734</v>
      </c>
      <c r="AF54" s="997">
        <v>4.5793643141361653E-2</v>
      </c>
    </row>
    <row r="55" spans="1:32" ht="14" thickBot="1">
      <c r="A55" s="985">
        <v>1507</v>
      </c>
      <c r="B55" s="986" t="s">
        <v>1351</v>
      </c>
      <c r="C55" s="987">
        <v>11248.46</v>
      </c>
      <c r="D55" s="988">
        <v>2439.8059378794965</v>
      </c>
      <c r="E55" s="989">
        <v>1839.0638042896539</v>
      </c>
      <c r="F55" s="988">
        <v>364.54823682530764</v>
      </c>
      <c r="G55" s="989">
        <v>2203.6120411149614</v>
      </c>
      <c r="H55" s="988">
        <v>328.49687868383762</v>
      </c>
      <c r="I55" s="987">
        <v>118.76682585882868</v>
      </c>
      <c r="J55" s="988">
        <v>155.20076526031116</v>
      </c>
      <c r="K55" s="987">
        <v>515.62613904481145</v>
      </c>
      <c r="L55" s="988">
        <v>972.46960117207141</v>
      </c>
      <c r="M55" s="990">
        <v>0.75377462434083409</v>
      </c>
      <c r="N55" s="991">
        <v>0.13272747374024987</v>
      </c>
      <c r="O55" s="990">
        <v>5.1197629513350613E-2</v>
      </c>
      <c r="P55" s="991">
        <v>0.39858481614208713</v>
      </c>
      <c r="Q55" s="988"/>
      <c r="R55" s="992">
        <v>27.83963181</v>
      </c>
      <c r="S55" s="993">
        <v>26.093862209999998</v>
      </c>
      <c r="T55" s="998">
        <v>27.444059500000002</v>
      </c>
      <c r="U55" s="999">
        <v>20.686635640000002</v>
      </c>
      <c r="V55" s="998">
        <v>4.1006062600000002</v>
      </c>
      <c r="W55" s="993">
        <v>24.787241900000001</v>
      </c>
      <c r="X55" s="992">
        <v>3.695084</v>
      </c>
      <c r="Y55" s="999">
        <v>5.8</v>
      </c>
      <c r="Z55" s="992">
        <v>10.938785409999999</v>
      </c>
      <c r="AA55" s="993" t="s">
        <v>390</v>
      </c>
      <c r="AB55" s="998" t="s">
        <v>390</v>
      </c>
      <c r="AC55" s="999" t="s">
        <v>390</v>
      </c>
      <c r="AD55" s="998" t="s">
        <v>390</v>
      </c>
      <c r="AE55" s="1000">
        <v>118.76682585882868</v>
      </c>
      <c r="AF55" s="1001">
        <v>5.6252695616280379E-2</v>
      </c>
    </row>
    <row r="56" spans="1:32" ht="14" thickBot="1">
      <c r="A56" s="985">
        <v>1509</v>
      </c>
      <c r="B56" s="986" t="s">
        <v>1352</v>
      </c>
      <c r="C56" s="987">
        <v>331842.21000000002</v>
      </c>
      <c r="D56" s="988">
        <v>3237.023988901231</v>
      </c>
      <c r="E56" s="989">
        <v>2933.1429642118164</v>
      </c>
      <c r="F56" s="988">
        <v>518.77519038340529</v>
      </c>
      <c r="G56" s="989">
        <v>3451.9181545952215</v>
      </c>
      <c r="H56" s="988">
        <v>178.54942618662039</v>
      </c>
      <c r="I56" s="987">
        <v>189.05469454895447</v>
      </c>
      <c r="J56" s="988">
        <v>-52.511361017032741</v>
      </c>
      <c r="K56" s="987">
        <v>634.42677771462525</v>
      </c>
      <c r="L56" s="988">
        <v>419.18924907111716</v>
      </c>
      <c r="M56" s="990">
        <v>0.90612333250191224</v>
      </c>
      <c r="N56" s="991">
        <v>5.5667115266367653E-2</v>
      </c>
      <c r="O56" s="990">
        <v>5.7992944978669719E-2</v>
      </c>
      <c r="P56" s="991">
        <v>0.12949834493299692</v>
      </c>
      <c r="Q56" s="988"/>
      <c r="R56" s="992">
        <v>1064.36692285</v>
      </c>
      <c r="S56" s="993">
        <v>1081.7924089400001</v>
      </c>
      <c r="T56" s="994">
        <v>1074.1811943</v>
      </c>
      <c r="U56" s="995">
        <v>973.34064349000016</v>
      </c>
      <c r="V56" s="994">
        <v>172.15150566999998</v>
      </c>
      <c r="W56" s="993">
        <v>1145.4921491600001</v>
      </c>
      <c r="X56" s="992">
        <v>59.250236179999995</v>
      </c>
      <c r="Y56" s="995">
        <v>210.529584</v>
      </c>
      <c r="Z56" s="992">
        <v>139.10468681999998</v>
      </c>
      <c r="AA56" s="993" t="s">
        <v>390</v>
      </c>
      <c r="AB56" s="994" t="s">
        <v>390</v>
      </c>
      <c r="AC56" s="995" t="s">
        <v>390</v>
      </c>
      <c r="AD56" s="994" t="s">
        <v>390</v>
      </c>
      <c r="AE56" s="996">
        <v>181.59138305521773</v>
      </c>
      <c r="AF56" s="997">
        <v>6.1813394446267739E-2</v>
      </c>
    </row>
    <row r="57" spans="1:32" ht="14" thickBot="1">
      <c r="A57" s="985">
        <v>1529</v>
      </c>
      <c r="B57" s="986" t="s">
        <v>1353</v>
      </c>
      <c r="C57" s="987">
        <v>165053.69</v>
      </c>
      <c r="D57" s="988">
        <v>3747.275055771247</v>
      </c>
      <c r="E57" s="989">
        <v>3657.8787390939278</v>
      </c>
      <c r="F57" s="988">
        <v>555.11924538009418</v>
      </c>
      <c r="G57" s="989">
        <v>4212.9979844740228</v>
      </c>
      <c r="H57" s="988">
        <v>-182.91678907633033</v>
      </c>
      <c r="I57" s="987">
        <v>151.34534738363013</v>
      </c>
      <c r="J57" s="988">
        <v>150.60317124688336</v>
      </c>
      <c r="K57" s="987">
        <v>984.72321339801613</v>
      </c>
      <c r="L57" s="988">
        <v>1010.5654678789671</v>
      </c>
      <c r="M57" s="990">
        <v>0.976143646957637</v>
      </c>
      <c r="N57" s="991">
        <v>-4.932716782272472E-2</v>
      </c>
      <c r="O57" s="990">
        <v>4.2541022755377168E-2</v>
      </c>
      <c r="P57" s="991">
        <v>0.26968008828777507</v>
      </c>
      <c r="Q57" s="988"/>
      <c r="R57" s="992">
        <v>612.05806724000001</v>
      </c>
      <c r="S57" s="993">
        <v>587.20045809999999</v>
      </c>
      <c r="T57" s="994">
        <v>618.50157540000009</v>
      </c>
      <c r="U57" s="995">
        <v>603.74638346000006</v>
      </c>
      <c r="V57" s="994">
        <v>91.624479839999992</v>
      </c>
      <c r="W57" s="993">
        <v>695.37086330000011</v>
      </c>
      <c r="X57" s="992">
        <v>-30.191091000000011</v>
      </c>
      <c r="Y57" s="995">
        <v>162.53219999999999</v>
      </c>
      <c r="Z57" s="992">
        <v>166.79755946</v>
      </c>
      <c r="AA57" s="993" t="s">
        <v>390</v>
      </c>
      <c r="AB57" s="994" t="s">
        <v>390</v>
      </c>
      <c r="AC57" s="995" t="s">
        <v>390</v>
      </c>
      <c r="AD57" s="994" t="s">
        <v>390</v>
      </c>
      <c r="AE57" s="996">
        <v>151.34534738363013</v>
      </c>
      <c r="AF57" s="997">
        <v>3.850838670433903E-2</v>
      </c>
    </row>
    <row r="58" spans="1:32" ht="14" thickBot="1">
      <c r="A58" s="985">
        <v>1535</v>
      </c>
      <c r="B58" s="986" t="s">
        <v>1289</v>
      </c>
      <c r="C58" s="987">
        <v>305410.28000000003</v>
      </c>
      <c r="D58" s="988">
        <v>3051.5983309402682</v>
      </c>
      <c r="E58" s="989">
        <v>2895.2001640547264</v>
      </c>
      <c r="F58" s="988">
        <v>480.87823605675607</v>
      </c>
      <c r="G58" s="989">
        <v>3376.078400111483</v>
      </c>
      <c r="H58" s="988">
        <v>184.28848239816944</v>
      </c>
      <c r="I58" s="987">
        <v>134.45878897724072</v>
      </c>
      <c r="J58" s="988">
        <v>-157.32755289049209</v>
      </c>
      <c r="K58" s="987">
        <v>693.95502993546904</v>
      </c>
      <c r="L58" s="988">
        <v>273.98469026648348</v>
      </c>
      <c r="M58" s="990">
        <v>0.94874877034116356</v>
      </c>
      <c r="N58" s="991">
        <v>6.0229365505316011E-2</v>
      </c>
      <c r="O58" s="990">
        <v>4.1794958333141501E-2</v>
      </c>
      <c r="P58" s="991">
        <v>8.9783995320924972E-2</v>
      </c>
      <c r="Q58" s="988"/>
      <c r="R58" s="992">
        <v>934.48762971000008</v>
      </c>
      <c r="S58" s="993">
        <v>982.53708169000004</v>
      </c>
      <c r="T58" s="994">
        <v>931.98950070000001</v>
      </c>
      <c r="U58" s="995">
        <v>884.22389276000001</v>
      </c>
      <c r="V58" s="994">
        <v>146.86515671999999</v>
      </c>
      <c r="W58" s="993">
        <v>1031.0890494800001</v>
      </c>
      <c r="X58" s="992">
        <v>56.283597010000001</v>
      </c>
      <c r="Y58" s="995">
        <v>211.941</v>
      </c>
      <c r="Z58" s="992">
        <v>83.677740970000002</v>
      </c>
      <c r="AA58" s="993" t="s">
        <v>390</v>
      </c>
      <c r="AB58" s="994" t="s">
        <v>390</v>
      </c>
      <c r="AC58" s="995" t="s">
        <v>390</v>
      </c>
      <c r="AD58" s="994" t="s">
        <v>390</v>
      </c>
      <c r="AE58" s="996">
        <v>134.45878897724072</v>
      </c>
      <c r="AF58" s="997">
        <v>4.6893707370205248E-2</v>
      </c>
    </row>
    <row r="59" spans="1:32" ht="14" thickBot="1">
      <c r="A59" s="985">
        <v>1542</v>
      </c>
      <c r="B59" s="986" t="s">
        <v>1354</v>
      </c>
      <c r="C59" s="987">
        <v>696289.5</v>
      </c>
      <c r="D59" s="988">
        <v>2647.509990025701</v>
      </c>
      <c r="E59" s="989">
        <v>1717.3302758694479</v>
      </c>
      <c r="F59" s="988">
        <v>367.78094249590151</v>
      </c>
      <c r="G59" s="989">
        <v>2085.1112183653495</v>
      </c>
      <c r="H59" s="988">
        <v>715.97159708713116</v>
      </c>
      <c r="I59" s="987">
        <v>122.9546670027338</v>
      </c>
      <c r="J59" s="988">
        <v>52.256150178912662</v>
      </c>
      <c r="K59" s="987">
        <v>583.78394044431229</v>
      </c>
      <c r="L59" s="988">
        <v>1187.1001311092584</v>
      </c>
      <c r="M59" s="990">
        <v>0.64865865750813534</v>
      </c>
      <c r="N59" s="991">
        <v>0.26945927955354543</v>
      </c>
      <c r="O59" s="990">
        <v>4.7202899742028188E-2</v>
      </c>
      <c r="P59" s="991">
        <v>0.44838362672155002</v>
      </c>
      <c r="Q59" s="988"/>
      <c r="R59" s="992">
        <v>1850.0884667099997</v>
      </c>
      <c r="S59" s="993">
        <v>1813.7030580299997</v>
      </c>
      <c r="T59" s="994">
        <v>1843.4334072000001</v>
      </c>
      <c r="U59" s="995">
        <v>1195.7590391199999</v>
      </c>
      <c r="V59" s="994">
        <v>256.08200856000002</v>
      </c>
      <c r="W59" s="993">
        <v>1451.84104768</v>
      </c>
      <c r="X59" s="992">
        <v>498.52350535000005</v>
      </c>
      <c r="Y59" s="995">
        <v>406.48262799999998</v>
      </c>
      <c r="Z59" s="992">
        <v>826.56535673999997</v>
      </c>
      <c r="AA59" s="993" t="s">
        <v>390</v>
      </c>
      <c r="AB59" s="994" t="s">
        <v>390</v>
      </c>
      <c r="AC59" s="995" t="s">
        <v>390</v>
      </c>
      <c r="AD59" s="994" t="s">
        <v>390</v>
      </c>
      <c r="AE59" s="996">
        <v>122.62742919432219</v>
      </c>
      <c r="AF59" s="997">
        <v>6.3656341210839323E-2</v>
      </c>
    </row>
    <row r="60" spans="1:32" ht="14" thickBot="1">
      <c r="A60" s="985">
        <v>1555</v>
      </c>
      <c r="B60" s="986" t="s">
        <v>1292</v>
      </c>
      <c r="C60" s="987">
        <v>443321.5</v>
      </c>
      <c r="D60" s="988">
        <v>3428.9882295128928</v>
      </c>
      <c r="E60" s="989">
        <v>3929.6184229503865</v>
      </c>
      <c r="F60" s="988">
        <v>542.12914846223339</v>
      </c>
      <c r="G60" s="989">
        <v>4471.7475714126203</v>
      </c>
      <c r="H60" s="988">
        <v>-668.15053860460182</v>
      </c>
      <c r="I60" s="987">
        <v>124.68763824899085</v>
      </c>
      <c r="J60" s="988">
        <v>182.82310363923247</v>
      </c>
      <c r="K60" s="987">
        <v>868.85131140718408</v>
      </c>
      <c r="L60" s="988">
        <v>1637.9272160948658</v>
      </c>
      <c r="M60" s="990">
        <v>1.145999391053206</v>
      </c>
      <c r="N60" s="991">
        <v>-0.18963403597198136</v>
      </c>
      <c r="O60" s="990">
        <v>3.7325536207002311E-2</v>
      </c>
      <c r="P60" s="991">
        <v>0.47767070239478265</v>
      </c>
      <c r="Q60" s="988"/>
      <c r="R60" s="992">
        <v>1561.9848909599998</v>
      </c>
      <c r="S60" s="993">
        <v>1480.93547842</v>
      </c>
      <c r="T60" s="994">
        <v>1520.1442053899998</v>
      </c>
      <c r="U60" s="995">
        <v>1742.08433369</v>
      </c>
      <c r="V60" s="994">
        <v>240.33750728999999</v>
      </c>
      <c r="W60" s="993">
        <v>1982.4218409800001</v>
      </c>
      <c r="X60" s="992">
        <v>-296.20549899999997</v>
      </c>
      <c r="Y60" s="995">
        <v>385.18046664999997</v>
      </c>
      <c r="Z60" s="992">
        <v>726.12835032999999</v>
      </c>
      <c r="AA60" s="993" t="s">
        <v>390</v>
      </c>
      <c r="AB60" s="994" t="s">
        <v>390</v>
      </c>
      <c r="AC60" s="995" t="s">
        <v>390</v>
      </c>
      <c r="AD60" s="994" t="s">
        <v>390</v>
      </c>
      <c r="AE60" s="996">
        <v>123.71206036702483</v>
      </c>
      <c r="AF60" s="997">
        <v>3.0432857002371163E-2</v>
      </c>
    </row>
    <row r="61" spans="1:32" ht="14" thickBot="1">
      <c r="A61" s="985">
        <v>1560</v>
      </c>
      <c r="B61" s="986" t="s">
        <v>1293</v>
      </c>
      <c r="C61" s="987">
        <v>116548</v>
      </c>
      <c r="D61" s="988">
        <v>2344.1040270961316</v>
      </c>
      <c r="E61" s="989">
        <v>1742.8402044651132</v>
      </c>
      <c r="F61" s="988">
        <v>368.25320709064079</v>
      </c>
      <c r="G61" s="989">
        <v>2111.0934115557538</v>
      </c>
      <c r="H61" s="988">
        <v>416.58829838349857</v>
      </c>
      <c r="I61" s="987">
        <v>135.90606496893983</v>
      </c>
      <c r="J61" s="988">
        <v>-18.496054501149718</v>
      </c>
      <c r="K61" s="987">
        <v>467.50703572776882</v>
      </c>
      <c r="L61" s="988">
        <v>1035.2126420015786</v>
      </c>
      <c r="M61" s="990">
        <v>0.74349951380960588</v>
      </c>
      <c r="N61" s="991">
        <v>0.17657160567018562</v>
      </c>
      <c r="O61" s="990">
        <v>5.7155920934729841E-2</v>
      </c>
      <c r="P61" s="991">
        <v>0.44162401925651595</v>
      </c>
      <c r="Q61" s="988"/>
      <c r="R61" s="992">
        <v>274.97361659999996</v>
      </c>
      <c r="S61" s="993">
        <v>277.12929475999999</v>
      </c>
      <c r="T61" s="994">
        <v>273.20063614999998</v>
      </c>
      <c r="U61" s="995">
        <v>203.12454015</v>
      </c>
      <c r="V61" s="994">
        <v>42.919174779999999</v>
      </c>
      <c r="W61" s="993">
        <v>246.04371492999999</v>
      </c>
      <c r="X61" s="992">
        <v>48.552532999999997</v>
      </c>
      <c r="Y61" s="995">
        <v>54.487009999999998</v>
      </c>
      <c r="Z61" s="992">
        <v>120.65196299999999</v>
      </c>
      <c r="AA61" s="993" t="s">
        <v>390</v>
      </c>
      <c r="AB61" s="994" t="s">
        <v>390</v>
      </c>
      <c r="AC61" s="995" t="s">
        <v>390</v>
      </c>
      <c r="AD61" s="994" t="s">
        <v>390</v>
      </c>
      <c r="AE61" s="996">
        <v>134.22109997597556</v>
      </c>
      <c r="AF61" s="997">
        <v>7.0508407762623029E-2</v>
      </c>
    </row>
    <row r="62" spans="1:32" ht="14" thickBot="1">
      <c r="A62" s="985">
        <v>1562</v>
      </c>
      <c r="B62" s="986" t="s">
        <v>1294</v>
      </c>
      <c r="C62" s="987">
        <v>564710.67000000004</v>
      </c>
      <c r="D62" s="988">
        <v>3768.6312166015914</v>
      </c>
      <c r="E62" s="989">
        <v>4861.9668477133609</v>
      </c>
      <c r="F62" s="988">
        <v>598.51249984350386</v>
      </c>
      <c r="G62" s="989">
        <v>5460.479347556864</v>
      </c>
      <c r="H62" s="988">
        <v>-1131.3244851562658</v>
      </c>
      <c r="I62" s="987">
        <v>231.17335686255052</v>
      </c>
      <c r="J62" s="988">
        <v>-64.802279315884022</v>
      </c>
      <c r="K62" s="987">
        <v>916.39903492526525</v>
      </c>
      <c r="L62" s="988">
        <v>1354.1679002452706</v>
      </c>
      <c r="M62" s="990">
        <v>1.2901147839288181</v>
      </c>
      <c r="N62" s="991">
        <v>-0.28820526229887827</v>
      </c>
      <c r="O62" s="990">
        <v>5.7935068789659941E-2</v>
      </c>
      <c r="P62" s="991">
        <v>0.35932619097349827</v>
      </c>
      <c r="Q62" s="988"/>
      <c r="R62" s="992">
        <v>2216.7222170199998</v>
      </c>
      <c r="S62" s="993">
        <v>2253.31675559</v>
      </c>
      <c r="T62" s="994">
        <v>2128.18625931</v>
      </c>
      <c r="U62" s="995">
        <v>2745.6045560900002</v>
      </c>
      <c r="V62" s="994">
        <v>337.98639479000002</v>
      </c>
      <c r="W62" s="993">
        <v>3083.59095088</v>
      </c>
      <c r="X62" s="992">
        <v>-638.87100799999996</v>
      </c>
      <c r="Y62" s="995">
        <v>517.50031300000001</v>
      </c>
      <c r="Z62" s="992">
        <v>764.71306224</v>
      </c>
      <c r="AA62" s="993" t="s">
        <v>390</v>
      </c>
      <c r="AB62" s="994" t="s">
        <v>390</v>
      </c>
      <c r="AC62" s="995" t="s">
        <v>390</v>
      </c>
      <c r="AD62" s="994" t="s">
        <v>390</v>
      </c>
      <c r="AE62" s="996">
        <v>211.71641164492249</v>
      </c>
      <c r="AF62" s="997">
        <v>4.7178662611096087E-2</v>
      </c>
    </row>
    <row r="63" spans="1:32" ht="14" thickBot="1">
      <c r="A63" s="985">
        <v>1565</v>
      </c>
      <c r="B63" s="986" t="s">
        <v>1295</v>
      </c>
      <c r="C63" s="987">
        <v>207406.83</v>
      </c>
      <c r="D63" s="988">
        <v>3002.6949375292993</v>
      </c>
      <c r="E63" s="989">
        <v>2395.5519381401273</v>
      </c>
      <c r="F63" s="988">
        <v>485.15183405483793</v>
      </c>
      <c r="G63" s="989">
        <v>2880.703772194965</v>
      </c>
      <c r="H63" s="988">
        <v>552.23530970508534</v>
      </c>
      <c r="I63" s="987">
        <v>154.56306863182854</v>
      </c>
      <c r="J63" s="988">
        <v>-31.18154595005382</v>
      </c>
      <c r="K63" s="987">
        <v>466.26823716461018</v>
      </c>
      <c r="L63" s="988">
        <v>386.55224473562413</v>
      </c>
      <c r="M63" s="990">
        <v>0.79780063841958382</v>
      </c>
      <c r="N63" s="991">
        <v>0.1766491512388508</v>
      </c>
      <c r="O63" s="990">
        <v>4.8953389369123322E-2</v>
      </c>
      <c r="P63" s="991">
        <v>0.12873510389093673</v>
      </c>
      <c r="Q63" s="988"/>
      <c r="R63" s="992">
        <v>648.38904798999999</v>
      </c>
      <c r="S63" s="993">
        <v>654.85631359000001</v>
      </c>
      <c r="T63" s="994">
        <v>622.77943845000004</v>
      </c>
      <c r="U63" s="995">
        <v>496.85383358999997</v>
      </c>
      <c r="V63" s="994">
        <v>100.62380397</v>
      </c>
      <c r="W63" s="993">
        <v>597.47763755999995</v>
      </c>
      <c r="X63" s="992">
        <v>114.537375</v>
      </c>
      <c r="Y63" s="995">
        <v>96.707217</v>
      </c>
      <c r="Z63" s="992">
        <v>80.173575709999994</v>
      </c>
      <c r="AA63" s="993" t="s">
        <v>390</v>
      </c>
      <c r="AB63" s="994" t="s">
        <v>390</v>
      </c>
      <c r="AC63" s="995" t="s">
        <v>390</v>
      </c>
      <c r="AD63" s="994" t="s">
        <v>390</v>
      </c>
      <c r="AE63" s="996">
        <v>154.56306863182854</v>
      </c>
      <c r="AF63" s="997">
        <v>6.3075133691986807E-2</v>
      </c>
    </row>
    <row r="64" spans="1:32" ht="14" thickBot="1">
      <c r="A64" s="985">
        <v>1566</v>
      </c>
      <c r="B64" s="986" t="s">
        <v>1296</v>
      </c>
      <c r="C64" s="987">
        <v>207630.58</v>
      </c>
      <c r="D64" s="988">
        <v>2586.7944507499806</v>
      </c>
      <c r="E64" s="989">
        <v>2021.4262873994765</v>
      </c>
      <c r="F64" s="988">
        <v>405.59708232766093</v>
      </c>
      <c r="G64" s="989">
        <v>2427.0233697271374</v>
      </c>
      <c r="H64" s="988">
        <v>466.03659249037395</v>
      </c>
      <c r="I64" s="987">
        <v>130.5458909280126</v>
      </c>
      <c r="J64" s="988">
        <v>-15.274415984389204</v>
      </c>
      <c r="K64" s="987">
        <v>406.72798775594612</v>
      </c>
      <c r="L64" s="988">
        <v>355.96383350660574</v>
      </c>
      <c r="M64" s="990">
        <v>0.78144063082144433</v>
      </c>
      <c r="N64" s="991">
        <v>0.17496267051116021</v>
      </c>
      <c r="O64" s="990">
        <v>4.8730994077738531E-2</v>
      </c>
      <c r="P64" s="991">
        <v>0.13760808610185565</v>
      </c>
      <c r="Q64" s="988"/>
      <c r="R64" s="992">
        <v>553.05196083999999</v>
      </c>
      <c r="S64" s="993">
        <v>556.22339669000007</v>
      </c>
      <c r="T64" s="994">
        <v>537.09763214999998</v>
      </c>
      <c r="U64" s="995">
        <v>419.70991248000001</v>
      </c>
      <c r="V64" s="994">
        <v>84.214357449999994</v>
      </c>
      <c r="W64" s="993">
        <v>503.92426993000004</v>
      </c>
      <c r="X64" s="992">
        <v>96.763447999999997</v>
      </c>
      <c r="Y64" s="995">
        <v>84.449168</v>
      </c>
      <c r="Z64" s="992">
        <v>73.908977209999989</v>
      </c>
      <c r="AA64" s="993" t="s">
        <v>390</v>
      </c>
      <c r="AB64" s="994" t="s">
        <v>390</v>
      </c>
      <c r="AC64" s="995" t="s">
        <v>390</v>
      </c>
      <c r="AD64" s="994" t="s">
        <v>390</v>
      </c>
      <c r="AE64" s="996">
        <v>130.5458909280126</v>
      </c>
      <c r="AF64" s="997">
        <v>6.1556245292022485E-2</v>
      </c>
    </row>
    <row r="65" spans="1:32" ht="14" thickBot="1">
      <c r="A65" s="985">
        <v>1568</v>
      </c>
      <c r="B65" s="986" t="s">
        <v>1355</v>
      </c>
      <c r="C65" s="987">
        <v>82228.67</v>
      </c>
      <c r="D65" s="988">
        <v>2682.8539373189424</v>
      </c>
      <c r="E65" s="989">
        <v>1641.8418206204719</v>
      </c>
      <c r="F65" s="988">
        <v>386.37080509754082</v>
      </c>
      <c r="G65" s="989">
        <v>2028.2126257180128</v>
      </c>
      <c r="H65" s="988">
        <v>811.6604099275836</v>
      </c>
      <c r="I65" s="987">
        <v>76.274797342581365</v>
      </c>
      <c r="J65" s="988">
        <v>85.642937919341279</v>
      </c>
      <c r="K65" s="987">
        <v>367.26849649884889</v>
      </c>
      <c r="L65" s="988">
        <v>726.13842276665787</v>
      </c>
      <c r="M65" s="990">
        <v>0.61197585070964189</v>
      </c>
      <c r="N65" s="991">
        <v>0.30350149768843893</v>
      </c>
      <c r="O65" s="990">
        <v>2.9464768250644206E-2</v>
      </c>
      <c r="P65" s="991">
        <v>0.27065894742384305</v>
      </c>
      <c r="Q65" s="988"/>
      <c r="R65" s="992">
        <v>219.90585387000002</v>
      </c>
      <c r="S65" s="993">
        <v>212.86354899</v>
      </c>
      <c r="T65" s="994">
        <v>220.60751106999999</v>
      </c>
      <c r="U65" s="995">
        <v>135.00646925999999</v>
      </c>
      <c r="V65" s="994">
        <v>31.77075743</v>
      </c>
      <c r="W65" s="993">
        <v>166.77722668999999</v>
      </c>
      <c r="X65" s="992">
        <v>66.741755999999995</v>
      </c>
      <c r="Y65" s="995">
        <v>30.2</v>
      </c>
      <c r="Z65" s="992">
        <v>59.709396740000003</v>
      </c>
      <c r="AA65" s="993" t="s">
        <v>390</v>
      </c>
      <c r="AB65" s="994" t="s">
        <v>390</v>
      </c>
      <c r="AC65" s="995" t="s">
        <v>390</v>
      </c>
      <c r="AD65" s="994" t="s">
        <v>390</v>
      </c>
      <c r="AE65" s="996">
        <v>75.678009993351466</v>
      </c>
      <c r="AF65" s="997">
        <v>4.0762644924769741E-2</v>
      </c>
    </row>
    <row r="66" spans="1:32" ht="14" thickBot="1">
      <c r="A66" s="985">
        <v>1569</v>
      </c>
      <c r="B66" s="986" t="s">
        <v>1298</v>
      </c>
      <c r="C66" s="987">
        <v>153612.44</v>
      </c>
      <c r="D66" s="988">
        <v>2841.3718328411419</v>
      </c>
      <c r="E66" s="989">
        <v>2132.4107692059315</v>
      </c>
      <c r="F66" s="988">
        <v>424.4279585038816</v>
      </c>
      <c r="G66" s="989">
        <v>2556.8387277098136</v>
      </c>
      <c r="H66" s="988">
        <v>415.73013878303078</v>
      </c>
      <c r="I66" s="987">
        <v>142.055674267006</v>
      </c>
      <c r="J66" s="988">
        <v>58.500914899861009</v>
      </c>
      <c r="K66" s="987">
        <v>603.26494390688663</v>
      </c>
      <c r="L66" s="988">
        <v>585.86767211040979</v>
      </c>
      <c r="M66" s="990">
        <v>0.75048634767160805</v>
      </c>
      <c r="N66" s="991">
        <v>0.14700932093988137</v>
      </c>
      <c r="O66" s="990">
        <v>5.1294452170677879E-2</v>
      </c>
      <c r="P66" s="991">
        <v>0.20619183499281385</v>
      </c>
      <c r="Q66" s="988"/>
      <c r="R66" s="992">
        <v>434.40321057</v>
      </c>
      <c r="S66" s="993">
        <v>425.41674228999995</v>
      </c>
      <c r="T66" s="994">
        <v>436.47006018999997</v>
      </c>
      <c r="U66" s="995">
        <v>327.56482134000004</v>
      </c>
      <c r="V66" s="994">
        <v>65.197414309999999</v>
      </c>
      <c r="W66" s="993">
        <v>392.76223565000004</v>
      </c>
      <c r="X66" s="992">
        <v>63.861320999999997</v>
      </c>
      <c r="Y66" s="995">
        <v>92.668999999999997</v>
      </c>
      <c r="Z66" s="992">
        <v>89.99656263</v>
      </c>
      <c r="AA66" s="993" t="s">
        <v>390</v>
      </c>
      <c r="AB66" s="994" t="s">
        <v>390</v>
      </c>
      <c r="AC66" s="995" t="s">
        <v>390</v>
      </c>
      <c r="AD66" s="994" t="s">
        <v>390</v>
      </c>
      <c r="AE66" s="996">
        <v>142.055674267006</v>
      </c>
      <c r="AF66" s="997">
        <v>5.8564162470899031E-2</v>
      </c>
    </row>
    <row r="67" spans="1:32" ht="14" thickBot="1">
      <c r="A67" s="985">
        <v>1570</v>
      </c>
      <c r="B67" s="986" t="s">
        <v>1356</v>
      </c>
      <c r="C67" s="987">
        <v>61201.5</v>
      </c>
      <c r="D67" s="988">
        <v>2910.6472584822268</v>
      </c>
      <c r="E67" s="989">
        <v>2491.9505079123878</v>
      </c>
      <c r="F67" s="988">
        <v>442.36884406427953</v>
      </c>
      <c r="G67" s="989">
        <v>2934.3193519766673</v>
      </c>
      <c r="H67" s="988">
        <v>252.02151908041466</v>
      </c>
      <c r="I67" s="987">
        <v>93.349579667165031</v>
      </c>
      <c r="J67" s="988">
        <v>-31.332252150682582</v>
      </c>
      <c r="K67" s="987">
        <v>581.68508941774303</v>
      </c>
      <c r="L67" s="988">
        <v>960.15001021216801</v>
      </c>
      <c r="M67" s="990">
        <v>0.85614995106340341</v>
      </c>
      <c r="N67" s="991">
        <v>8.6734303656724715E-2</v>
      </c>
      <c r="O67" s="990">
        <v>3.1783934167256091E-2</v>
      </c>
      <c r="P67" s="991">
        <v>0.3298750844555598</v>
      </c>
      <c r="Q67" s="988"/>
      <c r="R67" s="992">
        <v>177.83154241999998</v>
      </c>
      <c r="S67" s="993">
        <v>179.74912325</v>
      </c>
      <c r="T67" s="994">
        <v>178.13597819</v>
      </c>
      <c r="U67" s="995">
        <v>152.51110900999998</v>
      </c>
      <c r="V67" s="994">
        <v>27.073636810000004</v>
      </c>
      <c r="W67" s="993">
        <v>179.58474581999999</v>
      </c>
      <c r="X67" s="992">
        <v>15.424094999999999</v>
      </c>
      <c r="Y67" s="995">
        <v>35.6</v>
      </c>
      <c r="Z67" s="992">
        <v>58.762620850000005</v>
      </c>
      <c r="AA67" s="993" t="s">
        <v>390</v>
      </c>
      <c r="AB67" s="994" t="s">
        <v>390</v>
      </c>
      <c r="AC67" s="995" t="s">
        <v>390</v>
      </c>
      <c r="AD67" s="994" t="s">
        <v>390</v>
      </c>
      <c r="AE67" s="996">
        <v>92.619196261529538</v>
      </c>
      <c r="AF67" s="997">
        <v>3.5111967165475717E-2</v>
      </c>
    </row>
    <row r="68" spans="1:32" ht="14" thickBot="1">
      <c r="A68" s="985">
        <v>1574</v>
      </c>
      <c r="B68" s="986" t="s">
        <v>1300</v>
      </c>
      <c r="C68" s="987">
        <v>1737.17</v>
      </c>
      <c r="D68" s="988">
        <v>3620.5081252842269</v>
      </c>
      <c r="E68" s="989">
        <v>3676.2406730486941</v>
      </c>
      <c r="F68" s="988">
        <v>535.02866155874199</v>
      </c>
      <c r="G68" s="989">
        <v>4211.2693346074357</v>
      </c>
      <c r="H68" s="988">
        <v>389.10987410558562</v>
      </c>
      <c r="I68" s="987">
        <v>172.55001525469586</v>
      </c>
      <c r="J68" s="988">
        <v>-625.34041573363572</v>
      </c>
      <c r="K68" s="987">
        <v>812.04602888606178</v>
      </c>
      <c r="L68" s="988">
        <v>4938.2749184017675</v>
      </c>
      <c r="M68" s="990">
        <v>1.0153935706911559</v>
      </c>
      <c r="N68" s="991">
        <v>0.10607525375999505</v>
      </c>
      <c r="O68" s="990">
        <v>4.0187874125914999E-2</v>
      </c>
      <c r="P68" s="991">
        <v>1.3639728865445067</v>
      </c>
      <c r="Q68" s="988"/>
      <c r="R68" s="992">
        <v>6.3723627900000013</v>
      </c>
      <c r="S68" s="993">
        <v>7.4586854000000002</v>
      </c>
      <c r="T68" s="994">
        <v>6.2894381000000008</v>
      </c>
      <c r="U68" s="995">
        <v>6.3862550100000002</v>
      </c>
      <c r="V68" s="994">
        <v>0.92943573999999995</v>
      </c>
      <c r="W68" s="993">
        <v>7.3156907499999999</v>
      </c>
      <c r="X68" s="992">
        <v>0.67595000000000016</v>
      </c>
      <c r="Y68" s="995">
        <v>1.4106620000000001</v>
      </c>
      <c r="Z68" s="992">
        <v>8.5786230399999983</v>
      </c>
      <c r="AA68" s="993" t="s">
        <v>390</v>
      </c>
      <c r="AB68" s="994" t="s">
        <v>390</v>
      </c>
      <c r="AC68" s="995" t="s">
        <v>390</v>
      </c>
      <c r="AD68" s="994" t="s">
        <v>390</v>
      </c>
      <c r="AE68" s="996">
        <v>172.55001525469586</v>
      </c>
      <c r="AF68" s="997">
        <v>5.3397941647012663E-2</v>
      </c>
    </row>
    <row r="69" spans="1:32" ht="14" thickBot="1">
      <c r="A69" s="985">
        <v>1575</v>
      </c>
      <c r="B69" s="986" t="s">
        <v>1301</v>
      </c>
      <c r="C69" s="987">
        <v>28247.97</v>
      </c>
      <c r="D69" s="988">
        <v>2673.948239466411</v>
      </c>
      <c r="E69" s="989">
        <v>1227.6872115058181</v>
      </c>
      <c r="F69" s="988">
        <v>343.03430299593208</v>
      </c>
      <c r="G69" s="989">
        <v>1570.7215145017501</v>
      </c>
      <c r="H69" s="988">
        <v>1203.0055965083509</v>
      </c>
      <c r="I69" s="987">
        <v>153.10217689979137</v>
      </c>
      <c r="J69" s="988">
        <v>104.59953157695934</v>
      </c>
      <c r="K69" s="987">
        <v>394.23671860314204</v>
      </c>
      <c r="L69" s="988">
        <v>849.47948118041757</v>
      </c>
      <c r="M69" s="990">
        <v>0.4591290113195326</v>
      </c>
      <c r="N69" s="991">
        <v>0.47776486343189234</v>
      </c>
      <c r="O69" s="990">
        <v>6.3438712042826875E-2</v>
      </c>
      <c r="P69" s="991">
        <v>0.31768733165527996</v>
      </c>
      <c r="Q69" s="988"/>
      <c r="R69" s="992">
        <v>71.128014220000011</v>
      </c>
      <c r="S69" s="993">
        <v>68.173289790000013</v>
      </c>
      <c r="T69" s="994">
        <v>75.533609649999988</v>
      </c>
      <c r="U69" s="995">
        <v>34.679671520000007</v>
      </c>
      <c r="V69" s="994">
        <v>9.6900227000000001</v>
      </c>
      <c r="W69" s="993">
        <v>44.369694220000007</v>
      </c>
      <c r="X69" s="992">
        <v>33.982466000000002</v>
      </c>
      <c r="Y69" s="995">
        <v>11.136386999999999</v>
      </c>
      <c r="Z69" s="992">
        <v>23.996070899999999</v>
      </c>
      <c r="AA69" s="993" t="s">
        <v>390</v>
      </c>
      <c r="AB69" s="994" t="s">
        <v>390</v>
      </c>
      <c r="AC69" s="995" t="s">
        <v>390</v>
      </c>
      <c r="AD69" s="994" t="s">
        <v>390</v>
      </c>
      <c r="AE69" s="996">
        <v>109.31638450479802</v>
      </c>
      <c r="AF69" s="997">
        <v>0.10408439624260502</v>
      </c>
    </row>
    <row r="70" spans="1:32" ht="14" thickBot="1">
      <c r="A70" s="985">
        <v>1577</v>
      </c>
      <c r="B70" s="986" t="s">
        <v>1302</v>
      </c>
      <c r="C70" s="987">
        <v>62599.89</v>
      </c>
      <c r="D70" s="988">
        <v>2021.808766756619</v>
      </c>
      <c r="E70" s="989">
        <v>871.96230025324326</v>
      </c>
      <c r="F70" s="988">
        <v>252.00554058481572</v>
      </c>
      <c r="G70" s="989">
        <v>1123.9678408380591</v>
      </c>
      <c r="H70" s="988">
        <v>978.26056882847558</v>
      </c>
      <c r="I70" s="987">
        <v>102.14738332607294</v>
      </c>
      <c r="J70" s="988">
        <v>13.470775907114213</v>
      </c>
      <c r="K70" s="987">
        <v>343.4510827415192</v>
      </c>
      <c r="L70" s="988">
        <v>426.41999147282849</v>
      </c>
      <c r="M70" s="990">
        <v>0.43127832591805565</v>
      </c>
      <c r="N70" s="991">
        <v>0.47651247175059991</v>
      </c>
      <c r="O70" s="990">
        <v>5.0084811463473808E-2</v>
      </c>
      <c r="P70" s="991">
        <v>0.21091015059593909</v>
      </c>
      <c r="Q70" s="988"/>
      <c r="R70" s="992">
        <v>128.51500775</v>
      </c>
      <c r="S70" s="993">
        <v>127.67173866</v>
      </c>
      <c r="T70" s="994">
        <v>126.5650064</v>
      </c>
      <c r="U70" s="995">
        <v>54.58474408</v>
      </c>
      <c r="V70" s="994">
        <v>15.77551912</v>
      </c>
      <c r="W70" s="993">
        <v>70.360263200000006</v>
      </c>
      <c r="X70" s="992">
        <v>61.239004000000001</v>
      </c>
      <c r="Y70" s="995">
        <v>21.5</v>
      </c>
      <c r="Z70" s="992">
        <v>26.693844559999999</v>
      </c>
      <c r="AA70" s="993" t="s">
        <v>390</v>
      </c>
      <c r="AB70" s="994" t="s">
        <v>390</v>
      </c>
      <c r="AC70" s="995" t="s">
        <v>390</v>
      </c>
      <c r="AD70" s="994" t="s">
        <v>390</v>
      </c>
      <c r="AE70" s="996">
        <v>102.14738332607294</v>
      </c>
      <c r="AF70" s="997">
        <v>9.7884681827706627E-2</v>
      </c>
    </row>
    <row r="71" spans="1:32" ht="14" thickBot="1">
      <c r="A71" s="985"/>
      <c r="B71" s="986"/>
      <c r="C71" s="987"/>
      <c r="D71" s="988"/>
      <c r="E71" s="989"/>
      <c r="F71" s="988"/>
      <c r="G71" s="989"/>
      <c r="H71" s="988"/>
      <c r="I71" s="987"/>
      <c r="J71" s="988"/>
      <c r="K71" s="987"/>
      <c r="L71" s="988"/>
      <c r="M71" s="990"/>
      <c r="N71" s="991"/>
      <c r="O71" s="990"/>
      <c r="P71" s="991"/>
      <c r="Q71" s="988"/>
      <c r="R71" s="992"/>
      <c r="S71" s="993"/>
      <c r="T71" s="994"/>
      <c r="U71" s="995"/>
      <c r="V71" s="994"/>
      <c r="W71" s="993"/>
      <c r="X71" s="992"/>
      <c r="Y71" s="995"/>
      <c r="Z71" s="992"/>
      <c r="AA71" s="993"/>
      <c r="AB71" s="994"/>
      <c r="AC71" s="995"/>
      <c r="AD71" s="994"/>
      <c r="AE71" s="996"/>
      <c r="AF71" s="997"/>
    </row>
    <row r="72" spans="1:32" ht="14" thickBot="1">
      <c r="A72" s="985"/>
      <c r="B72" s="986"/>
      <c r="C72" s="987"/>
      <c r="D72" s="988"/>
      <c r="E72" s="989"/>
      <c r="F72" s="988"/>
      <c r="G72" s="989"/>
      <c r="H72" s="988"/>
      <c r="I72" s="987"/>
      <c r="J72" s="988"/>
      <c r="K72" s="987"/>
      <c r="L72" s="988"/>
      <c r="M72" s="990"/>
      <c r="N72" s="991"/>
      <c r="O72" s="990"/>
      <c r="P72" s="991"/>
      <c r="Q72" s="988"/>
      <c r="R72" s="992"/>
      <c r="S72" s="993"/>
      <c r="T72" s="994"/>
      <c r="U72" s="995"/>
      <c r="V72" s="994"/>
      <c r="W72" s="993"/>
      <c r="X72" s="992"/>
      <c r="Y72" s="995"/>
      <c r="Z72" s="992" t="s">
        <v>390</v>
      </c>
      <c r="AA72" s="993" t="s">
        <v>390</v>
      </c>
      <c r="AB72" s="994" t="s">
        <v>390</v>
      </c>
      <c r="AC72" s="995" t="s">
        <v>390</v>
      </c>
      <c r="AD72" s="994" t="s">
        <v>390</v>
      </c>
      <c r="AE72" s="996" t="s">
        <v>390</v>
      </c>
      <c r="AF72" s="997" t="s">
        <v>390</v>
      </c>
    </row>
    <row r="73" spans="1:32" ht="14" thickBot="1">
      <c r="A73" s="985"/>
      <c r="B73" s="986"/>
      <c r="C73" s="987"/>
      <c r="D73" s="988"/>
      <c r="E73" s="989"/>
      <c r="F73" s="988"/>
      <c r="G73" s="989"/>
      <c r="H73" s="988"/>
      <c r="I73" s="987"/>
      <c r="J73" s="988"/>
      <c r="K73" s="987"/>
      <c r="L73" s="988"/>
      <c r="M73" s="990"/>
      <c r="N73" s="991"/>
      <c r="O73" s="990"/>
      <c r="P73" s="991"/>
      <c r="Q73" s="988"/>
      <c r="R73" s="992"/>
      <c r="S73" s="993"/>
      <c r="T73" s="994"/>
      <c r="U73" s="995"/>
      <c r="V73" s="994"/>
      <c r="W73" s="993"/>
      <c r="X73" s="992"/>
      <c r="Y73" s="995"/>
      <c r="Z73" s="992" t="s">
        <v>390</v>
      </c>
      <c r="AA73" s="993" t="s">
        <v>390</v>
      </c>
      <c r="AB73" s="994" t="s">
        <v>390</v>
      </c>
      <c r="AC73" s="995" t="s">
        <v>390</v>
      </c>
      <c r="AD73" s="994" t="s">
        <v>390</v>
      </c>
      <c r="AE73" s="996" t="s">
        <v>390</v>
      </c>
      <c r="AF73" s="997" t="s">
        <v>390</v>
      </c>
    </row>
    <row r="74" spans="1:32" ht="14" thickBot="1">
      <c r="A74" s="985"/>
      <c r="B74" s="986"/>
      <c r="C74" s="987"/>
      <c r="D74" s="988"/>
      <c r="E74" s="989"/>
      <c r="F74" s="988"/>
      <c r="G74" s="989"/>
      <c r="H74" s="988"/>
      <c r="I74" s="987"/>
      <c r="J74" s="988"/>
      <c r="K74" s="987"/>
      <c r="L74" s="988"/>
      <c r="M74" s="990"/>
      <c r="N74" s="991"/>
      <c r="O74" s="990"/>
      <c r="P74" s="991"/>
      <c r="Q74" s="988"/>
      <c r="R74" s="992"/>
      <c r="S74" s="993"/>
      <c r="T74" s="994"/>
      <c r="U74" s="995"/>
      <c r="V74" s="994"/>
      <c r="W74" s="993"/>
      <c r="X74" s="992"/>
      <c r="Y74" s="995"/>
      <c r="Z74" s="992"/>
      <c r="AA74" s="993"/>
      <c r="AB74" s="994"/>
      <c r="AC74" s="995"/>
      <c r="AD74" s="994"/>
      <c r="AE74" s="996"/>
      <c r="AF74" s="997"/>
    </row>
    <row r="75" spans="1:32" ht="14" thickBot="1">
      <c r="A75" s="985"/>
      <c r="B75" s="986"/>
      <c r="C75" s="987"/>
      <c r="D75" s="988"/>
      <c r="E75" s="989"/>
      <c r="F75" s="988"/>
      <c r="G75" s="989"/>
      <c r="H75" s="988"/>
      <c r="I75" s="987"/>
      <c r="J75" s="988"/>
      <c r="K75" s="987"/>
      <c r="L75" s="988"/>
      <c r="M75" s="990"/>
      <c r="N75" s="991"/>
      <c r="O75" s="990"/>
      <c r="P75" s="991"/>
      <c r="Q75" s="988"/>
      <c r="R75" s="992"/>
      <c r="S75" s="993"/>
      <c r="T75" s="994"/>
      <c r="U75" s="995"/>
      <c r="V75" s="994"/>
      <c r="W75" s="993"/>
      <c r="X75" s="992"/>
      <c r="Y75" s="995"/>
      <c r="Z75" s="992"/>
      <c r="AA75" s="993"/>
      <c r="AB75" s="994"/>
      <c r="AC75" s="995"/>
      <c r="AD75" s="994"/>
      <c r="AE75" s="996"/>
      <c r="AF75" s="997"/>
    </row>
    <row r="76" spans="1:32" ht="14" thickBot="1">
      <c r="A76" s="985"/>
      <c r="B76" s="986"/>
      <c r="C76" s="987"/>
      <c r="D76" s="988"/>
      <c r="E76" s="989"/>
      <c r="F76" s="988"/>
      <c r="G76" s="989"/>
      <c r="H76" s="988"/>
      <c r="I76" s="987"/>
      <c r="J76" s="988"/>
      <c r="K76" s="987"/>
      <c r="L76" s="988"/>
      <c r="M76" s="990"/>
      <c r="N76" s="991"/>
      <c r="O76" s="990"/>
      <c r="P76" s="991"/>
      <c r="Q76" s="988"/>
      <c r="R76" s="992"/>
      <c r="S76" s="993"/>
      <c r="T76" s="994"/>
      <c r="U76" s="995"/>
      <c r="V76" s="994"/>
      <c r="W76" s="993"/>
      <c r="X76" s="992"/>
      <c r="Y76" s="995"/>
      <c r="Z76" s="992"/>
      <c r="AA76" s="993"/>
      <c r="AB76" s="994"/>
      <c r="AC76" s="995"/>
      <c r="AD76" s="994"/>
      <c r="AE76" s="996"/>
      <c r="AF76" s="997"/>
    </row>
    <row r="77" spans="1:32" s="200" customFormat="1" ht="14" thickBot="1">
      <c r="A77" s="1002" t="s">
        <v>1357</v>
      </c>
      <c r="B77" s="1003">
        <v>60</v>
      </c>
      <c r="C77" s="1004">
        <v>8045928.290000001</v>
      </c>
      <c r="D77" s="1005">
        <v>3105.2131007371909</v>
      </c>
      <c r="E77" s="1006">
        <v>2986.7805641069162</v>
      </c>
      <c r="F77" s="1005">
        <v>484.10419924833792</v>
      </c>
      <c r="G77" s="1006">
        <v>3470.8847633552559</v>
      </c>
      <c r="H77" s="1007">
        <v>-6.0606097634011817</v>
      </c>
      <c r="I77" s="1004">
        <v>156.94783850105631</v>
      </c>
      <c r="J77" s="1005">
        <v>-17.549248024680139</v>
      </c>
      <c r="K77" s="1004">
        <v>688.70961143005661</v>
      </c>
      <c r="L77" s="1005">
        <v>790.69505784272883</v>
      </c>
      <c r="M77" s="1008">
        <v>0.96186009372362902</v>
      </c>
      <c r="N77" s="1009" t="s">
        <v>153</v>
      </c>
      <c r="O77" s="1008">
        <v>4.9751449172885105E-2</v>
      </c>
      <c r="P77" s="1009">
        <v>0.25463471658515613</v>
      </c>
      <c r="Q77" s="1005"/>
      <c r="R77" s="1010">
        <v>25240.795404839995</v>
      </c>
      <c r="S77" s="1011">
        <v>25381.995395989998</v>
      </c>
      <c r="T77" s="1010">
        <v>24984.32193369999</v>
      </c>
      <c r="U77" s="1011">
        <v>24031.422236769999</v>
      </c>
      <c r="V77" s="1010">
        <v>3895.0676720399993</v>
      </c>
      <c r="W77" s="1011">
        <v>27926.48990881001</v>
      </c>
      <c r="X77" s="1010">
        <v>-48.76323154999978</v>
      </c>
      <c r="Y77" s="1011">
        <v>5541.3081462</v>
      </c>
      <c r="Z77" s="1010">
        <v>6361.8757346599996</v>
      </c>
      <c r="AA77" s="1011" t="s">
        <v>390</v>
      </c>
      <c r="AB77" s="1010" t="s">
        <v>390</v>
      </c>
      <c r="AC77" s="1011" t="s">
        <v>390</v>
      </c>
      <c r="AD77" s="1010" t="s">
        <v>390</v>
      </c>
      <c r="AE77" s="1005">
        <v>152.97627160060111</v>
      </c>
      <c r="AF77" s="1008">
        <v>5.0444883062314691E-2</v>
      </c>
    </row>
    <row r="78" spans="1:32" ht="15.75" customHeight="1" thickBot="1">
      <c r="A78" s="872" t="s">
        <v>346</v>
      </c>
      <c r="C78" s="1012"/>
      <c r="D78" s="833"/>
      <c r="E78" s="833"/>
      <c r="F78" s="833"/>
      <c r="G78" s="833"/>
      <c r="H78" s="873"/>
      <c r="I78" s="833"/>
      <c r="J78" s="874"/>
      <c r="K78" s="875"/>
      <c r="L78" s="876"/>
      <c r="M78" s="876"/>
      <c r="N78" s="833"/>
      <c r="O78" s="876"/>
      <c r="P78" s="833"/>
      <c r="Q78" s="876"/>
      <c r="R78" s="873"/>
    </row>
    <row r="79" spans="1:32" ht="10.25" customHeight="1"/>
    <row r="80" spans="1:32">
      <c r="A80" s="80" t="s">
        <v>1562</v>
      </c>
    </row>
    <row r="81" spans="1:2" ht="11.5" customHeight="1"/>
    <row r="82" spans="1:2" ht="7.5" customHeight="1"/>
    <row r="83" spans="1:2" ht="24.75" customHeight="1">
      <c r="A83" s="2024" t="s">
        <v>302</v>
      </c>
      <c r="B83" s="2018"/>
    </row>
  </sheetData>
  <mergeCells count="2">
    <mergeCell ref="A2:B2"/>
    <mergeCell ref="A83:B83"/>
  </mergeCells>
  <pageMargins left="0.35433070866141736" right="0.23622047244094491" top="0.23622047244094491" bottom="0.23622047244094491" header="0.15748031496062992" footer="0.15748031496062992"/>
  <pageSetup paperSize="9" scale="49" fitToHeight="2" pageOrder="overThenDown" orientation="landscape"/>
  <headerFooter alignWithMargins="0">
    <oddFooter>&amp;R&amp;P/&amp;N</oddFooter>
  </headerFooter>
  <colBreaks count="1" manualBreakCount="1">
    <brk id="17" max="1048575" man="1"/>
  </col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CD40-6C90-914C-87CF-F612505ED4F5}">
  <sheetPr>
    <pageSetUpPr fitToPage="1"/>
  </sheetPr>
  <dimension ref="A1:K98"/>
  <sheetViews>
    <sheetView zoomScale="115" zoomScaleNormal="115" workbookViewId="0">
      <selection activeCell="A2" sqref="A2"/>
    </sheetView>
  </sheetViews>
  <sheetFormatPr baseColWidth="10" defaultColWidth="11.3984375" defaultRowHeight="13"/>
  <cols>
    <col min="1" max="1" width="14" style="328" customWidth="1"/>
    <col min="2" max="2" width="11.796875" style="3" customWidth="1"/>
    <col min="3" max="3" width="12.796875" style="245" customWidth="1"/>
    <col min="4" max="4" width="12.19921875" style="3" customWidth="1"/>
    <col min="5" max="5" width="12.3984375" style="245" customWidth="1"/>
    <col min="6" max="6" width="11.59765625" style="3" customWidth="1"/>
    <col min="7" max="7" width="11.19921875" style="245" customWidth="1"/>
    <col min="8" max="8" width="11.3984375" style="3"/>
    <col min="9" max="9" width="11.59765625" style="3" customWidth="1"/>
    <col min="10" max="10" width="10.796875" style="3" customWidth="1"/>
    <col min="11" max="11" width="18" style="3" customWidth="1"/>
    <col min="12" max="16384" width="11.3984375" style="3"/>
  </cols>
  <sheetData>
    <row r="1" spans="1:11" s="1" customFormat="1" ht="21" customHeight="1">
      <c r="A1" s="2025" t="s">
        <v>2610</v>
      </c>
      <c r="B1" s="2026"/>
      <c r="C1" s="2026"/>
      <c r="D1" s="2026"/>
      <c r="E1" s="2026"/>
      <c r="F1" s="2026"/>
      <c r="G1" s="2026"/>
      <c r="H1" s="2026"/>
      <c r="I1" s="932"/>
      <c r="K1" s="933">
        <v>2013</v>
      </c>
    </row>
    <row r="2" spans="1:11" s="1" customFormat="1" ht="9.75" customHeight="1">
      <c r="A2" s="934"/>
      <c r="B2" s="16"/>
      <c r="C2"/>
      <c r="D2"/>
      <c r="E2"/>
      <c r="F2"/>
      <c r="G2"/>
      <c r="H2"/>
      <c r="I2"/>
      <c r="J2"/>
    </row>
    <row r="3" spans="1:11" s="1" customFormat="1" ht="13.5" customHeight="1">
      <c r="A3" s="935" t="s">
        <v>1411</v>
      </c>
      <c r="B3" s="16"/>
      <c r="C3"/>
      <c r="D3"/>
      <c r="E3"/>
      <c r="F3"/>
      <c r="G3"/>
      <c r="H3"/>
      <c r="I3"/>
      <c r="J3"/>
    </row>
    <row r="4" spans="1:11" s="1" customFormat="1" ht="13.5" customHeight="1">
      <c r="A4" s="936" t="s">
        <v>1412</v>
      </c>
      <c r="B4" s="16"/>
      <c r="C4"/>
      <c r="D4"/>
      <c r="E4"/>
      <c r="F4"/>
      <c r="G4"/>
      <c r="H4"/>
      <c r="I4"/>
      <c r="J4"/>
    </row>
    <row r="5" spans="1:11" s="1" customFormat="1" ht="10.5" customHeight="1">
      <c r="A5" s="934"/>
      <c r="B5" s="16"/>
      <c r="C5"/>
      <c r="D5"/>
      <c r="E5"/>
      <c r="F5"/>
      <c r="G5"/>
      <c r="H5"/>
      <c r="I5"/>
      <c r="J5"/>
    </row>
    <row r="6" spans="1:11" ht="14.25" customHeight="1">
      <c r="A6" s="935" t="s">
        <v>2609</v>
      </c>
      <c r="B6"/>
      <c r="C6"/>
      <c r="D6"/>
      <c r="E6"/>
      <c r="F6"/>
      <c r="G6"/>
      <c r="H6"/>
      <c r="I6"/>
      <c r="J6"/>
    </row>
    <row r="7" spans="1:11" ht="15" customHeight="1">
      <c r="A7" s="3" t="s">
        <v>1868</v>
      </c>
      <c r="B7"/>
      <c r="C7"/>
      <c r="D7"/>
      <c r="E7"/>
      <c r="F7"/>
      <c r="G7"/>
      <c r="H7"/>
      <c r="I7"/>
      <c r="J7"/>
    </row>
    <row r="8" spans="1:11" ht="15" customHeight="1">
      <c r="A8" s="1292" t="s">
        <v>2611</v>
      </c>
      <c r="B8"/>
      <c r="C8"/>
      <c r="D8"/>
      <c r="E8"/>
      <c r="F8"/>
      <c r="G8"/>
      <c r="H8"/>
      <c r="I8"/>
      <c r="J8"/>
    </row>
    <row r="9" spans="1:11" ht="11.25" customHeight="1">
      <c r="A9" s="937"/>
      <c r="B9"/>
      <c r="C9"/>
      <c r="D9"/>
      <c r="E9"/>
      <c r="F9"/>
      <c r="G9"/>
      <c r="H9"/>
      <c r="I9"/>
      <c r="J9"/>
    </row>
    <row r="10" spans="1:11" ht="13.5" customHeight="1">
      <c r="A10" s="935" t="s">
        <v>1413</v>
      </c>
      <c r="B10"/>
      <c r="C10"/>
      <c r="D10"/>
      <c r="E10"/>
      <c r="F10"/>
      <c r="G10"/>
      <c r="H10"/>
      <c r="I10"/>
      <c r="J10"/>
    </row>
    <row r="11" spans="1:11" ht="17.25" customHeight="1">
      <c r="A11" s="937" t="s">
        <v>1414</v>
      </c>
      <c r="B11" s="679"/>
      <c r="C11" s="679"/>
      <c r="D11" s="679"/>
      <c r="E11" s="679"/>
      <c r="F11" s="679"/>
      <c r="G11" s="679"/>
      <c r="H11" s="679"/>
      <c r="I11" s="679"/>
      <c r="J11" s="679"/>
    </row>
    <row r="12" spans="1:11" ht="8.25" customHeight="1">
      <c r="A12" s="937"/>
      <c r="B12"/>
      <c r="C12"/>
      <c r="D12"/>
      <c r="E12"/>
      <c r="F12"/>
      <c r="G12"/>
      <c r="H12"/>
      <c r="I12"/>
      <c r="J12"/>
    </row>
    <row r="13" spans="1:11" ht="15.75" customHeight="1">
      <c r="A13" s="935" t="s">
        <v>1415</v>
      </c>
      <c r="B13"/>
      <c r="C13"/>
      <c r="D13"/>
      <c r="E13"/>
      <c r="F13"/>
      <c r="G13"/>
      <c r="H13"/>
      <c r="I13"/>
      <c r="J13"/>
      <c r="K13" s="8"/>
    </row>
    <row r="14" spans="1:11" ht="14.25" customHeight="1">
      <c r="A14" s="937" t="s">
        <v>1416</v>
      </c>
      <c r="B14"/>
      <c r="C14"/>
      <c r="D14"/>
      <c r="E14"/>
      <c r="F14"/>
      <c r="G14"/>
      <c r="H14"/>
      <c r="I14"/>
      <c r="J14"/>
    </row>
    <row r="15" spans="1:11" ht="9.75" customHeight="1">
      <c r="A15" s="937"/>
      <c r="B15"/>
      <c r="C15"/>
      <c r="D15"/>
      <c r="E15"/>
      <c r="F15"/>
      <c r="G15"/>
      <c r="H15"/>
      <c r="I15"/>
      <c r="J15"/>
    </row>
    <row r="16" spans="1:11" ht="16.5" customHeight="1">
      <c r="A16" s="935" t="s">
        <v>1417</v>
      </c>
      <c r="B16"/>
      <c r="C16"/>
      <c r="D16"/>
      <c r="E16"/>
      <c r="F16"/>
      <c r="G16"/>
      <c r="H16"/>
      <c r="I16"/>
      <c r="J16"/>
    </row>
    <row r="17" spans="1:10" ht="15.75" customHeight="1">
      <c r="A17" s="937" t="s">
        <v>1418</v>
      </c>
      <c r="B17" s="679"/>
      <c r="C17" s="679"/>
      <c r="D17" s="679"/>
      <c r="E17" s="679"/>
      <c r="F17" s="679"/>
      <c r="G17" s="679"/>
      <c r="H17" s="679"/>
      <c r="I17" s="679"/>
      <c r="J17" s="679"/>
    </row>
    <row r="18" spans="1:10" ht="14.5" customHeight="1">
      <c r="A18" s="937" t="s">
        <v>1419</v>
      </c>
      <c r="B18" s="679"/>
      <c r="C18" s="679"/>
      <c r="D18" s="679"/>
      <c r="E18" s="679"/>
      <c r="F18" s="679"/>
      <c r="G18" s="679"/>
      <c r="H18" s="679"/>
      <c r="I18" s="679"/>
      <c r="J18" s="679"/>
    </row>
    <row r="19" spans="1:10" ht="15.75" customHeight="1">
      <c r="A19" s="937" t="s">
        <v>1420</v>
      </c>
      <c r="B19" s="679"/>
      <c r="C19" s="679"/>
      <c r="D19" s="679"/>
      <c r="E19" s="679"/>
      <c r="F19" s="679"/>
      <c r="G19" s="679"/>
      <c r="H19" s="679"/>
      <c r="I19" s="679"/>
      <c r="J19" s="679"/>
    </row>
    <row r="20" spans="1:10" ht="15.75" customHeight="1">
      <c r="A20" s="937" t="s">
        <v>1421</v>
      </c>
      <c r="B20" s="679"/>
      <c r="C20" s="679"/>
      <c r="D20" s="679"/>
      <c r="E20" s="679"/>
      <c r="F20" s="679"/>
      <c r="G20" s="679"/>
      <c r="H20" s="679"/>
      <c r="I20" s="679"/>
      <c r="J20" s="679"/>
    </row>
    <row r="21" spans="1:10" ht="12" customHeight="1">
      <c r="A21" s="937"/>
      <c r="B21"/>
      <c r="C21"/>
      <c r="D21"/>
      <c r="E21"/>
      <c r="F21"/>
      <c r="G21"/>
      <c r="H21"/>
      <c r="I21"/>
      <c r="J21"/>
    </row>
    <row r="22" spans="1:10" ht="14.25" customHeight="1">
      <c r="A22" s="935" t="s">
        <v>1422</v>
      </c>
      <c r="B22"/>
      <c r="C22"/>
      <c r="D22"/>
      <c r="E22"/>
      <c r="F22"/>
      <c r="G22"/>
      <c r="H22"/>
      <c r="I22"/>
      <c r="J22"/>
    </row>
    <row r="23" spans="1:10" ht="17.25" customHeight="1">
      <c r="A23" s="937" t="s">
        <v>1423</v>
      </c>
      <c r="B23" s="679"/>
      <c r="C23" s="679"/>
      <c r="D23" s="679"/>
      <c r="E23" s="679"/>
      <c r="F23" s="679"/>
      <c r="G23" s="679"/>
      <c r="H23" s="679"/>
      <c r="I23" s="679"/>
      <c r="J23" s="679"/>
    </row>
    <row r="24" spans="1:10" ht="13.5" customHeight="1">
      <c r="A24" s="937" t="s">
        <v>1424</v>
      </c>
      <c r="B24" s="679"/>
      <c r="C24" s="679"/>
      <c r="D24" s="679"/>
      <c r="E24" s="679"/>
      <c r="F24" s="679"/>
      <c r="G24" s="679"/>
      <c r="H24" s="679"/>
      <c r="I24" s="679"/>
      <c r="J24" s="679"/>
    </row>
    <row r="25" spans="1:10" ht="13.5" customHeight="1">
      <c r="A25" s="937"/>
      <c r="B25"/>
      <c r="C25"/>
      <c r="D25"/>
      <c r="E25"/>
      <c r="F25"/>
      <c r="G25"/>
      <c r="H25"/>
      <c r="I25"/>
      <c r="J25"/>
    </row>
    <row r="26" spans="1:10" ht="15.75" customHeight="1">
      <c r="A26" s="935" t="s">
        <v>1425</v>
      </c>
      <c r="B26"/>
      <c r="C26"/>
      <c r="D26"/>
      <c r="E26"/>
      <c r="F26"/>
      <c r="G26"/>
      <c r="H26"/>
      <c r="I26"/>
      <c r="J26"/>
    </row>
    <row r="27" spans="1:10" ht="15.75" customHeight="1">
      <c r="A27" s="937" t="s">
        <v>1426</v>
      </c>
      <c r="B27" s="679"/>
      <c r="C27" s="679"/>
      <c r="D27" s="679"/>
      <c r="E27" s="679"/>
      <c r="F27" s="679"/>
      <c r="G27" s="679"/>
      <c r="H27" s="679"/>
      <c r="I27" s="679"/>
      <c r="J27" s="679"/>
    </row>
    <row r="28" spans="1:10" ht="14.25" customHeight="1">
      <c r="A28" s="937" t="s">
        <v>1427</v>
      </c>
      <c r="B28" s="679"/>
      <c r="C28" s="679"/>
      <c r="D28" s="679"/>
      <c r="E28" s="679"/>
      <c r="F28" s="679"/>
      <c r="G28" s="679"/>
      <c r="H28" s="679"/>
      <c r="I28" s="679"/>
      <c r="J28" s="679"/>
    </row>
    <row r="29" spans="1:10" ht="9.75" customHeight="1">
      <c r="A29" s="937"/>
      <c r="B29"/>
      <c r="C29"/>
      <c r="D29"/>
      <c r="E29"/>
      <c r="F29"/>
      <c r="G29"/>
      <c r="H29"/>
      <c r="I29"/>
      <c r="J29"/>
    </row>
    <row r="30" spans="1:10">
      <c r="A30" s="935" t="s">
        <v>1428</v>
      </c>
      <c r="B30"/>
      <c r="C30"/>
      <c r="D30"/>
      <c r="E30"/>
      <c r="F30"/>
      <c r="G30"/>
      <c r="H30"/>
      <c r="I30"/>
      <c r="J30"/>
    </row>
    <row r="31" spans="1:10" ht="18" customHeight="1">
      <c r="A31" s="937" t="s">
        <v>1429</v>
      </c>
      <c r="B31" s="679"/>
      <c r="C31" s="679"/>
      <c r="D31" s="679"/>
      <c r="E31" s="679"/>
      <c r="F31" s="679"/>
      <c r="G31" s="679"/>
      <c r="H31" s="679"/>
      <c r="I31" s="679"/>
      <c r="J31" s="679"/>
    </row>
    <row r="32" spans="1:10" ht="10.5" customHeight="1">
      <c r="A32" s="937"/>
      <c r="B32"/>
      <c r="C32"/>
      <c r="D32"/>
      <c r="E32"/>
      <c r="F32"/>
      <c r="G32"/>
      <c r="H32"/>
      <c r="I32"/>
      <c r="J32"/>
    </row>
    <row r="33" spans="1:11">
      <c r="A33" s="935" t="s">
        <v>1430</v>
      </c>
      <c r="B33"/>
      <c r="C33"/>
      <c r="D33"/>
      <c r="E33"/>
      <c r="F33"/>
      <c r="G33"/>
      <c r="H33"/>
      <c r="I33"/>
      <c r="J33"/>
    </row>
    <row r="34" spans="1:11" ht="17.25" customHeight="1">
      <c r="A34" s="937" t="s">
        <v>1431</v>
      </c>
      <c r="B34" s="679"/>
      <c r="C34" s="679"/>
      <c r="D34" s="679"/>
      <c r="E34" s="679"/>
      <c r="F34" s="679"/>
      <c r="G34" s="679"/>
      <c r="H34" s="679"/>
      <c r="I34" s="679"/>
      <c r="J34" s="679"/>
    </row>
    <row r="35" spans="1:11" ht="14.25" customHeight="1">
      <c r="A35" s="937" t="s">
        <v>1432</v>
      </c>
      <c r="B35" s="679"/>
      <c r="C35" s="679"/>
      <c r="D35" s="679"/>
      <c r="E35" s="679"/>
      <c r="F35" s="679"/>
      <c r="G35" s="679"/>
      <c r="H35" s="679"/>
      <c r="I35" s="679"/>
      <c r="J35" s="679"/>
    </row>
    <row r="36" spans="1:11" ht="14.25" customHeight="1">
      <c r="A36" s="937" t="s">
        <v>1433</v>
      </c>
      <c r="B36" s="679"/>
      <c r="C36" s="679"/>
      <c r="D36" s="679"/>
      <c r="E36" s="679"/>
      <c r="F36" s="679"/>
      <c r="G36" s="679"/>
      <c r="H36" s="679"/>
      <c r="I36" s="679"/>
      <c r="J36" s="679"/>
      <c r="K36" s="17"/>
    </row>
    <row r="37" spans="1:11" ht="10.5" customHeight="1">
      <c r="A37" s="937"/>
      <c r="B37"/>
      <c r="C37"/>
      <c r="D37"/>
      <c r="E37"/>
      <c r="F37"/>
      <c r="G37"/>
      <c r="H37"/>
      <c r="I37"/>
      <c r="J37"/>
    </row>
    <row r="38" spans="1:11">
      <c r="A38" s="935" t="s">
        <v>1434</v>
      </c>
      <c r="B38"/>
      <c r="C38"/>
      <c r="D38"/>
      <c r="E38"/>
      <c r="F38"/>
      <c r="G38"/>
      <c r="H38"/>
      <c r="I38"/>
      <c r="J38"/>
    </row>
    <row r="39" spans="1:11" ht="16.5" customHeight="1">
      <c r="A39" s="937" t="s">
        <v>1435</v>
      </c>
      <c r="B39" s="679"/>
      <c r="C39" s="679"/>
      <c r="D39" s="679"/>
      <c r="E39" s="679"/>
      <c r="F39" s="679"/>
      <c r="G39" s="679"/>
      <c r="H39" s="679"/>
      <c r="I39" s="679"/>
      <c r="J39" s="679"/>
    </row>
    <row r="40" spans="1:11" ht="13.5" customHeight="1">
      <c r="A40" s="937" t="s">
        <v>1436</v>
      </c>
      <c r="B40" s="679"/>
      <c r="C40" s="679"/>
      <c r="D40" s="679"/>
      <c r="E40" s="679"/>
      <c r="F40" s="679"/>
      <c r="G40" s="679"/>
      <c r="H40" s="679"/>
      <c r="I40" s="679"/>
      <c r="J40" s="679"/>
    </row>
    <row r="41" spans="1:11" ht="9.75" customHeight="1">
      <c r="A41" s="937"/>
      <c r="B41"/>
      <c r="C41"/>
      <c r="D41"/>
      <c r="E41"/>
      <c r="F41"/>
      <c r="G41"/>
      <c r="H41"/>
      <c r="I41"/>
      <c r="J41"/>
    </row>
    <row r="42" spans="1:11" ht="18" customHeight="1">
      <c r="A42" s="938" t="s">
        <v>638</v>
      </c>
      <c r="B42" s="939" t="s">
        <v>1437</v>
      </c>
      <c r="C42" s="939" t="s">
        <v>1438</v>
      </c>
      <c r="D42" s="939" t="s">
        <v>1439</v>
      </c>
      <c r="E42" s="939" t="s">
        <v>1440</v>
      </c>
      <c r="F42" s="939" t="s">
        <v>1441</v>
      </c>
      <c r="G42" s="939" t="s">
        <v>1442</v>
      </c>
      <c r="H42" s="939" t="s">
        <v>1443</v>
      </c>
      <c r="I42" s="940" t="s">
        <v>1444</v>
      </c>
      <c r="J42" s="940" t="s">
        <v>1445</v>
      </c>
    </row>
    <row r="43" spans="1:11" ht="16.5" customHeight="1">
      <c r="A43" s="941" t="s">
        <v>1446</v>
      </c>
      <c r="B43" s="942">
        <v>1.82</v>
      </c>
      <c r="C43" s="942">
        <v>0.96</v>
      </c>
      <c r="D43" s="942">
        <v>0.73</v>
      </c>
      <c r="E43" s="942">
        <v>0.52</v>
      </c>
      <c r="F43" s="942">
        <v>0.42</v>
      </c>
      <c r="G43" s="942">
        <v>0.34</v>
      </c>
      <c r="H43" s="942">
        <v>0.24</v>
      </c>
      <c r="I43" s="942">
        <v>0.2</v>
      </c>
      <c r="J43" s="942">
        <v>0.15</v>
      </c>
    </row>
    <row r="44" spans="1:11" ht="12.75" customHeight="1">
      <c r="A44" s="937"/>
      <c r="B44"/>
      <c r="C44"/>
      <c r="D44"/>
      <c r="E44"/>
      <c r="F44"/>
      <c r="G44"/>
      <c r="H44"/>
      <c r="I44"/>
      <c r="J44"/>
    </row>
    <row r="45" spans="1:11" ht="16.5" customHeight="1">
      <c r="A45" s="938" t="s">
        <v>638</v>
      </c>
      <c r="B45" s="943" t="s">
        <v>1447</v>
      </c>
      <c r="C45" s="943" t="s">
        <v>1448</v>
      </c>
      <c r="D45" s="943" t="s">
        <v>1449</v>
      </c>
      <c r="E45" s="943" t="s">
        <v>1450</v>
      </c>
      <c r="G45" s="3"/>
    </row>
    <row r="46" spans="1:11" ht="15.75" customHeight="1">
      <c r="A46" s="944" t="s">
        <v>1451</v>
      </c>
      <c r="B46" s="945" t="s">
        <v>1452</v>
      </c>
      <c r="C46" s="946">
        <v>0.2</v>
      </c>
      <c r="D46" s="946">
        <v>0.2</v>
      </c>
      <c r="E46" s="946">
        <v>0.15</v>
      </c>
      <c r="G46" s="3"/>
    </row>
    <row r="47" spans="1:11" ht="14.25" customHeight="1">
      <c r="A47" s="947">
        <v>2007</v>
      </c>
      <c r="B47" s="948" t="s">
        <v>1452</v>
      </c>
      <c r="C47" s="949">
        <v>0.18</v>
      </c>
      <c r="D47" s="949">
        <v>0.16</v>
      </c>
      <c r="E47" s="949">
        <v>0.13</v>
      </c>
      <c r="F47"/>
      <c r="G47"/>
      <c r="H47"/>
      <c r="I47"/>
      <c r="J47"/>
    </row>
    <row r="48" spans="1:11" ht="14.25" customHeight="1">
      <c r="A48" s="947">
        <v>2008</v>
      </c>
      <c r="B48" s="948" t="s">
        <v>1452</v>
      </c>
      <c r="C48" s="949">
        <v>0.16</v>
      </c>
      <c r="D48" s="949">
        <v>0.12</v>
      </c>
      <c r="E48" s="949">
        <v>0.11</v>
      </c>
      <c r="G48" s="3"/>
    </row>
    <row r="49" spans="1:10" ht="14.25" customHeight="1">
      <c r="A49" s="947" t="s">
        <v>1453</v>
      </c>
      <c r="B49" s="948" t="s">
        <v>1452</v>
      </c>
      <c r="C49" s="949">
        <v>0.15</v>
      </c>
      <c r="D49" s="949">
        <v>0.1</v>
      </c>
      <c r="E49" s="949">
        <v>0.1</v>
      </c>
      <c r="G49" s="3"/>
    </row>
    <row r="50" spans="1:10" ht="9" customHeight="1">
      <c r="A50" s="950"/>
      <c r="C50" s="3"/>
      <c r="E50" s="3"/>
      <c r="G50" s="3"/>
    </row>
    <row r="51" spans="1:10" ht="15" customHeight="1">
      <c r="A51" s="950" t="s">
        <v>1454</v>
      </c>
      <c r="C51" s="3"/>
      <c r="E51" s="3"/>
      <c r="G51" s="3"/>
    </row>
    <row r="52" spans="1:10" ht="15" customHeight="1">
      <c r="A52" s="937" t="s">
        <v>1455</v>
      </c>
      <c r="C52" s="3"/>
      <c r="E52" s="3"/>
      <c r="G52" s="3"/>
    </row>
    <row r="53" spans="1:10" ht="12.5" customHeight="1">
      <c r="A53" s="937"/>
      <c r="C53" s="3"/>
      <c r="E53" s="3"/>
      <c r="G53" s="3"/>
    </row>
    <row r="54" spans="1:10" ht="14">
      <c r="A54" s="951" t="s">
        <v>1456</v>
      </c>
      <c r="B54" t="s">
        <v>1870</v>
      </c>
      <c r="C54"/>
      <c r="D54"/>
      <c r="E54"/>
      <c r="F54"/>
      <c r="G54"/>
      <c r="H54"/>
      <c r="I54"/>
      <c r="J54" s="952"/>
    </row>
    <row r="55" spans="1:10">
      <c r="A55" s="953"/>
      <c r="B55" s="17" t="s">
        <v>1908</v>
      </c>
      <c r="C55"/>
      <c r="D55"/>
      <c r="E55"/>
      <c r="F55"/>
      <c r="G55"/>
      <c r="H55"/>
      <c r="I55"/>
      <c r="J55" s="952"/>
    </row>
    <row r="56" spans="1:10" ht="11.5" customHeight="1">
      <c r="A56" s="950"/>
      <c r="C56" s="3"/>
      <c r="E56" s="3"/>
      <c r="G56" s="3"/>
    </row>
    <row r="57" spans="1:10" ht="15" customHeight="1">
      <c r="A57" s="935" t="s">
        <v>1457</v>
      </c>
      <c r="C57" s="3"/>
      <c r="E57" s="3"/>
      <c r="G57" s="3"/>
    </row>
    <row r="58" spans="1:10" ht="11.25" customHeight="1">
      <c r="A58" s="950"/>
      <c r="C58" s="3"/>
      <c r="E58" s="3"/>
      <c r="G58" s="3"/>
    </row>
    <row r="59" spans="1:10" ht="17.25" customHeight="1">
      <c r="A59" s="935" t="s">
        <v>1458</v>
      </c>
      <c r="C59" s="3"/>
      <c r="E59" s="3"/>
      <c r="G59" s="3"/>
    </row>
    <row r="60" spans="1:10" ht="16.5" customHeight="1">
      <c r="A60" s="937" t="s">
        <v>1459</v>
      </c>
      <c r="C60" s="3"/>
      <c r="E60" s="3"/>
      <c r="G60" s="3"/>
    </row>
    <row r="61" spans="1:10" ht="16.5" customHeight="1">
      <c r="A61" s="935" t="s">
        <v>1460</v>
      </c>
      <c r="C61" s="3"/>
      <c r="E61" s="3"/>
      <c r="G61" s="3"/>
    </row>
    <row r="62" spans="1:10" ht="10.5" customHeight="1">
      <c r="A62" s="954"/>
      <c r="C62" s="3"/>
      <c r="E62" s="3"/>
      <c r="G62" s="3"/>
    </row>
    <row r="63" spans="1:10" ht="17.25" customHeight="1">
      <c r="A63" s="935" t="s">
        <v>1461</v>
      </c>
      <c r="C63" s="3"/>
      <c r="E63" s="3"/>
      <c r="G63" s="3"/>
    </row>
    <row r="64" spans="1:10" ht="17.25" customHeight="1">
      <c r="A64" s="937" t="s">
        <v>1462</v>
      </c>
      <c r="C64" s="3"/>
      <c r="E64" s="3"/>
      <c r="G64" s="3"/>
    </row>
    <row r="65" spans="1:10" ht="16.5" customHeight="1">
      <c r="A65" s="367" t="s">
        <v>1463</v>
      </c>
      <c r="C65" s="3"/>
      <c r="E65" s="3"/>
      <c r="G65" s="3"/>
    </row>
    <row r="66" spans="1:10" ht="10.5" customHeight="1">
      <c r="A66" s="367"/>
      <c r="C66" s="3"/>
      <c r="E66" s="3"/>
      <c r="G66" s="3"/>
    </row>
    <row r="67" spans="1:10" ht="14.25" customHeight="1">
      <c r="A67" s="935" t="s">
        <v>1464</v>
      </c>
      <c r="C67" s="3"/>
      <c r="E67" s="3"/>
      <c r="G67" s="3"/>
    </row>
    <row r="68" spans="1:10" ht="17.25" customHeight="1">
      <c r="A68" s="328" t="s">
        <v>1465</v>
      </c>
      <c r="C68" s="3"/>
      <c r="E68" s="3"/>
      <c r="G68" s="3"/>
    </row>
    <row r="69" spans="1:10" ht="13.75" customHeight="1">
      <c r="A69" s="950"/>
      <c r="C69" s="3"/>
      <c r="E69" s="3"/>
      <c r="G69" s="3"/>
    </row>
    <row r="70" spans="1:10" ht="15" customHeight="1">
      <c r="A70" s="935" t="s">
        <v>1466</v>
      </c>
      <c r="C70" s="3"/>
      <c r="E70" s="3"/>
      <c r="G70" s="3"/>
    </row>
    <row r="71" spans="1:10" ht="15" customHeight="1">
      <c r="A71" s="935"/>
      <c r="C71" s="3"/>
      <c r="E71" s="3"/>
      <c r="G71" s="3"/>
    </row>
    <row r="72" spans="1:10" ht="14.25" customHeight="1">
      <c r="A72" s="955" t="s">
        <v>1467</v>
      </c>
      <c r="C72" s="3"/>
      <c r="E72" s="3"/>
      <c r="G72" s="3"/>
    </row>
    <row r="73" spans="1:10" ht="16.5" customHeight="1">
      <c r="A73" s="329" t="s">
        <v>1468</v>
      </c>
      <c r="C73" s="3"/>
      <c r="E73" s="3"/>
      <c r="G73" s="3"/>
    </row>
    <row r="74" spans="1:10" ht="15" customHeight="1">
      <c r="A74" s="935"/>
      <c r="C74" s="3"/>
      <c r="E74" s="3"/>
      <c r="G74" s="3"/>
    </row>
    <row r="75" spans="1:10" ht="11.25" customHeight="1">
      <c r="A75" s="950"/>
      <c r="C75" s="3"/>
      <c r="E75" s="3"/>
      <c r="G75" s="3"/>
    </row>
    <row r="76" spans="1:10" ht="15" customHeight="1">
      <c r="B76" s="956" t="s">
        <v>1469</v>
      </c>
      <c r="C76" s="3"/>
      <c r="E76" s="3"/>
      <c r="G76" s="3"/>
    </row>
    <row r="77" spans="1:10">
      <c r="A77" s="957">
        <v>0</v>
      </c>
      <c r="B77" s="958" t="s">
        <v>1470</v>
      </c>
      <c r="C77" s="219"/>
      <c r="D77" s="219"/>
      <c r="E77" s="219"/>
      <c r="G77" s="957">
        <v>7</v>
      </c>
      <c r="H77" s="958" t="s">
        <v>1471</v>
      </c>
    </row>
    <row r="78" spans="1:10">
      <c r="A78" s="957">
        <v>1</v>
      </c>
      <c r="B78" s="958" t="s">
        <v>1472</v>
      </c>
      <c r="C78" s="219"/>
      <c r="D78" s="219"/>
      <c r="E78" s="219"/>
      <c r="G78" s="957"/>
      <c r="H78" s="958" t="s">
        <v>1473</v>
      </c>
      <c r="I78" s="219"/>
      <c r="J78" s="219"/>
    </row>
    <row r="79" spans="1:10">
      <c r="A79" s="957">
        <v>2</v>
      </c>
      <c r="B79" s="958" t="s">
        <v>1474</v>
      </c>
      <c r="C79" s="219"/>
      <c r="D79" s="219"/>
      <c r="E79" s="219"/>
      <c r="G79" s="957" t="s">
        <v>333</v>
      </c>
      <c r="H79" s="958" t="s">
        <v>1475</v>
      </c>
      <c r="I79" s="219"/>
      <c r="J79" s="219"/>
    </row>
    <row r="80" spans="1:10">
      <c r="A80" s="957" t="s">
        <v>309</v>
      </c>
      <c r="B80" s="958" t="s">
        <v>1476</v>
      </c>
      <c r="C80" s="219"/>
      <c r="D80" s="219"/>
      <c r="E80" s="219"/>
      <c r="G80" s="959" t="s">
        <v>319</v>
      </c>
      <c r="H80" s="960" t="s">
        <v>1477</v>
      </c>
      <c r="I80" s="219"/>
      <c r="J80" s="219"/>
    </row>
    <row r="81" spans="1:10">
      <c r="A81" s="957" t="s">
        <v>310</v>
      </c>
      <c r="B81" s="960" t="s">
        <v>1478</v>
      </c>
      <c r="C81" s="219"/>
      <c r="D81" s="219"/>
      <c r="E81" s="219"/>
      <c r="G81" s="957" t="s">
        <v>335</v>
      </c>
      <c r="H81" s="958" t="s">
        <v>1479</v>
      </c>
      <c r="I81" s="219"/>
      <c r="J81" s="219"/>
    </row>
    <row r="82" spans="1:10">
      <c r="A82" s="957" t="s">
        <v>1480</v>
      </c>
      <c r="B82" s="958" t="s">
        <v>1481</v>
      </c>
      <c r="C82" s="219"/>
      <c r="D82" s="219"/>
      <c r="E82" s="219"/>
      <c r="G82" s="961" t="s">
        <v>321</v>
      </c>
      <c r="H82" s="960" t="s">
        <v>1482</v>
      </c>
      <c r="I82" s="219"/>
      <c r="J82" s="219"/>
    </row>
    <row r="83" spans="1:10">
      <c r="A83" s="957" t="s">
        <v>1483</v>
      </c>
      <c r="B83" s="958" t="s">
        <v>1484</v>
      </c>
      <c r="C83" s="219"/>
      <c r="D83" s="219"/>
      <c r="E83" s="219"/>
      <c r="G83" s="962">
        <v>11</v>
      </c>
      <c r="H83" s="958" t="s">
        <v>1485</v>
      </c>
      <c r="I83" s="219"/>
      <c r="J83" s="219"/>
    </row>
    <row r="84" spans="1:10">
      <c r="A84" s="957" t="s">
        <v>1486</v>
      </c>
      <c r="B84" s="958" t="s">
        <v>1487</v>
      </c>
      <c r="C84" s="219"/>
      <c r="D84" s="219"/>
      <c r="E84" s="219"/>
      <c r="G84" s="962" t="s">
        <v>340</v>
      </c>
      <c r="H84" s="960" t="s">
        <v>1488</v>
      </c>
      <c r="I84" s="219"/>
      <c r="J84" s="219"/>
    </row>
    <row r="85" spans="1:10">
      <c r="A85" s="957" t="s">
        <v>1489</v>
      </c>
      <c r="B85" s="958" t="s">
        <v>1490</v>
      </c>
      <c r="C85" s="219"/>
      <c r="D85" s="219"/>
      <c r="E85" s="219"/>
      <c r="G85" s="962" t="s">
        <v>325</v>
      </c>
      <c r="H85" s="960" t="s">
        <v>1491</v>
      </c>
      <c r="I85" s="219"/>
      <c r="J85" s="219"/>
    </row>
    <row r="86" spans="1:10">
      <c r="A86" s="961" t="s">
        <v>1492</v>
      </c>
      <c r="B86" s="960" t="s">
        <v>1493</v>
      </c>
      <c r="C86" s="219"/>
      <c r="D86" s="219"/>
      <c r="E86" s="219"/>
      <c r="G86" s="962" t="s">
        <v>344</v>
      </c>
      <c r="H86" s="960" t="s">
        <v>1494</v>
      </c>
      <c r="I86" s="219"/>
      <c r="J86" s="219"/>
    </row>
    <row r="87" spans="1:10">
      <c r="A87" s="963" t="s">
        <v>329</v>
      </c>
      <c r="B87" s="958" t="s">
        <v>1495</v>
      </c>
      <c r="C87" s="219"/>
      <c r="D87" s="219"/>
      <c r="E87" s="219"/>
      <c r="G87" s="962" t="s">
        <v>327</v>
      </c>
      <c r="H87" s="960" t="s">
        <v>1496</v>
      </c>
      <c r="I87" s="219"/>
      <c r="J87" s="219"/>
    </row>
    <row r="88" spans="1:10">
      <c r="A88" s="959" t="s">
        <v>311</v>
      </c>
      <c r="B88" s="958" t="s">
        <v>1497</v>
      </c>
      <c r="C88" s="219"/>
      <c r="D88" s="219"/>
      <c r="E88" s="219"/>
      <c r="G88" s="962">
        <v>14</v>
      </c>
      <c r="H88" s="964" t="s">
        <v>1498</v>
      </c>
      <c r="I88" s="219"/>
      <c r="J88" s="219"/>
    </row>
    <row r="89" spans="1:10">
      <c r="A89" s="963" t="s">
        <v>1499</v>
      </c>
      <c r="B89" s="958" t="s">
        <v>1500</v>
      </c>
      <c r="C89" s="219"/>
      <c r="D89" s="219"/>
      <c r="E89" s="219"/>
      <c r="G89" s="962">
        <v>15</v>
      </c>
      <c r="H89" s="960" t="s">
        <v>1501</v>
      </c>
      <c r="I89" s="219"/>
      <c r="J89" s="219"/>
    </row>
    <row r="90" spans="1:10">
      <c r="E90" s="219"/>
      <c r="G90" s="3"/>
    </row>
    <row r="91" spans="1:10" ht="6.75" customHeight="1">
      <c r="E91" s="219"/>
      <c r="G91" s="3"/>
    </row>
    <row r="92" spans="1:10">
      <c r="A92" s="965" t="s">
        <v>346</v>
      </c>
      <c r="B92" s="964"/>
      <c r="C92" s="219"/>
      <c r="D92" s="219"/>
      <c r="E92" s="219"/>
      <c r="G92" s="3"/>
    </row>
    <row r="93" spans="1:10">
      <c r="A93" s="965"/>
      <c r="B93" s="964"/>
      <c r="C93" s="219"/>
      <c r="D93" s="219"/>
      <c r="E93" s="219"/>
      <c r="G93" s="3"/>
    </row>
    <row r="94" spans="1:10">
      <c r="A94" s="965" t="s">
        <v>1502</v>
      </c>
      <c r="B94" s="964"/>
      <c r="C94" s="219"/>
      <c r="D94" s="219"/>
      <c r="E94" s="219"/>
      <c r="G94" s="3"/>
    </row>
    <row r="95" spans="1:10">
      <c r="A95" s="962"/>
      <c r="B95" s="964"/>
      <c r="C95" s="219"/>
      <c r="D95" s="219"/>
      <c r="E95" s="219"/>
      <c r="G95" s="3"/>
    </row>
    <row r="96" spans="1:10" ht="7.5" customHeight="1">
      <c r="A96" s="962"/>
      <c r="B96" s="964"/>
      <c r="C96" s="219"/>
      <c r="D96" s="219"/>
      <c r="E96" s="219"/>
      <c r="G96" s="3"/>
    </row>
    <row r="97" spans="1:7">
      <c r="A97" s="966" t="s">
        <v>302</v>
      </c>
      <c r="B97" s="964"/>
      <c r="C97" s="219"/>
      <c r="D97" s="219"/>
      <c r="E97" s="219"/>
      <c r="G97" s="3"/>
    </row>
    <row r="98" spans="1:7">
      <c r="C98" s="3"/>
      <c r="E98" s="3"/>
      <c r="G98" s="3"/>
    </row>
  </sheetData>
  <mergeCells count="1">
    <mergeCell ref="A1:H1"/>
  </mergeCells>
  <pageMargins left="0.51181102362204722" right="0.51181102362204722" top="0.3" bottom="0.25" header="0.23622047244094491" footer="0.3"/>
  <pageSetup paperSize="9" scale="61" orientation="portrait"/>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1670C-E52E-C443-BEA1-D90F6BB89C7A}">
  <dimension ref="A1:E94"/>
  <sheetViews>
    <sheetView zoomScaleNormal="100" workbookViewId="0"/>
  </sheetViews>
  <sheetFormatPr baseColWidth="10" defaultColWidth="11.3984375" defaultRowHeight="13"/>
  <cols>
    <col min="1" max="1" width="7.796875" style="3" customWidth="1"/>
    <col min="2" max="2" width="64.19921875" style="245" customWidth="1"/>
    <col min="3" max="4" width="17.19921875" style="245" customWidth="1"/>
    <col min="5" max="5" width="17.19921875" style="200" customWidth="1"/>
    <col min="6" max="6" width="19.19921875" style="3" customWidth="1"/>
    <col min="7" max="16384" width="11.3984375" style="3"/>
  </cols>
  <sheetData>
    <row r="1" spans="1:5" s="1" customFormat="1" ht="8.5" customHeight="1">
      <c r="B1" s="221"/>
      <c r="C1" s="221"/>
      <c r="D1" s="221"/>
      <c r="E1" s="194"/>
    </row>
    <row r="2" spans="1:5" s="1" customFormat="1" ht="19.5" customHeight="1">
      <c r="A2" s="223" t="s">
        <v>1907</v>
      </c>
      <c r="C2" s="221"/>
      <c r="D2" s="221"/>
      <c r="E2" s="194"/>
    </row>
    <row r="3" spans="1:5" s="1" customFormat="1" ht="7.75" customHeight="1" thickBot="1">
      <c r="A3" s="786"/>
      <c r="B3" s="787"/>
      <c r="C3" s="787"/>
      <c r="D3" s="787"/>
      <c r="E3" s="788"/>
    </row>
    <row r="4" spans="1:5" ht="18" customHeight="1">
      <c r="A4" s="789" t="s">
        <v>1218</v>
      </c>
      <c r="B4" s="789" t="s">
        <v>1219</v>
      </c>
      <c r="C4" s="790" t="s">
        <v>1220</v>
      </c>
      <c r="D4" s="791" t="s">
        <v>1221</v>
      </c>
      <c r="E4" s="792" t="s">
        <v>1222</v>
      </c>
    </row>
    <row r="5" spans="1:5" ht="15" customHeight="1">
      <c r="A5" s="789" t="s">
        <v>1223</v>
      </c>
      <c r="B5" s="789"/>
      <c r="C5" s="790" t="s">
        <v>1224</v>
      </c>
      <c r="D5" s="791" t="s">
        <v>1225</v>
      </c>
      <c r="E5" s="793"/>
    </row>
    <row r="6" spans="1:5" ht="15" customHeight="1">
      <c r="A6" s="789"/>
      <c r="B6" s="789"/>
      <c r="C6" s="790" t="s">
        <v>1226</v>
      </c>
      <c r="D6" s="791" t="s">
        <v>1226</v>
      </c>
      <c r="E6" s="793"/>
    </row>
    <row r="7" spans="1:5" ht="14.5" customHeight="1">
      <c r="A7" s="789"/>
      <c r="B7" s="789"/>
      <c r="C7" s="790" t="s">
        <v>843</v>
      </c>
      <c r="D7" s="791" t="s">
        <v>843</v>
      </c>
      <c r="E7" s="793"/>
    </row>
    <row r="8" spans="1:5" ht="18" customHeight="1">
      <c r="A8" s="794"/>
      <c r="B8" s="794"/>
      <c r="C8" s="795"/>
      <c r="D8" s="796"/>
      <c r="E8" s="797"/>
    </row>
    <row r="9" spans="1:5" ht="3.5" customHeight="1" thickBot="1">
      <c r="A9" s="798"/>
      <c r="B9" s="799"/>
      <c r="C9" s="800" t="s">
        <v>390</v>
      </c>
      <c r="D9" s="801" t="s">
        <v>390</v>
      </c>
      <c r="E9" s="802" t="s">
        <v>390</v>
      </c>
    </row>
    <row r="10" spans="1:5" ht="16.75" customHeight="1" thickBot="1">
      <c r="A10" s="798">
        <v>8</v>
      </c>
      <c r="B10" s="799" t="s">
        <v>1237</v>
      </c>
      <c r="C10" s="803">
        <v>476.6633557858998</v>
      </c>
      <c r="D10" s="801">
        <v>443.5205366531747</v>
      </c>
      <c r="E10" s="804">
        <v>1.0747266843218179</v>
      </c>
    </row>
    <row r="11" spans="1:5" ht="16.5" customHeight="1" thickBot="1">
      <c r="A11" s="805">
        <v>32</v>
      </c>
      <c r="B11" s="806" t="s">
        <v>1238</v>
      </c>
      <c r="C11" s="807">
        <v>46.305328349999982</v>
      </c>
      <c r="D11" s="808">
        <v>30.912496093821371</v>
      </c>
      <c r="E11" s="809">
        <v>1.4979485386576483</v>
      </c>
    </row>
    <row r="12" spans="1:5" ht="16.5" customHeight="1" thickBot="1">
      <c r="A12" s="805">
        <v>57</v>
      </c>
      <c r="B12" s="806" t="s">
        <v>1239</v>
      </c>
      <c r="C12" s="807">
        <v>51.020860950000014</v>
      </c>
      <c r="D12" s="808">
        <v>12.334476075522431</v>
      </c>
      <c r="E12" s="809">
        <v>4.136443302302081</v>
      </c>
    </row>
    <row r="13" spans="1:5" ht="16.5" customHeight="1" thickBot="1">
      <c r="A13" s="805">
        <v>62</v>
      </c>
      <c r="B13" s="806" t="s">
        <v>1240</v>
      </c>
      <c r="C13" s="807">
        <v>138.04581445120004</v>
      </c>
      <c r="D13" s="808">
        <v>66.90150196346562</v>
      </c>
      <c r="E13" s="809">
        <v>2.0634187634021397</v>
      </c>
    </row>
    <row r="14" spans="1:5" ht="16.5" customHeight="1" thickBot="1">
      <c r="A14" s="805">
        <v>134</v>
      </c>
      <c r="B14" s="806" t="s">
        <v>1241</v>
      </c>
      <c r="C14" s="807">
        <v>6.7278579999999994</v>
      </c>
      <c r="D14" s="808">
        <v>2.3623256955218199</v>
      </c>
      <c r="E14" s="809">
        <v>2.8479807050965791</v>
      </c>
    </row>
    <row r="15" spans="1:5" ht="16.5" customHeight="1" thickBot="1">
      <c r="A15" s="805">
        <v>182</v>
      </c>
      <c r="B15" s="806" t="s">
        <v>1242</v>
      </c>
      <c r="C15" s="807">
        <v>21.002661364722812</v>
      </c>
      <c r="D15" s="808">
        <v>24.810267536266043</v>
      </c>
      <c r="E15" s="809">
        <v>0.84653103131687235</v>
      </c>
    </row>
    <row r="16" spans="1:5" ht="16.5" customHeight="1" thickBot="1">
      <c r="A16" s="805">
        <v>194</v>
      </c>
      <c r="B16" s="806" t="s">
        <v>1243</v>
      </c>
      <c r="C16" s="810">
        <v>14.263874410000001</v>
      </c>
      <c r="D16" s="811">
        <v>7.8750238987690038</v>
      </c>
      <c r="E16" s="812">
        <v>1.8112801425567331</v>
      </c>
    </row>
    <row r="17" spans="1:5" ht="16.5" customHeight="1" thickBot="1">
      <c r="A17" s="805">
        <v>246</v>
      </c>
      <c r="B17" s="806" t="s">
        <v>1244</v>
      </c>
      <c r="C17" s="810">
        <v>4.6292849999999994</v>
      </c>
      <c r="D17" s="811">
        <v>2.3006360332766187</v>
      </c>
      <c r="E17" s="812">
        <v>2.0121761691295714</v>
      </c>
    </row>
    <row r="18" spans="1:5" ht="16.5" customHeight="1" thickBot="1">
      <c r="A18" s="805">
        <v>290</v>
      </c>
      <c r="B18" s="806" t="s">
        <v>1245</v>
      </c>
      <c r="C18" s="810">
        <v>607.54275899999982</v>
      </c>
      <c r="D18" s="811">
        <v>303.00591408506466</v>
      </c>
      <c r="E18" s="812">
        <v>2.0050524783798136</v>
      </c>
    </row>
    <row r="19" spans="1:5" ht="16.5" customHeight="1" thickBot="1">
      <c r="A19" s="805">
        <v>294</v>
      </c>
      <c r="B19" s="806" t="s">
        <v>1246</v>
      </c>
      <c r="C19" s="810">
        <v>3.0301189999999991</v>
      </c>
      <c r="D19" s="811">
        <v>6.3834803155510471</v>
      </c>
      <c r="E19" s="812">
        <v>0.47468134155880565</v>
      </c>
    </row>
    <row r="20" spans="1:5" ht="16.5" customHeight="1" thickBot="1">
      <c r="A20" s="805">
        <v>312</v>
      </c>
      <c r="B20" s="806" t="s">
        <v>1247</v>
      </c>
      <c r="C20" s="810">
        <v>117.08693680999997</v>
      </c>
      <c r="D20" s="811">
        <v>91.630316436785023</v>
      </c>
      <c r="E20" s="812">
        <v>1.2778187543505566</v>
      </c>
    </row>
    <row r="21" spans="1:5" ht="16.5" customHeight="1" thickBot="1">
      <c r="A21" s="805">
        <v>343</v>
      </c>
      <c r="B21" s="806" t="s">
        <v>1248</v>
      </c>
      <c r="C21" s="810">
        <v>137.85858133084372</v>
      </c>
      <c r="D21" s="811">
        <v>112.02738556317817</v>
      </c>
      <c r="E21" s="812">
        <v>1.230579296640802</v>
      </c>
    </row>
    <row r="22" spans="1:5" ht="16.5" customHeight="1" thickBot="1">
      <c r="A22" s="805">
        <v>360</v>
      </c>
      <c r="B22" s="806" t="s">
        <v>1249</v>
      </c>
      <c r="C22" s="810">
        <v>30.543594819999992</v>
      </c>
      <c r="D22" s="811">
        <v>8.8287851634038788</v>
      </c>
      <c r="E22" s="812">
        <v>3.4595467275164857</v>
      </c>
    </row>
    <row r="23" spans="1:5" ht="16.5" customHeight="1" thickBot="1">
      <c r="A23" s="805">
        <v>376</v>
      </c>
      <c r="B23" s="806" t="s">
        <v>1250</v>
      </c>
      <c r="C23" s="810">
        <v>199.20627400000001</v>
      </c>
      <c r="D23" s="811">
        <v>197.60030000801592</v>
      </c>
      <c r="E23" s="812">
        <v>1.0081273864053797</v>
      </c>
    </row>
    <row r="24" spans="1:5" ht="16.5" customHeight="1" thickBot="1">
      <c r="A24" s="805">
        <v>455</v>
      </c>
      <c r="B24" s="806" t="s">
        <v>1251</v>
      </c>
      <c r="C24" s="810">
        <v>93.206039149999981</v>
      </c>
      <c r="D24" s="811">
        <v>71.044342993888719</v>
      </c>
      <c r="E24" s="812">
        <v>1.311941742610212</v>
      </c>
    </row>
    <row r="25" spans="1:5" ht="16.5" customHeight="1" thickBot="1">
      <c r="A25" s="805">
        <v>509</v>
      </c>
      <c r="B25" s="806" t="s">
        <v>1252</v>
      </c>
      <c r="C25" s="810">
        <v>153.64091469999997</v>
      </c>
      <c r="D25" s="811">
        <v>91.894525707514717</v>
      </c>
      <c r="E25" s="812">
        <v>1.6719267390204933</v>
      </c>
    </row>
    <row r="26" spans="1:5" ht="16.5" customHeight="1" thickBot="1">
      <c r="A26" s="805">
        <v>558</v>
      </c>
      <c r="B26" s="806" t="s">
        <v>1253</v>
      </c>
      <c r="C26" s="810">
        <v>5.4333965799999984</v>
      </c>
      <c r="D26" s="811">
        <v>2.439164642083766</v>
      </c>
      <c r="E26" s="812">
        <v>2.2275645055916664</v>
      </c>
    </row>
    <row r="27" spans="1:5" ht="16.5" customHeight="1" thickBot="1">
      <c r="A27" s="805">
        <v>762</v>
      </c>
      <c r="B27" s="806" t="s">
        <v>1254</v>
      </c>
      <c r="C27" s="810">
        <v>7.7419534060000093</v>
      </c>
      <c r="D27" s="813">
        <v>8.6</v>
      </c>
      <c r="E27" s="814">
        <v>0.91</v>
      </c>
    </row>
    <row r="28" spans="1:5" ht="16.5" customHeight="1" thickBot="1">
      <c r="A28" s="805">
        <v>774</v>
      </c>
      <c r="B28" s="806" t="s">
        <v>1255</v>
      </c>
      <c r="C28" s="810">
        <v>103.8417646210336</v>
      </c>
      <c r="D28" s="811">
        <v>104.14759217687164</v>
      </c>
      <c r="E28" s="812">
        <v>0.99706351774970803</v>
      </c>
    </row>
    <row r="29" spans="1:5" ht="16.5" customHeight="1" thickBot="1">
      <c r="A29" s="805">
        <v>780</v>
      </c>
      <c r="B29" s="806" t="s">
        <v>1256</v>
      </c>
      <c r="C29" s="810">
        <v>4.877028039999999</v>
      </c>
      <c r="D29" s="811">
        <v>2.7472032056024078</v>
      </c>
      <c r="E29" s="812">
        <v>1.77527022029321</v>
      </c>
    </row>
    <row r="30" spans="1:5" ht="16.5" customHeight="1" thickBot="1">
      <c r="A30" s="805">
        <v>820</v>
      </c>
      <c r="B30" s="806" t="s">
        <v>1257</v>
      </c>
      <c r="C30" s="810">
        <v>5.5938485099999991</v>
      </c>
      <c r="D30" s="811">
        <v>1.8715680055687691</v>
      </c>
      <c r="E30" s="812">
        <v>2.9888566663651797</v>
      </c>
    </row>
    <row r="31" spans="1:5" ht="16.5" customHeight="1" thickBot="1">
      <c r="A31" s="805">
        <v>829</v>
      </c>
      <c r="B31" s="806" t="s">
        <v>1258</v>
      </c>
      <c r="C31" s="810">
        <v>8.2958300000000023</v>
      </c>
      <c r="D31" s="811">
        <v>7.4178139167012995</v>
      </c>
      <c r="E31" s="812">
        <v>1.1183658815330806</v>
      </c>
    </row>
    <row r="32" spans="1:5" ht="16.5" customHeight="1" thickBot="1">
      <c r="A32" s="805">
        <v>881</v>
      </c>
      <c r="B32" s="806" t="s">
        <v>1259</v>
      </c>
      <c r="C32" s="810">
        <v>40.688269999999989</v>
      </c>
      <c r="D32" s="811">
        <v>40.636018176399936</v>
      </c>
      <c r="E32" s="812">
        <v>1.0012858499908437</v>
      </c>
    </row>
    <row r="33" spans="1:5" ht="16.5" customHeight="1" thickBot="1">
      <c r="A33" s="805">
        <v>901</v>
      </c>
      <c r="B33" s="806" t="s">
        <v>1260</v>
      </c>
      <c r="C33" s="810">
        <v>8.356338860000001</v>
      </c>
      <c r="D33" s="811">
        <v>2.3820898952280096</v>
      </c>
      <c r="E33" s="812">
        <v>3.5079863596836032</v>
      </c>
    </row>
    <row r="34" spans="1:5" ht="16.5" customHeight="1" thickBot="1">
      <c r="A34" s="805">
        <v>923</v>
      </c>
      <c r="B34" s="806" t="s">
        <v>1261</v>
      </c>
      <c r="C34" s="810">
        <v>31.837342060000001</v>
      </c>
      <c r="D34" s="811">
        <v>7.9880522870896176</v>
      </c>
      <c r="E34" s="812">
        <v>3.9856201381475533</v>
      </c>
    </row>
    <row r="35" spans="1:5" ht="16.5" customHeight="1" thickBot="1">
      <c r="A35" s="805">
        <v>941</v>
      </c>
      <c r="B35" s="806" t="s">
        <v>1262</v>
      </c>
      <c r="C35" s="810">
        <v>41.95365121999999</v>
      </c>
      <c r="D35" s="811">
        <v>17.539835484044904</v>
      </c>
      <c r="E35" s="812">
        <v>2.3919067689182771</v>
      </c>
    </row>
    <row r="36" spans="1:5" ht="16.5" customHeight="1" thickBot="1">
      <c r="A36" s="805">
        <v>966</v>
      </c>
      <c r="B36" s="806" t="s">
        <v>1263</v>
      </c>
      <c r="C36" s="810">
        <v>4.2290960000000002</v>
      </c>
      <c r="D36" s="811">
        <v>1.9700997140210197</v>
      </c>
      <c r="E36" s="812">
        <v>2.1466405836729532</v>
      </c>
    </row>
    <row r="37" spans="1:5" ht="16.5" customHeight="1" thickBot="1">
      <c r="A37" s="805">
        <v>994</v>
      </c>
      <c r="B37" s="806" t="s">
        <v>1264</v>
      </c>
      <c r="C37" s="810">
        <v>175.41729400000003</v>
      </c>
      <c r="D37" s="811">
        <v>108.78102465236078</v>
      </c>
      <c r="E37" s="812">
        <v>1.6125725471017898</v>
      </c>
    </row>
    <row r="38" spans="1:5" ht="16.5" customHeight="1" thickBot="1">
      <c r="A38" s="805">
        <v>1003</v>
      </c>
      <c r="B38" s="806" t="s">
        <v>1265</v>
      </c>
      <c r="C38" s="810">
        <v>1.8696490000000001</v>
      </c>
      <c r="D38" s="811">
        <v>0.21448710775719559</v>
      </c>
      <c r="E38" s="812">
        <v>8.7168362683900167</v>
      </c>
    </row>
    <row r="39" spans="1:5" ht="16.5" customHeight="1" thickBot="1">
      <c r="A39" s="805">
        <v>1040</v>
      </c>
      <c r="B39" s="806" t="s">
        <v>1266</v>
      </c>
      <c r="C39" s="810">
        <v>4.9699450000000001</v>
      </c>
      <c r="D39" s="811">
        <v>1.2201944737440675</v>
      </c>
      <c r="E39" s="812">
        <v>4.0730761423219102</v>
      </c>
    </row>
    <row r="40" spans="1:5" ht="16.5" customHeight="1" thickBot="1">
      <c r="A40" s="805">
        <v>1060</v>
      </c>
      <c r="B40" s="806" t="s">
        <v>1267</v>
      </c>
      <c r="C40" s="810">
        <v>169.33337467999996</v>
      </c>
      <c r="D40" s="811">
        <v>120.5</v>
      </c>
      <c r="E40" s="812">
        <v>1.41</v>
      </c>
    </row>
    <row r="41" spans="1:5" ht="16.5" customHeight="1" thickBot="1">
      <c r="A41" s="805">
        <v>1113</v>
      </c>
      <c r="B41" s="806" t="s">
        <v>1268</v>
      </c>
      <c r="C41" s="810">
        <v>2.4336109981402023</v>
      </c>
      <c r="D41" s="811">
        <v>3.3797968329131449</v>
      </c>
      <c r="E41" s="812">
        <v>0.72004653488079706</v>
      </c>
    </row>
    <row r="42" spans="1:5" ht="16.5" customHeight="1" thickBot="1">
      <c r="A42" s="805">
        <v>1142</v>
      </c>
      <c r="B42" s="806" t="s">
        <v>1269</v>
      </c>
      <c r="C42" s="810">
        <v>17.743521000000001</v>
      </c>
      <c r="D42" s="811">
        <v>3.6401656740649404</v>
      </c>
      <c r="E42" s="812">
        <v>4.874371825001572</v>
      </c>
    </row>
    <row r="43" spans="1:5" ht="16.5" customHeight="1" thickBot="1">
      <c r="A43" s="805">
        <v>1147</v>
      </c>
      <c r="B43" s="806" t="s">
        <v>1270</v>
      </c>
      <c r="C43" s="810">
        <v>1.8437420000000002</v>
      </c>
      <c r="D43" s="811">
        <v>0.54234316617078127</v>
      </c>
      <c r="E43" s="812">
        <v>3.3995855668612127</v>
      </c>
    </row>
    <row r="44" spans="1:5" ht="16.5" customHeight="1" thickBot="1">
      <c r="A44" s="805">
        <v>1179</v>
      </c>
      <c r="B44" s="806" t="s">
        <v>1271</v>
      </c>
      <c r="C44" s="810">
        <v>2.1669820137040214</v>
      </c>
      <c r="D44" s="811">
        <v>0.7789282679488353</v>
      </c>
      <c r="E44" s="812">
        <v>2.7820045861352178</v>
      </c>
    </row>
    <row r="45" spans="1:5" ht="16.5" customHeight="1" thickBot="1">
      <c r="A45" s="805">
        <v>1318</v>
      </c>
      <c r="B45" s="806" t="s">
        <v>1272</v>
      </c>
      <c r="C45" s="810">
        <v>17.926227909999998</v>
      </c>
      <c r="D45" s="811">
        <v>7.4159839807807746</v>
      </c>
      <c r="E45" s="812">
        <v>2.4172419946506785</v>
      </c>
    </row>
    <row r="46" spans="1:5" ht="16.5" customHeight="1" thickBot="1">
      <c r="A46" s="805">
        <v>1322</v>
      </c>
      <c r="B46" s="806" t="s">
        <v>1273</v>
      </c>
      <c r="C46" s="810">
        <v>4.8635331600000029</v>
      </c>
      <c r="D46" s="811">
        <v>4.0324331312550816</v>
      </c>
      <c r="E46" s="812">
        <v>1.2061038588099895</v>
      </c>
    </row>
    <row r="47" spans="1:5" ht="16.5" customHeight="1" thickBot="1">
      <c r="A47" s="805">
        <v>1328</v>
      </c>
      <c r="B47" s="806" t="s">
        <v>1274</v>
      </c>
      <c r="C47" s="810">
        <v>7.1734429600000009</v>
      </c>
      <c r="D47" s="811">
        <v>5.4266793925317529</v>
      </c>
      <c r="E47" s="812">
        <v>1.3218844234417386</v>
      </c>
    </row>
    <row r="48" spans="1:5" ht="16.5" customHeight="1" thickBot="1">
      <c r="A48" s="805">
        <v>1331</v>
      </c>
      <c r="B48" s="806" t="s">
        <v>1275</v>
      </c>
      <c r="C48" s="810">
        <v>1.4622909999999998</v>
      </c>
      <c r="D48" s="811">
        <v>0.96139025466073869</v>
      </c>
      <c r="E48" s="812">
        <v>1.5210170822004245</v>
      </c>
    </row>
    <row r="49" spans="1:5" ht="16.5" customHeight="1" thickBot="1">
      <c r="A49" s="805">
        <v>1362</v>
      </c>
      <c r="B49" s="806" t="s">
        <v>1276</v>
      </c>
      <c r="C49" s="810">
        <v>1.6953149999999999</v>
      </c>
      <c r="D49" s="811">
        <v>0.62671554130079254</v>
      </c>
      <c r="E49" s="812">
        <v>2.705078920623627</v>
      </c>
    </row>
    <row r="50" spans="1:5" ht="16.5" customHeight="1" thickBot="1">
      <c r="A50" s="805">
        <v>1384</v>
      </c>
      <c r="B50" s="806" t="s">
        <v>1277</v>
      </c>
      <c r="C50" s="810">
        <v>358.81358255739167</v>
      </c>
      <c r="D50" s="811">
        <v>228.54907904045976</v>
      </c>
      <c r="E50" s="812">
        <v>1.5699629334050886</v>
      </c>
    </row>
    <row r="51" spans="1:5" ht="16.5" customHeight="1" thickBot="1">
      <c r="A51" s="805">
        <v>1386</v>
      </c>
      <c r="B51" s="806" t="s">
        <v>1278</v>
      </c>
      <c r="C51" s="810">
        <v>10.697741459999996</v>
      </c>
      <c r="D51" s="811">
        <v>8.3318718290040454</v>
      </c>
      <c r="E51" s="812">
        <v>1.2839541557468672</v>
      </c>
    </row>
    <row r="52" spans="1:5" ht="16.5" customHeight="1" thickBot="1">
      <c r="A52" s="805">
        <v>1401</v>
      </c>
      <c r="B52" s="806" t="s">
        <v>1279</v>
      </c>
      <c r="C52" s="810">
        <v>8.6420800000000071</v>
      </c>
      <c r="D52" s="811">
        <v>6.6057122932064924</v>
      </c>
      <c r="E52" s="812">
        <v>1.3082737510211844</v>
      </c>
    </row>
    <row r="53" spans="1:5" ht="16.5" customHeight="1" thickBot="1">
      <c r="A53" s="805">
        <v>1402</v>
      </c>
      <c r="B53" s="806" t="s">
        <v>1280</v>
      </c>
      <c r="C53" s="810">
        <v>1.6778061399999999</v>
      </c>
      <c r="D53" s="811">
        <v>0.17295999109594595</v>
      </c>
      <c r="E53" s="812">
        <v>9.7005447870847306</v>
      </c>
    </row>
    <row r="54" spans="1:5" ht="16.5" customHeight="1" thickBot="1">
      <c r="A54" s="805">
        <v>1423</v>
      </c>
      <c r="B54" s="806" t="s">
        <v>1281</v>
      </c>
      <c r="C54" s="810">
        <v>1.2588160000000004</v>
      </c>
      <c r="D54" s="811">
        <v>2.6667614888644606</v>
      </c>
      <c r="E54" s="812">
        <v>0.47203921507656821</v>
      </c>
    </row>
    <row r="55" spans="1:5" ht="16.5" customHeight="1" thickBot="1">
      <c r="A55" s="805">
        <v>1479</v>
      </c>
      <c r="B55" s="806" t="s">
        <v>1282</v>
      </c>
      <c r="C55" s="810">
        <v>237.50294926145483</v>
      </c>
      <c r="D55" s="811">
        <v>197.11326201621517</v>
      </c>
      <c r="E55" s="812">
        <v>1.2049059856861233</v>
      </c>
    </row>
    <row r="56" spans="1:5" ht="16.5" customHeight="1" thickBot="1">
      <c r="A56" s="805">
        <v>1491</v>
      </c>
      <c r="B56" s="806" t="s">
        <v>1283</v>
      </c>
      <c r="C56" s="810">
        <v>2.707265</v>
      </c>
      <c r="D56" s="811">
        <v>0.6892167032186487</v>
      </c>
      <c r="E56" s="812">
        <v>3.9280316152482175</v>
      </c>
    </row>
    <row r="57" spans="1:5" ht="16.5" customHeight="1" thickBot="1">
      <c r="A57" s="805">
        <v>1507</v>
      </c>
      <c r="B57" s="806" t="s">
        <v>1284</v>
      </c>
      <c r="C57" s="810">
        <v>13.90423140912322</v>
      </c>
      <c r="D57" s="811">
        <v>5.0050656866091341</v>
      </c>
      <c r="E57" s="812">
        <v>2.7780317541732709</v>
      </c>
    </row>
    <row r="58" spans="1:5" ht="16.5" customHeight="1" thickBot="1">
      <c r="A58" s="805">
        <v>1509</v>
      </c>
      <c r="B58" s="806" t="s">
        <v>1285</v>
      </c>
      <c r="C58" s="810">
        <v>144.88261964</v>
      </c>
      <c r="D58" s="811">
        <v>93.2</v>
      </c>
      <c r="E58" s="812">
        <v>1.56</v>
      </c>
    </row>
    <row r="59" spans="1:5" ht="16.5" customHeight="1" thickBot="1">
      <c r="A59" s="805">
        <v>1520</v>
      </c>
      <c r="B59" s="806" t="s">
        <v>1286</v>
      </c>
      <c r="C59" s="810">
        <v>20.03257583425885</v>
      </c>
      <c r="D59" s="811">
        <v>13.909853654807389</v>
      </c>
      <c r="E59" s="812">
        <v>1.4401715741513488</v>
      </c>
    </row>
    <row r="60" spans="1:5" ht="16.5" customHeight="1" thickBot="1">
      <c r="A60" s="805">
        <v>1522</v>
      </c>
      <c r="B60" s="806" t="s">
        <v>1287</v>
      </c>
      <c r="C60" s="810">
        <v>6.0866029299999997</v>
      </c>
      <c r="D60" s="811">
        <v>1.2334800371989947</v>
      </c>
      <c r="E60" s="812">
        <v>4.9344965029361569</v>
      </c>
    </row>
    <row r="61" spans="1:5" ht="16.5" customHeight="1" thickBot="1">
      <c r="A61" s="805">
        <v>1529</v>
      </c>
      <c r="B61" s="806" t="s">
        <v>1288</v>
      </c>
      <c r="C61" s="810">
        <v>174.98908079000003</v>
      </c>
      <c r="D61" s="811">
        <v>115.07779098159136</v>
      </c>
      <c r="E61" s="812">
        <v>1.5206155705403877</v>
      </c>
    </row>
    <row r="62" spans="1:5" ht="16.5" customHeight="1" thickBot="1">
      <c r="A62" s="805">
        <v>1535</v>
      </c>
      <c r="B62" s="806" t="s">
        <v>1289</v>
      </c>
      <c r="C62" s="810">
        <v>142.65658727251974</v>
      </c>
      <c r="D62" s="811">
        <v>137.63405088088493</v>
      </c>
      <c r="E62" s="812">
        <v>1.03649196081558</v>
      </c>
    </row>
    <row r="63" spans="1:5" ht="16.5" customHeight="1" thickBot="1">
      <c r="A63" s="805">
        <v>1540</v>
      </c>
      <c r="B63" s="806" t="s">
        <v>1290</v>
      </c>
      <c r="C63" s="810">
        <v>2.6093310000000001</v>
      </c>
      <c r="D63" s="811">
        <v>1.4025060329511123</v>
      </c>
      <c r="E63" s="812">
        <v>1.8604775585239528</v>
      </c>
    </row>
    <row r="64" spans="1:5" ht="16.5" customHeight="1" thickBot="1">
      <c r="A64" s="805">
        <v>1542</v>
      </c>
      <c r="B64" s="806" t="s">
        <v>1291</v>
      </c>
      <c r="C64" s="810">
        <v>826.093537717039</v>
      </c>
      <c r="D64" s="811">
        <v>225.56665958770725</v>
      </c>
      <c r="E64" s="812">
        <v>3.6623033706620478</v>
      </c>
    </row>
    <row r="65" spans="1:5" ht="16.5" customHeight="1" thickBot="1">
      <c r="A65" s="805">
        <v>1555</v>
      </c>
      <c r="B65" s="806" t="s">
        <v>1292</v>
      </c>
      <c r="C65" s="810">
        <v>775.16891694000003</v>
      </c>
      <c r="D65" s="811">
        <v>340.26944223659785</v>
      </c>
      <c r="E65" s="812">
        <v>2.2781032344391527</v>
      </c>
    </row>
    <row r="66" spans="1:5" ht="16.5" customHeight="1" thickBot="1">
      <c r="A66" s="805">
        <v>1560</v>
      </c>
      <c r="B66" s="806" t="s">
        <v>1293</v>
      </c>
      <c r="C66" s="810">
        <v>128.46896832000002</v>
      </c>
      <c r="D66" s="811">
        <v>87.80582017083205</v>
      </c>
      <c r="E66" s="812">
        <v>1.4631031071750724</v>
      </c>
    </row>
    <row r="67" spans="1:5" ht="16.5" customHeight="1" thickBot="1">
      <c r="A67" s="805">
        <v>1562</v>
      </c>
      <c r="B67" s="806" t="s">
        <v>1294</v>
      </c>
      <c r="C67" s="810">
        <v>991.44474700000023</v>
      </c>
      <c r="D67" s="811">
        <v>631.41178575673462</v>
      </c>
      <c r="E67" s="812">
        <v>1.5702031057462338</v>
      </c>
    </row>
    <row r="68" spans="1:5" ht="16.5" customHeight="1" thickBot="1">
      <c r="A68" s="805">
        <v>1565</v>
      </c>
      <c r="B68" s="806" t="s">
        <v>1295</v>
      </c>
      <c r="C68" s="810">
        <v>80.724969999999985</v>
      </c>
      <c r="D68" s="811">
        <v>85.50459675906761</v>
      </c>
      <c r="E68" s="812">
        <v>0.94410093795851091</v>
      </c>
    </row>
    <row r="69" spans="1:5" ht="16.5" customHeight="1" thickBot="1">
      <c r="A69" s="815">
        <v>1566</v>
      </c>
      <c r="B69" s="816" t="s">
        <v>1296</v>
      </c>
      <c r="C69" s="817">
        <v>74.447252999999989</v>
      </c>
      <c r="D69" s="818">
        <v>76.684729198843158</v>
      </c>
      <c r="E69" s="819">
        <v>0.97082240203207337</v>
      </c>
    </row>
    <row r="70" spans="1:5" ht="18" customHeight="1" thickBot="1">
      <c r="A70" s="820">
        <v>1568</v>
      </c>
      <c r="B70" s="821" t="s">
        <v>1297</v>
      </c>
      <c r="C70" s="822">
        <v>59.709396740000017</v>
      </c>
      <c r="D70" s="823">
        <v>44.763081867332104</v>
      </c>
      <c r="E70" s="824">
        <v>1.33389825385494</v>
      </c>
    </row>
    <row r="71" spans="1:5" ht="16.5" customHeight="1" thickBot="1">
      <c r="A71" s="825">
        <v>1569</v>
      </c>
      <c r="B71" s="826" t="s">
        <v>1298</v>
      </c>
      <c r="C71" s="810">
        <v>90.066347240000027</v>
      </c>
      <c r="D71" s="811">
        <v>67.076373160713572</v>
      </c>
      <c r="E71" s="812">
        <v>1.3427432491646942</v>
      </c>
    </row>
    <row r="72" spans="1:5" ht="14" thickBot="1">
      <c r="A72" s="805">
        <v>1570</v>
      </c>
      <c r="B72" s="806" t="s">
        <v>1299</v>
      </c>
      <c r="C72" s="810">
        <v>60.211814290000007</v>
      </c>
      <c r="D72" s="811">
        <v>46.765977129613333</v>
      </c>
      <c r="E72" s="812">
        <v>1.2875132304649837</v>
      </c>
    </row>
    <row r="73" spans="1:5" ht="14" thickBot="1">
      <c r="A73" s="805">
        <v>1574</v>
      </c>
      <c r="B73" s="806" t="s">
        <v>1300</v>
      </c>
      <c r="C73" s="810">
        <v>8.5808129999999991</v>
      </c>
      <c r="D73" s="811">
        <v>4.0023402623081363</v>
      </c>
      <c r="E73" s="812">
        <v>2.1439488993000992</v>
      </c>
    </row>
    <row r="74" spans="1:5" ht="14" thickBot="1">
      <c r="A74" s="805">
        <v>1575</v>
      </c>
      <c r="B74" s="806" t="s">
        <v>1301</v>
      </c>
      <c r="C74" s="810">
        <v>22.976871390000003</v>
      </c>
      <c r="D74" s="811">
        <v>6.7</v>
      </c>
      <c r="E74" s="812">
        <v>3.43</v>
      </c>
    </row>
    <row r="75" spans="1:5" ht="14" thickBot="1">
      <c r="A75" s="805">
        <v>1577</v>
      </c>
      <c r="B75" s="806" t="s">
        <v>1302</v>
      </c>
      <c r="C75" s="810">
        <v>26.735544559999994</v>
      </c>
      <c r="D75" s="811">
        <v>23.959160721020005</v>
      </c>
      <c r="E75" s="812">
        <v>1.1158798453463437</v>
      </c>
    </row>
    <row r="76" spans="1:5" ht="14" thickBot="1">
      <c r="A76" s="805" t="s">
        <v>390</v>
      </c>
      <c r="B76" s="806" t="s">
        <v>390</v>
      </c>
      <c r="C76" s="810" t="s">
        <v>390</v>
      </c>
      <c r="D76" s="811" t="s">
        <v>390</v>
      </c>
      <c r="E76" s="812" t="s">
        <v>390</v>
      </c>
    </row>
    <row r="77" spans="1:5" ht="14" thickBot="1">
      <c r="A77" s="805" t="s">
        <v>390</v>
      </c>
      <c r="B77" s="806" t="s">
        <v>390</v>
      </c>
      <c r="C77" s="810" t="s">
        <v>390</v>
      </c>
      <c r="D77" s="811" t="s">
        <v>390</v>
      </c>
      <c r="E77" s="812" t="s">
        <v>390</v>
      </c>
    </row>
    <row r="78" spans="1:5" ht="14" thickBot="1">
      <c r="A78" s="805" t="s">
        <v>390</v>
      </c>
      <c r="B78" s="806" t="s">
        <v>390</v>
      </c>
      <c r="C78" s="810" t="s">
        <v>390</v>
      </c>
      <c r="D78" s="811" t="s">
        <v>390</v>
      </c>
      <c r="E78" s="812" t="s">
        <v>390</v>
      </c>
    </row>
    <row r="79" spans="1:5" s="200" customFormat="1" ht="18.75" customHeight="1" thickBot="1">
      <c r="A79" s="827" t="s">
        <v>381</v>
      </c>
      <c r="B79" s="828">
        <v>66</v>
      </c>
      <c r="C79" s="829">
        <v>7043.6121546333316</v>
      </c>
      <c r="D79" s="830">
        <v>4380.7934716891987</v>
      </c>
      <c r="E79" s="831">
        <v>1.6078393560784257</v>
      </c>
    </row>
    <row r="80" spans="1:5" ht="16.5" customHeight="1" thickBot="1">
      <c r="A80" s="639" t="s">
        <v>1236</v>
      </c>
      <c r="C80" s="832"/>
      <c r="D80" s="833"/>
      <c r="E80" s="834"/>
    </row>
    <row r="82" spans="1:2">
      <c r="A82" s="3" t="s">
        <v>1227</v>
      </c>
    </row>
    <row r="83" spans="1:2">
      <c r="A83" s="3" t="s">
        <v>1228</v>
      </c>
    </row>
    <row r="84" spans="1:2">
      <c r="A84" s="3" t="s">
        <v>1229</v>
      </c>
    </row>
    <row r="85" spans="1:2">
      <c r="A85" s="3" t="s">
        <v>1230</v>
      </c>
    </row>
    <row r="86" spans="1:2">
      <c r="A86" s="835" t="s">
        <v>1231</v>
      </c>
      <c r="B86" s="836"/>
    </row>
    <row r="87" spans="1:2">
      <c r="A87" s="835" t="s">
        <v>1232</v>
      </c>
      <c r="B87" s="80"/>
    </row>
    <row r="88" spans="1:2">
      <c r="A88" s="837" t="s">
        <v>1233</v>
      </c>
      <c r="B88" s="80"/>
    </row>
    <row r="89" spans="1:2">
      <c r="A89" s="837" t="s">
        <v>1234</v>
      </c>
      <c r="B89" s="80"/>
    </row>
    <row r="90" spans="1:2">
      <c r="A90" s="245"/>
      <c r="B90" s="80"/>
    </row>
    <row r="91" spans="1:2">
      <c r="A91" s="80" t="s">
        <v>1235</v>
      </c>
      <c r="B91" s="80"/>
    </row>
    <row r="94" spans="1:2">
      <c r="A94" s="3" t="s">
        <v>302</v>
      </c>
    </row>
  </sheetData>
  <pageMargins left="0.39370078740157483" right="0.35433070866141736" top="0.26" bottom="0.22" header="0.21" footer="0.18"/>
  <pageSetup paperSize="9" scale="56" pageOrder="overThenDown" orientation="portrait" horizontalDpi="1200" verticalDpi="1200"/>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DA47-9353-0A46-A06D-96D5123D02BD}">
  <sheetPr>
    <pageSetUpPr fitToPage="1"/>
  </sheetPr>
  <dimension ref="A1:O23"/>
  <sheetViews>
    <sheetView zoomScaleNormal="100" workbookViewId="0"/>
  </sheetViews>
  <sheetFormatPr baseColWidth="10" defaultColWidth="11.3984375" defaultRowHeight="13"/>
  <cols>
    <col min="1" max="1" width="7.3984375" style="3" customWidth="1"/>
    <col min="2" max="2" width="41.59765625" style="245" customWidth="1"/>
    <col min="3" max="3" width="10.59765625" style="245" customWidth="1"/>
    <col min="4" max="4" width="11.3984375" style="245" customWidth="1"/>
    <col min="5" max="5" width="10.19921875" style="6" customWidth="1"/>
    <col min="6" max="6" width="20.796875" style="6" customWidth="1"/>
    <col min="7" max="7" width="15.19921875" style="3" customWidth="1"/>
    <col min="8" max="8" width="7.59765625" style="543" customWidth="1"/>
    <col min="9" max="9" width="26.19921875" style="3" customWidth="1"/>
    <col min="10" max="16384" width="11.3984375" style="3"/>
  </cols>
  <sheetData>
    <row r="1" spans="1:15" s="1" customFormat="1" ht="14" customHeight="1">
      <c r="A1" s="840"/>
      <c r="B1" s="839"/>
      <c r="C1" s="839"/>
      <c r="D1" s="839"/>
      <c r="E1" s="840"/>
      <c r="F1" s="193"/>
      <c r="G1" s="840"/>
      <c r="H1" s="882"/>
      <c r="I1" s="840"/>
    </row>
    <row r="2" spans="1:15" s="1" customFormat="1" ht="19.5" customHeight="1">
      <c r="A2" s="223" t="s">
        <v>1358</v>
      </c>
      <c r="C2" s="839"/>
      <c r="D2" s="839"/>
      <c r="E2" s="193"/>
      <c r="F2" s="193"/>
      <c r="G2" s="883"/>
      <c r="H2" s="882"/>
      <c r="I2" s="223">
        <v>2013</v>
      </c>
    </row>
    <row r="3" spans="1:15" s="1" customFormat="1" ht="11.25" customHeight="1">
      <c r="A3" s="840"/>
      <c r="B3" s="840"/>
      <c r="C3" s="839"/>
      <c r="D3" s="839"/>
      <c r="E3" s="193"/>
      <c r="F3" s="193"/>
      <c r="G3" s="840"/>
      <c r="H3" s="882"/>
      <c r="I3" s="840"/>
    </row>
    <row r="4" spans="1:15" ht="18" customHeight="1">
      <c r="A4" s="845" t="s">
        <v>1218</v>
      </c>
      <c r="B4" s="845" t="s">
        <v>1359</v>
      </c>
      <c r="C4" s="846" t="s">
        <v>1360</v>
      </c>
      <c r="D4" s="847" t="s">
        <v>1361</v>
      </c>
      <c r="E4" s="849" t="s">
        <v>1362</v>
      </c>
      <c r="F4" s="848" t="s">
        <v>1362</v>
      </c>
      <c r="G4" s="846" t="s">
        <v>1363</v>
      </c>
      <c r="H4" s="884" t="s">
        <v>1364</v>
      </c>
      <c r="I4" s="847"/>
    </row>
    <row r="5" spans="1:15" ht="15" customHeight="1">
      <c r="A5" s="789" t="s">
        <v>1223</v>
      </c>
      <c r="B5" s="789"/>
      <c r="C5" s="790"/>
      <c r="D5" s="791" t="s">
        <v>1365</v>
      </c>
      <c r="E5" s="852" t="s">
        <v>1366</v>
      </c>
      <c r="F5" s="851" t="s">
        <v>1367</v>
      </c>
      <c r="G5" s="790" t="s">
        <v>1368</v>
      </c>
      <c r="H5" s="885" t="s">
        <v>1369</v>
      </c>
      <c r="I5" s="791"/>
    </row>
    <row r="6" spans="1:15" ht="15" customHeight="1">
      <c r="A6" s="789"/>
      <c r="B6" s="789"/>
      <c r="C6" s="790"/>
      <c r="D6" s="791" t="s">
        <v>1370</v>
      </c>
      <c r="E6" s="852"/>
      <c r="F6" s="851"/>
      <c r="G6" s="790" t="s">
        <v>1371</v>
      </c>
      <c r="H6" s="886"/>
      <c r="I6" s="791"/>
    </row>
    <row r="7" spans="1:15" ht="18" customHeight="1">
      <c r="A7" s="887"/>
      <c r="B7" s="794"/>
      <c r="C7" s="795"/>
      <c r="D7" s="796"/>
      <c r="E7" s="888"/>
      <c r="F7" s="889"/>
      <c r="G7" s="795"/>
      <c r="H7" s="890"/>
      <c r="I7" s="796"/>
    </row>
    <row r="8" spans="1:15" ht="44.25" customHeight="1" thickBot="1">
      <c r="A8" s="825">
        <v>246</v>
      </c>
      <c r="B8" s="799" t="s">
        <v>1372</v>
      </c>
      <c r="C8" s="891" t="s">
        <v>1373</v>
      </c>
      <c r="D8" s="892"/>
      <c r="E8" s="893"/>
      <c r="F8" s="894"/>
      <c r="G8" s="893" t="s">
        <v>1374</v>
      </c>
      <c r="H8" s="825"/>
      <c r="I8" s="895"/>
    </row>
    <row r="9" spans="1:15" ht="44.25" customHeight="1" thickBot="1">
      <c r="A9" s="825">
        <v>1542</v>
      </c>
      <c r="B9" s="799" t="s">
        <v>1375</v>
      </c>
      <c r="C9" s="891" t="s">
        <v>1373</v>
      </c>
      <c r="D9" s="892"/>
      <c r="E9" s="893"/>
      <c r="F9" s="892" t="s">
        <v>1354</v>
      </c>
      <c r="G9" s="893"/>
      <c r="H9" s="896"/>
      <c r="I9" s="894"/>
    </row>
    <row r="10" spans="1:15" ht="44.25" customHeight="1" thickBot="1">
      <c r="A10" s="825">
        <v>1563</v>
      </c>
      <c r="B10" s="799" t="s">
        <v>1376</v>
      </c>
      <c r="C10" s="891" t="s">
        <v>1373</v>
      </c>
      <c r="D10" s="892" t="s">
        <v>1377</v>
      </c>
      <c r="E10" s="893"/>
      <c r="F10" s="897"/>
      <c r="G10" s="893"/>
      <c r="H10" s="896">
        <v>1570</v>
      </c>
      <c r="I10" s="898" t="s">
        <v>1299</v>
      </c>
    </row>
    <row r="11" spans="1:15" ht="44.25" customHeight="1" thickBot="1">
      <c r="A11" s="825"/>
      <c r="B11" s="799"/>
      <c r="C11" s="891"/>
      <c r="D11" s="892"/>
      <c r="E11" s="893"/>
      <c r="F11" s="898"/>
      <c r="G11" s="893"/>
      <c r="H11" s="896"/>
      <c r="I11" s="898"/>
      <c r="J11"/>
      <c r="K11"/>
      <c r="L11"/>
      <c r="M11"/>
      <c r="N11"/>
      <c r="O11"/>
    </row>
    <row r="12" spans="1:15" ht="40.75" customHeight="1" thickBot="1">
      <c r="A12" s="825"/>
      <c r="B12" s="799"/>
      <c r="C12" s="891"/>
      <c r="D12" s="892"/>
      <c r="E12" s="893"/>
      <c r="F12" s="895"/>
      <c r="G12" s="893"/>
      <c r="H12" s="896"/>
      <c r="I12" s="898"/>
    </row>
    <row r="13" spans="1:15" ht="40.75" customHeight="1" thickBot="1">
      <c r="A13" s="825"/>
      <c r="B13" s="799"/>
      <c r="C13" s="900"/>
      <c r="D13" s="892"/>
      <c r="E13" s="893"/>
      <c r="F13" s="892"/>
      <c r="G13" s="893"/>
      <c r="H13" s="896"/>
      <c r="I13" s="892"/>
    </row>
    <row r="14" spans="1:15" s="899" customFormat="1" ht="27.75" customHeight="1" thickBot="1">
      <c r="A14" s="901"/>
      <c r="B14" s="902" t="s">
        <v>381</v>
      </c>
      <c r="C14" s="903"/>
      <c r="D14" s="901">
        <v>1</v>
      </c>
      <c r="E14" s="904">
        <v>0</v>
      </c>
      <c r="F14" s="901">
        <v>1</v>
      </c>
      <c r="G14" s="903">
        <v>1</v>
      </c>
      <c r="H14" s="901"/>
      <c r="I14" s="901">
        <v>1</v>
      </c>
    </row>
    <row r="15" spans="1:15">
      <c r="B15" s="607"/>
    </row>
    <row r="16" spans="1:15">
      <c r="A16" s="872" t="s">
        <v>1380</v>
      </c>
      <c r="G16" s="639"/>
      <c r="I16" s="639"/>
    </row>
    <row r="17" spans="1:9">
      <c r="A17" s="872"/>
      <c r="G17" s="639"/>
      <c r="I17" s="639"/>
    </row>
    <row r="18" spans="1:9">
      <c r="A18" s="905" t="s">
        <v>1378</v>
      </c>
      <c r="G18" s="639"/>
      <c r="I18" s="639"/>
    </row>
    <row r="19" spans="1:9">
      <c r="A19" s="906"/>
    </row>
    <row r="20" spans="1:9">
      <c r="A20" s="80" t="s">
        <v>1379</v>
      </c>
    </row>
    <row r="21" spans="1:9">
      <c r="A21" s="80"/>
    </row>
    <row r="22" spans="1:9">
      <c r="A22" s="80"/>
    </row>
    <row r="23" spans="1:9">
      <c r="A23" s="80" t="s">
        <v>302</v>
      </c>
    </row>
  </sheetData>
  <pageMargins left="0.46" right="0.45" top="0.55000000000000004" bottom="0.44" header="0.31496062992125984" footer="0.27559055118110237"/>
  <pageSetup paperSize="9" scale="57" pageOrder="overThenDown" orientation="portrait" horizontalDpi="1200" verticalDpi="1200"/>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DFE0C-F414-BB41-B3A6-67B2B6FFA1B2}">
  <dimension ref="A1:I97"/>
  <sheetViews>
    <sheetView zoomScaleNormal="100" workbookViewId="0"/>
  </sheetViews>
  <sheetFormatPr baseColWidth="10" defaultColWidth="11.3984375" defaultRowHeight="13"/>
  <cols>
    <col min="1" max="1" width="5.796875" style="3" customWidth="1"/>
    <col min="2" max="2" width="53.796875" style="245" customWidth="1"/>
    <col min="3" max="4" width="13" style="245" customWidth="1"/>
    <col min="5" max="5" width="13" style="3" customWidth="1"/>
    <col min="6" max="7" width="13" style="6" customWidth="1"/>
    <col min="8" max="9" width="13" style="3" customWidth="1"/>
    <col min="10" max="10" width="6.19921875" style="3" customWidth="1"/>
    <col min="11" max="16384" width="11.3984375" style="3"/>
  </cols>
  <sheetData>
    <row r="1" spans="1:9" s="1" customFormat="1" ht="14" customHeight="1">
      <c r="B1" s="221"/>
      <c r="C1" s="221"/>
      <c r="D1" s="221"/>
      <c r="F1" s="403"/>
      <c r="G1" s="403"/>
    </row>
    <row r="2" spans="1:9" s="1" customFormat="1" ht="19.5" customHeight="1">
      <c r="A2" s="223" t="s">
        <v>1904</v>
      </c>
      <c r="C2" s="221"/>
      <c r="D2" s="221"/>
      <c r="F2" s="403"/>
      <c r="G2" s="403"/>
      <c r="H2" s="194"/>
      <c r="I2" s="907">
        <v>2013</v>
      </c>
    </row>
    <row r="3" spans="1:9" s="1" customFormat="1" ht="7.75" customHeight="1" thickBot="1">
      <c r="A3" s="786"/>
      <c r="B3" s="787"/>
      <c r="C3" s="787"/>
      <c r="D3" s="787"/>
      <c r="E3" s="786"/>
      <c r="F3" s="908"/>
      <c r="G3" s="908"/>
      <c r="H3" s="786"/>
      <c r="I3" s="786"/>
    </row>
    <row r="4" spans="1:9" ht="18" customHeight="1">
      <c r="A4" s="789" t="s">
        <v>1218</v>
      </c>
      <c r="B4" s="789" t="s">
        <v>1381</v>
      </c>
      <c r="C4" s="790" t="s">
        <v>1382</v>
      </c>
      <c r="D4" s="791" t="s">
        <v>1383</v>
      </c>
      <c r="E4" s="852" t="s">
        <v>693</v>
      </c>
      <c r="F4" s="851" t="s">
        <v>1384</v>
      </c>
      <c r="G4" s="852" t="s">
        <v>597</v>
      </c>
      <c r="H4" s="851" t="s">
        <v>1385</v>
      </c>
      <c r="I4" s="790" t="s">
        <v>1385</v>
      </c>
    </row>
    <row r="5" spans="1:9" ht="15" customHeight="1">
      <c r="A5" s="789" t="s">
        <v>1223</v>
      </c>
      <c r="B5" s="789"/>
      <c r="C5" s="790" t="s">
        <v>1386</v>
      </c>
      <c r="D5" s="791"/>
      <c r="E5" s="790"/>
      <c r="F5" s="851" t="s">
        <v>1387</v>
      </c>
      <c r="G5" s="852" t="s">
        <v>602</v>
      </c>
      <c r="H5" s="851" t="s">
        <v>1388</v>
      </c>
      <c r="I5" s="790" t="s">
        <v>861</v>
      </c>
    </row>
    <row r="6" spans="1:9" ht="15" customHeight="1">
      <c r="A6" s="789"/>
      <c r="B6" s="789"/>
      <c r="C6" s="790" t="s">
        <v>1389</v>
      </c>
      <c r="D6" s="791"/>
      <c r="E6" s="790"/>
      <c r="F6" s="851" t="s">
        <v>1390</v>
      </c>
      <c r="G6" s="852"/>
      <c r="H6" s="851" t="s">
        <v>1391</v>
      </c>
      <c r="I6" s="790"/>
    </row>
    <row r="7" spans="1:9" ht="15" customHeight="1">
      <c r="A7" s="789"/>
      <c r="B7" s="789"/>
      <c r="C7" s="790" t="s">
        <v>1392</v>
      </c>
      <c r="D7" s="791" t="s">
        <v>1393</v>
      </c>
      <c r="E7" s="790" t="s">
        <v>1393</v>
      </c>
      <c r="F7" s="791" t="s">
        <v>1394</v>
      </c>
      <c r="G7" s="790" t="s">
        <v>1393</v>
      </c>
      <c r="H7" s="791" t="s">
        <v>1393</v>
      </c>
      <c r="I7" s="790" t="s">
        <v>1393</v>
      </c>
    </row>
    <row r="8" spans="1:9" ht="15" customHeight="1">
      <c r="A8" s="789"/>
      <c r="B8" s="789"/>
      <c r="C8" s="790" t="s">
        <v>1395</v>
      </c>
      <c r="D8" s="791" t="s">
        <v>1396</v>
      </c>
      <c r="E8" s="790" t="s">
        <v>1396</v>
      </c>
      <c r="F8" s="791" t="s">
        <v>1397</v>
      </c>
      <c r="G8" s="790" t="s">
        <v>1396</v>
      </c>
      <c r="H8" s="791" t="s">
        <v>1396</v>
      </c>
      <c r="I8" s="790" t="s">
        <v>1396</v>
      </c>
    </row>
    <row r="9" spans="1:9" ht="15" customHeight="1">
      <c r="A9" s="789"/>
      <c r="B9" s="789"/>
      <c r="C9" s="790"/>
      <c r="D9" s="791"/>
      <c r="E9" s="790"/>
      <c r="F9" s="791"/>
      <c r="G9" s="852"/>
      <c r="H9" s="791"/>
      <c r="I9" s="790"/>
    </row>
    <row r="10" spans="1:9" ht="18" customHeight="1">
      <c r="A10" s="794">
        <v>0</v>
      </c>
      <c r="B10" s="794"/>
      <c r="C10" s="795">
        <v>1</v>
      </c>
      <c r="D10" s="796">
        <v>2</v>
      </c>
      <c r="E10" s="795">
        <v>3</v>
      </c>
      <c r="F10" s="889">
        <v>4</v>
      </c>
      <c r="G10" s="888">
        <v>5</v>
      </c>
      <c r="H10" s="796">
        <v>6</v>
      </c>
      <c r="I10" s="795">
        <v>7</v>
      </c>
    </row>
    <row r="11" spans="1:9" ht="3.5" customHeight="1" thickBot="1">
      <c r="A11" s="825"/>
      <c r="B11" s="799"/>
      <c r="C11" s="800" t="s">
        <v>390</v>
      </c>
      <c r="D11" s="909" t="s">
        <v>390</v>
      </c>
      <c r="E11" s="803" t="s">
        <v>390</v>
      </c>
      <c r="F11" s="909" t="s">
        <v>390</v>
      </c>
      <c r="G11" s="910" t="s">
        <v>390</v>
      </c>
      <c r="H11" s="909" t="s">
        <v>390</v>
      </c>
      <c r="I11" s="910" t="s">
        <v>390</v>
      </c>
    </row>
    <row r="12" spans="1:9" ht="16.75" customHeight="1" thickBot="1">
      <c r="A12" s="825">
        <v>8</v>
      </c>
      <c r="B12" s="799" t="s">
        <v>1334</v>
      </c>
      <c r="C12" s="800" t="s">
        <v>390</v>
      </c>
      <c r="D12" s="909">
        <v>618.4</v>
      </c>
      <c r="E12" s="803">
        <v>540.28210000000001</v>
      </c>
      <c r="F12" s="909">
        <v>30.00001</v>
      </c>
      <c r="G12" s="910">
        <v>102.08214</v>
      </c>
      <c r="H12" s="909">
        <v>1150</v>
      </c>
      <c r="I12" s="910">
        <v>10938.30783</v>
      </c>
    </row>
    <row r="13" spans="1:9" ht="16.5" customHeight="1" thickBot="1">
      <c r="A13" s="911">
        <v>32</v>
      </c>
      <c r="B13" s="912" t="s">
        <v>1238</v>
      </c>
      <c r="C13" s="913" t="s">
        <v>390</v>
      </c>
      <c r="D13" s="914">
        <v>1823.8</v>
      </c>
      <c r="E13" s="807">
        <v>772.88414999999998</v>
      </c>
      <c r="F13" s="914">
        <v>115.4624</v>
      </c>
      <c r="G13" s="915">
        <v>-100.77069</v>
      </c>
      <c r="H13" s="914">
        <v>2580</v>
      </c>
      <c r="I13" s="915">
        <v>4573.3587600000001</v>
      </c>
    </row>
    <row r="14" spans="1:9" ht="16.5" customHeight="1" thickBot="1">
      <c r="A14" s="911">
        <v>57</v>
      </c>
      <c r="B14" s="912" t="s">
        <v>1239</v>
      </c>
      <c r="C14" s="913" t="s">
        <v>390</v>
      </c>
      <c r="D14" s="914">
        <v>10803.7</v>
      </c>
      <c r="E14" s="807">
        <v>8315.5508499999996</v>
      </c>
      <c r="F14" s="914">
        <v>3339.9460399999998</v>
      </c>
      <c r="G14" s="915">
        <v>-18.16301</v>
      </c>
      <c r="H14" s="914">
        <v>1657.61618</v>
      </c>
      <c r="I14" s="915">
        <v>38069.292150000001</v>
      </c>
    </row>
    <row r="15" spans="1:9" ht="16.5" customHeight="1" thickBot="1">
      <c r="A15" s="911">
        <v>134</v>
      </c>
      <c r="B15" s="912" t="s">
        <v>1336</v>
      </c>
      <c r="C15" s="913" t="s">
        <v>390</v>
      </c>
      <c r="D15" s="914">
        <v>89.3</v>
      </c>
      <c r="E15" s="807">
        <v>21.57</v>
      </c>
      <c r="F15" s="914">
        <v>4.0910500000000001</v>
      </c>
      <c r="G15" s="915">
        <v>66.955799999999996</v>
      </c>
      <c r="H15" s="914">
        <v>118</v>
      </c>
      <c r="I15" s="915">
        <v>421.4085</v>
      </c>
    </row>
    <row r="16" spans="1:9" ht="16.5" customHeight="1" thickBot="1">
      <c r="A16" s="911">
        <v>182</v>
      </c>
      <c r="B16" s="912" t="s">
        <v>1242</v>
      </c>
      <c r="C16" s="913" t="s">
        <v>390</v>
      </c>
      <c r="D16" s="914">
        <v>1.1000000000000001</v>
      </c>
      <c r="E16" s="807">
        <v>2.0000000000000002E-5</v>
      </c>
      <c r="F16" s="914">
        <v>0</v>
      </c>
      <c r="G16" s="915">
        <v>1.1375999999999999</v>
      </c>
      <c r="H16" s="914">
        <v>2.5</v>
      </c>
      <c r="I16" s="915">
        <v>338.41622999999998</v>
      </c>
    </row>
    <row r="17" spans="1:9" ht="16.5" customHeight="1" thickBot="1">
      <c r="A17" s="911">
        <v>194</v>
      </c>
      <c r="B17" s="912" t="s">
        <v>1243</v>
      </c>
      <c r="C17" s="913" t="s">
        <v>390</v>
      </c>
      <c r="D17" s="914">
        <v>1278.9000000000001</v>
      </c>
      <c r="E17" s="807">
        <v>799.82034999999996</v>
      </c>
      <c r="F17" s="914">
        <v>182.87835999999999</v>
      </c>
      <c r="G17" s="915">
        <v>25.50075</v>
      </c>
      <c r="H17" s="914">
        <v>570</v>
      </c>
      <c r="I17" s="915">
        <v>2405.8595300000002</v>
      </c>
    </row>
    <row r="18" spans="1:9" ht="16.5" customHeight="1" thickBot="1">
      <c r="A18" s="911">
        <v>246</v>
      </c>
      <c r="B18" s="912" t="s">
        <v>1244</v>
      </c>
      <c r="C18" s="916" t="s">
        <v>390</v>
      </c>
      <c r="D18" s="811">
        <v>21.3</v>
      </c>
      <c r="E18" s="810">
        <v>3.5</v>
      </c>
      <c r="F18" s="811">
        <v>12.357150000000001</v>
      </c>
      <c r="G18" s="917">
        <v>5.2652299999999999</v>
      </c>
      <c r="H18" s="811">
        <v>20</v>
      </c>
      <c r="I18" s="917">
        <v>138.47626</v>
      </c>
    </row>
    <row r="19" spans="1:9" ht="16.5" customHeight="1" thickBot="1">
      <c r="A19" s="911">
        <v>290</v>
      </c>
      <c r="B19" s="912" t="s">
        <v>1408</v>
      </c>
      <c r="C19" s="916" t="s">
        <v>390</v>
      </c>
      <c r="D19" s="811">
        <v>3627.7</v>
      </c>
      <c r="E19" s="810">
        <v>2053.8417899999999</v>
      </c>
      <c r="F19" s="811">
        <v>992.46176000000003</v>
      </c>
      <c r="G19" s="917">
        <v>1009.34344</v>
      </c>
      <c r="H19" s="811">
        <v>466.017</v>
      </c>
      <c r="I19" s="917">
        <v>5105.9749700000002</v>
      </c>
    </row>
    <row r="20" spans="1:9" ht="16.5" customHeight="1" thickBot="1">
      <c r="A20" s="911">
        <v>294</v>
      </c>
      <c r="B20" s="912" t="s">
        <v>1246</v>
      </c>
      <c r="C20" s="916" t="s">
        <v>390</v>
      </c>
      <c r="D20" s="811">
        <v>42.5</v>
      </c>
      <c r="E20" s="810">
        <v>27.806000000000001</v>
      </c>
      <c r="F20" s="811">
        <v>48</v>
      </c>
      <c r="G20" s="917">
        <v>-44.862850000000002</v>
      </c>
      <c r="H20" s="811">
        <v>46</v>
      </c>
      <c r="I20" s="917">
        <v>63.506169999999997</v>
      </c>
    </row>
    <row r="21" spans="1:9" ht="16.5" customHeight="1" thickBot="1">
      <c r="A21" s="911">
        <v>312</v>
      </c>
      <c r="B21" s="912" t="s">
        <v>1338</v>
      </c>
      <c r="C21" s="916" t="s">
        <v>390</v>
      </c>
      <c r="D21" s="811">
        <v>423.7</v>
      </c>
      <c r="E21" s="810">
        <v>339.68220000000002</v>
      </c>
      <c r="F21" s="811">
        <v>15.365309999999999</v>
      </c>
      <c r="G21" s="917">
        <v>37.659399999999998</v>
      </c>
      <c r="H21" s="811">
        <v>502</v>
      </c>
      <c r="I21" s="917">
        <v>3157.8485999999998</v>
      </c>
    </row>
    <row r="22" spans="1:9" ht="16.5" customHeight="1" thickBot="1">
      <c r="A22" s="911">
        <v>343</v>
      </c>
      <c r="B22" s="912" t="s">
        <v>1248</v>
      </c>
      <c r="C22" s="916" t="s">
        <v>390</v>
      </c>
      <c r="D22" s="811">
        <v>8053.2</v>
      </c>
      <c r="E22" s="810">
        <v>6191.5013900000004</v>
      </c>
      <c r="F22" s="811">
        <v>1409.02232</v>
      </c>
      <c r="G22" s="917">
        <v>583.20213999999999</v>
      </c>
      <c r="H22" s="811">
        <v>1117</v>
      </c>
      <c r="I22" s="917">
        <v>42127.666740000001</v>
      </c>
    </row>
    <row r="23" spans="1:9" ht="16.5" customHeight="1" thickBot="1">
      <c r="A23" s="911">
        <v>360</v>
      </c>
      <c r="B23" s="912" t="s">
        <v>1249</v>
      </c>
      <c r="C23" s="916" t="s">
        <v>390</v>
      </c>
      <c r="D23" s="811">
        <v>1325.1</v>
      </c>
      <c r="E23" s="810">
        <v>1049.6849999999999</v>
      </c>
      <c r="F23" s="811">
        <v>52.887999999999998</v>
      </c>
      <c r="G23" s="917">
        <v>-8.0060000000000002</v>
      </c>
      <c r="H23" s="811">
        <v>800</v>
      </c>
      <c r="I23" s="917">
        <v>2837.393</v>
      </c>
    </row>
    <row r="24" spans="1:9" ht="16.5" customHeight="1" thickBot="1">
      <c r="A24" s="911">
        <v>376</v>
      </c>
      <c r="B24" s="912" t="s">
        <v>1250</v>
      </c>
      <c r="C24" s="916" t="s">
        <v>390</v>
      </c>
      <c r="D24" s="811">
        <v>535.1</v>
      </c>
      <c r="E24" s="810">
        <v>397.61500000000001</v>
      </c>
      <c r="F24" s="811">
        <v>28</v>
      </c>
      <c r="G24" s="917">
        <v>214.51900000000001</v>
      </c>
      <c r="H24" s="811">
        <v>486</v>
      </c>
      <c r="I24" s="917">
        <v>10620.868</v>
      </c>
    </row>
    <row r="25" spans="1:9" ht="16.5" customHeight="1" thickBot="1">
      <c r="A25" s="911">
        <v>455</v>
      </c>
      <c r="B25" s="912" t="s">
        <v>1339</v>
      </c>
      <c r="C25" s="916" t="s">
        <v>390</v>
      </c>
      <c r="D25" s="811">
        <v>4093.4</v>
      </c>
      <c r="E25" s="810">
        <v>2584.7498000000001</v>
      </c>
      <c r="F25" s="811">
        <v>723.80467999999996</v>
      </c>
      <c r="G25" s="917">
        <v>517.33558000000005</v>
      </c>
      <c r="H25" s="811">
        <v>1136</v>
      </c>
      <c r="I25" s="917">
        <v>16182.97956</v>
      </c>
    </row>
    <row r="26" spans="1:9" ht="16.5" customHeight="1" thickBot="1">
      <c r="A26" s="911">
        <v>509</v>
      </c>
      <c r="B26" s="912" t="s">
        <v>1252</v>
      </c>
      <c r="C26" s="916" t="s">
        <v>390</v>
      </c>
      <c r="D26" s="811">
        <v>142.9</v>
      </c>
      <c r="E26" s="810">
        <v>113.19875</v>
      </c>
      <c r="F26" s="811">
        <v>160.0008</v>
      </c>
      <c r="G26" s="917">
        <v>-122.49420000000001</v>
      </c>
      <c r="H26" s="811">
        <v>310.96224999999998</v>
      </c>
      <c r="I26" s="917">
        <v>4193.2552100000003</v>
      </c>
    </row>
    <row r="27" spans="1:9" ht="16.5" customHeight="1" thickBot="1">
      <c r="A27" s="911">
        <v>558</v>
      </c>
      <c r="B27" s="912" t="s">
        <v>1340</v>
      </c>
      <c r="C27" s="916" t="s">
        <v>390</v>
      </c>
      <c r="D27" s="811">
        <v>9.1</v>
      </c>
      <c r="E27" s="810">
        <v>4.1929999999999996</v>
      </c>
      <c r="F27" s="811">
        <v>1.3616999999999999</v>
      </c>
      <c r="G27" s="917">
        <v>3.4753400000000001</v>
      </c>
      <c r="H27" s="811">
        <v>14</v>
      </c>
      <c r="I27" s="917">
        <v>183.86035999999999</v>
      </c>
    </row>
    <row r="28" spans="1:9" ht="16.5" customHeight="1" thickBot="1">
      <c r="A28" s="911">
        <v>762</v>
      </c>
      <c r="B28" s="912" t="s">
        <v>1341</v>
      </c>
      <c r="C28" s="916" t="s">
        <v>390</v>
      </c>
      <c r="D28" s="811">
        <v>147.4</v>
      </c>
      <c r="E28" s="810">
        <v>68.583200000000005</v>
      </c>
      <c r="F28" s="811">
        <v>80.502459999999999</v>
      </c>
      <c r="G28" s="917">
        <v>17.12903</v>
      </c>
      <c r="H28" s="811">
        <v>155</v>
      </c>
      <c r="I28" s="917">
        <v>1551.5531100000001</v>
      </c>
    </row>
    <row r="29" spans="1:9" ht="16.5" customHeight="1" thickBot="1">
      <c r="A29" s="911">
        <v>774</v>
      </c>
      <c r="B29" s="912" t="s">
        <v>1255</v>
      </c>
      <c r="C29" s="916" t="s">
        <v>390</v>
      </c>
      <c r="D29" s="811">
        <v>3761.8</v>
      </c>
      <c r="E29" s="810">
        <v>3172.3228899999999</v>
      </c>
      <c r="F29" s="811">
        <v>707.43424000000005</v>
      </c>
      <c r="G29" s="917">
        <v>543.73916999999994</v>
      </c>
      <c r="H29" s="811">
        <v>1024</v>
      </c>
      <c r="I29" s="917">
        <v>9959.0849999999991</v>
      </c>
    </row>
    <row r="30" spans="1:9" ht="16.5" customHeight="1" thickBot="1">
      <c r="A30" s="911">
        <v>780</v>
      </c>
      <c r="B30" s="912" t="s">
        <v>1342</v>
      </c>
      <c r="C30" s="916" t="s">
        <v>390</v>
      </c>
      <c r="D30" s="811">
        <v>170.6</v>
      </c>
      <c r="E30" s="810">
        <v>140.26165</v>
      </c>
      <c r="F30" s="811">
        <v>7.2809999999999997</v>
      </c>
      <c r="G30" s="917">
        <v>-0.43576999999999999</v>
      </c>
      <c r="H30" s="811">
        <v>170</v>
      </c>
      <c r="I30" s="917">
        <v>56.96125</v>
      </c>
    </row>
    <row r="31" spans="1:9" ht="16.5" customHeight="1" thickBot="1">
      <c r="A31" s="911">
        <v>820</v>
      </c>
      <c r="B31" s="912" t="s">
        <v>1257</v>
      </c>
      <c r="C31" s="916" t="s">
        <v>390</v>
      </c>
      <c r="D31" s="811">
        <v>381.3</v>
      </c>
      <c r="E31" s="810">
        <v>263.37670000000003</v>
      </c>
      <c r="F31" s="811">
        <v>43.710349999999998</v>
      </c>
      <c r="G31" s="917">
        <v>47.134700000000002</v>
      </c>
      <c r="H31" s="811">
        <v>167.72300000000001</v>
      </c>
      <c r="I31" s="917">
        <v>568.74212</v>
      </c>
    </row>
    <row r="32" spans="1:9" ht="16.5" customHeight="1" thickBot="1">
      <c r="A32" s="911">
        <v>829</v>
      </c>
      <c r="B32" s="912" t="s">
        <v>1258</v>
      </c>
      <c r="C32" s="916" t="s">
        <v>390</v>
      </c>
      <c r="D32" s="811">
        <v>325.89999999999998</v>
      </c>
      <c r="E32" s="810">
        <v>169.10415</v>
      </c>
      <c r="F32" s="811">
        <v>209.36054999999999</v>
      </c>
      <c r="G32" s="917">
        <v>-54.453279999999999</v>
      </c>
      <c r="H32" s="811">
        <v>60</v>
      </c>
      <c r="I32" s="917">
        <v>1435.6641500000001</v>
      </c>
    </row>
    <row r="33" spans="1:9" ht="16.5" customHeight="1" thickBot="1">
      <c r="A33" s="911">
        <v>881</v>
      </c>
      <c r="B33" s="912" t="s">
        <v>1259</v>
      </c>
      <c r="C33" s="916" t="s">
        <v>390</v>
      </c>
      <c r="D33" s="811">
        <v>214.7</v>
      </c>
      <c r="E33" s="810">
        <v>275.56414999999998</v>
      </c>
      <c r="F33" s="811">
        <v>76.360609999999994</v>
      </c>
      <c r="G33" s="917">
        <v>-110.11269</v>
      </c>
      <c r="H33" s="811">
        <v>269.44923</v>
      </c>
      <c r="I33" s="917">
        <v>4948.9763000000003</v>
      </c>
    </row>
    <row r="34" spans="1:9" ht="16.5" customHeight="1" thickBot="1">
      <c r="A34" s="911">
        <v>901</v>
      </c>
      <c r="B34" s="912" t="s">
        <v>1343</v>
      </c>
      <c r="C34" s="916" t="s">
        <v>390</v>
      </c>
      <c r="D34" s="811">
        <v>280.5</v>
      </c>
      <c r="E34" s="810">
        <v>195.52869999999999</v>
      </c>
      <c r="F34" s="811">
        <v>23.840399999999999</v>
      </c>
      <c r="G34" s="917">
        <v>-57.828850000000003</v>
      </c>
      <c r="H34" s="811">
        <v>115</v>
      </c>
      <c r="I34" s="917">
        <v>1175.22515</v>
      </c>
    </row>
    <row r="35" spans="1:9" ht="16.5" customHeight="1" thickBot="1">
      <c r="A35" s="911">
        <v>923</v>
      </c>
      <c r="B35" s="912" t="s">
        <v>1344</v>
      </c>
      <c r="C35" s="916" t="s">
        <v>390</v>
      </c>
      <c r="D35" s="811">
        <v>78.2</v>
      </c>
      <c r="E35" s="810">
        <v>6.7750000000000004</v>
      </c>
      <c r="F35" s="811">
        <v>0.34184999999999999</v>
      </c>
      <c r="G35" s="917">
        <v>70.618650000000002</v>
      </c>
      <c r="H35" s="811">
        <v>110</v>
      </c>
      <c r="I35" s="917">
        <v>4305.48686</v>
      </c>
    </row>
    <row r="36" spans="1:9" ht="16.5" customHeight="1" thickBot="1">
      <c r="A36" s="911">
        <v>941</v>
      </c>
      <c r="B36" s="912" t="s">
        <v>1262</v>
      </c>
      <c r="C36" s="916" t="s">
        <v>390</v>
      </c>
      <c r="D36" s="811">
        <v>3228.7</v>
      </c>
      <c r="E36" s="810">
        <v>2491.8859499999999</v>
      </c>
      <c r="F36" s="811">
        <v>1023.65373</v>
      </c>
      <c r="G36" s="917">
        <v>13.352600000000001</v>
      </c>
      <c r="H36" s="811">
        <v>3511.2484800000002</v>
      </c>
      <c r="I36" s="917">
        <v>4620.6680699999997</v>
      </c>
    </row>
    <row r="37" spans="1:9" ht="16.5" customHeight="1" thickBot="1">
      <c r="A37" s="911">
        <v>966</v>
      </c>
      <c r="B37" s="912" t="s">
        <v>1263</v>
      </c>
      <c r="C37" s="916" t="s">
        <v>390</v>
      </c>
      <c r="D37" s="811">
        <v>957.9</v>
      </c>
      <c r="E37" s="810">
        <v>1236.8558499999999</v>
      </c>
      <c r="F37" s="811">
        <v>67.049000000000007</v>
      </c>
      <c r="G37" s="917">
        <v>-111.50315000000001</v>
      </c>
      <c r="H37" s="811">
        <v>160</v>
      </c>
      <c r="I37" s="917">
        <v>448.76191</v>
      </c>
    </row>
    <row r="38" spans="1:9" ht="16.5" customHeight="1" thickBot="1">
      <c r="A38" s="911">
        <v>994</v>
      </c>
      <c r="B38" s="912" t="s">
        <v>1264</v>
      </c>
      <c r="C38" s="916" t="s">
        <v>390</v>
      </c>
      <c r="D38" s="811">
        <v>446.2</v>
      </c>
      <c r="E38" s="810">
        <v>150.65094999999999</v>
      </c>
      <c r="F38" s="811">
        <v>64.510130000000004</v>
      </c>
      <c r="G38" s="917">
        <v>166.15989999999999</v>
      </c>
      <c r="H38" s="811">
        <v>140.9</v>
      </c>
      <c r="I38" s="917">
        <v>2907.1478200000001</v>
      </c>
    </row>
    <row r="39" spans="1:9" ht="16.5" customHeight="1" thickBot="1">
      <c r="A39" s="911">
        <v>1040</v>
      </c>
      <c r="B39" s="912" t="s">
        <v>1266</v>
      </c>
      <c r="C39" s="916" t="s">
        <v>390</v>
      </c>
      <c r="D39" s="811">
        <v>141.9</v>
      </c>
      <c r="E39" s="810">
        <v>78.804749999999999</v>
      </c>
      <c r="F39" s="811">
        <v>24.650210000000001</v>
      </c>
      <c r="G39" s="917">
        <v>-8.6190700000000007</v>
      </c>
      <c r="H39" s="811">
        <v>0</v>
      </c>
      <c r="I39" s="917">
        <v>729.49897999999996</v>
      </c>
    </row>
    <row r="40" spans="1:9" ht="16.5" customHeight="1" thickBot="1">
      <c r="A40" s="911">
        <v>1060</v>
      </c>
      <c r="B40" s="912" t="s">
        <v>1267</v>
      </c>
      <c r="C40" s="916" t="s">
        <v>390</v>
      </c>
      <c r="D40" s="811">
        <v>3246.5</v>
      </c>
      <c r="E40" s="810">
        <v>1611.0840000000001</v>
      </c>
      <c r="F40" s="811">
        <v>192.09267</v>
      </c>
      <c r="G40" s="917">
        <v>1580.8131599999999</v>
      </c>
      <c r="H40" s="811">
        <v>323.21300000000002</v>
      </c>
      <c r="I40" s="917">
        <v>19625.1394</v>
      </c>
    </row>
    <row r="41" spans="1:9" ht="16.5" customHeight="1" thickBot="1">
      <c r="A41" s="911">
        <v>1113</v>
      </c>
      <c r="B41" s="912" t="s">
        <v>1345</v>
      </c>
      <c r="C41" s="916" t="s">
        <v>390</v>
      </c>
      <c r="D41" s="811">
        <v>0</v>
      </c>
      <c r="E41" s="810">
        <v>0</v>
      </c>
      <c r="F41" s="811">
        <v>0</v>
      </c>
      <c r="G41" s="917">
        <v>0</v>
      </c>
      <c r="H41" s="811">
        <v>0</v>
      </c>
      <c r="I41" s="917">
        <v>0.22695000000000001</v>
      </c>
    </row>
    <row r="42" spans="1:9" ht="16.5" customHeight="1" thickBot="1">
      <c r="A42" s="911">
        <v>1147</v>
      </c>
      <c r="B42" s="912" t="s">
        <v>1270</v>
      </c>
      <c r="C42" s="916" t="s">
        <v>390</v>
      </c>
      <c r="D42" s="811">
        <v>4.9000000000000004</v>
      </c>
      <c r="E42" s="810">
        <v>5.0000000000000002E-5</v>
      </c>
      <c r="F42" s="811">
        <v>1</v>
      </c>
      <c r="G42" s="917">
        <v>14.414350000000001</v>
      </c>
      <c r="H42" s="811">
        <v>31</v>
      </c>
      <c r="I42" s="917">
        <v>231.62909999999999</v>
      </c>
    </row>
    <row r="43" spans="1:9" ht="16.5" customHeight="1" thickBot="1">
      <c r="A43" s="911">
        <v>1179</v>
      </c>
      <c r="B43" s="912" t="s">
        <v>1409</v>
      </c>
      <c r="C43" s="916" t="s">
        <v>1410</v>
      </c>
      <c r="D43" s="811">
        <v>1244.3</v>
      </c>
      <c r="E43" s="810">
        <v>1276.8676</v>
      </c>
      <c r="F43" s="811">
        <v>116.5577</v>
      </c>
      <c r="G43" s="917">
        <v>-48.043900000000001</v>
      </c>
      <c r="H43" s="811">
        <v>79</v>
      </c>
      <c r="I43" s="917">
        <v>2166.982</v>
      </c>
    </row>
    <row r="44" spans="1:9" ht="16.5" customHeight="1" thickBot="1">
      <c r="A44" s="911">
        <v>1318</v>
      </c>
      <c r="B44" s="912" t="s">
        <v>1346</v>
      </c>
      <c r="C44" s="916" t="s">
        <v>390</v>
      </c>
      <c r="D44" s="811">
        <v>39.1</v>
      </c>
      <c r="E44" s="810">
        <v>11.25</v>
      </c>
      <c r="F44" s="811">
        <v>5.8675800000000002</v>
      </c>
      <c r="G44" s="917">
        <v>29.78341</v>
      </c>
      <c r="H44" s="811">
        <v>49</v>
      </c>
      <c r="I44" s="917">
        <v>391.48595999999998</v>
      </c>
    </row>
    <row r="45" spans="1:9" ht="16.5" customHeight="1" thickBot="1">
      <c r="A45" s="911">
        <v>1322</v>
      </c>
      <c r="B45" s="912" t="s">
        <v>1273</v>
      </c>
      <c r="C45" s="916" t="s">
        <v>390</v>
      </c>
      <c r="D45" s="811">
        <v>69.599999999999994</v>
      </c>
      <c r="E45" s="810">
        <v>44.414099999999998</v>
      </c>
      <c r="F45" s="811">
        <v>7.6330900000000002</v>
      </c>
      <c r="G45" s="917">
        <v>12.87626</v>
      </c>
      <c r="H45" s="811">
        <v>114.55</v>
      </c>
      <c r="I45" s="917">
        <v>260.19776999999999</v>
      </c>
    </row>
    <row r="46" spans="1:9" ht="16.5" customHeight="1" thickBot="1">
      <c r="A46" s="911">
        <v>1328</v>
      </c>
      <c r="B46" s="912" t="s">
        <v>1274</v>
      </c>
      <c r="C46" s="916" t="s">
        <v>390</v>
      </c>
      <c r="D46" s="811">
        <v>37.4</v>
      </c>
      <c r="E46" s="810">
        <v>12.3</v>
      </c>
      <c r="F46" s="811">
        <v>50</v>
      </c>
      <c r="G46" s="917">
        <v>-23.472460000000002</v>
      </c>
      <c r="H46" s="811">
        <v>40</v>
      </c>
      <c r="I46" s="917">
        <v>665.95011</v>
      </c>
    </row>
    <row r="47" spans="1:9" ht="16.5" customHeight="1" thickBot="1">
      <c r="A47" s="911">
        <v>1331</v>
      </c>
      <c r="B47" s="912" t="s">
        <v>1347</v>
      </c>
      <c r="C47" s="916" t="s">
        <v>390</v>
      </c>
      <c r="D47" s="811">
        <v>1.2</v>
      </c>
      <c r="E47" s="810" t="s">
        <v>390</v>
      </c>
      <c r="F47" s="811">
        <v>11.83013</v>
      </c>
      <c r="G47" s="917">
        <v>-10.791689999999999</v>
      </c>
      <c r="H47" s="811">
        <v>2.8</v>
      </c>
      <c r="I47" s="917">
        <v>656.51751000000002</v>
      </c>
    </row>
    <row r="48" spans="1:9" ht="16.5" customHeight="1" thickBot="1">
      <c r="A48" s="911">
        <v>1362</v>
      </c>
      <c r="B48" s="912" t="s">
        <v>1276</v>
      </c>
      <c r="C48" s="916" t="s">
        <v>390</v>
      </c>
      <c r="D48" s="811">
        <v>18</v>
      </c>
      <c r="E48" s="810" t="s">
        <v>390</v>
      </c>
      <c r="F48" s="811">
        <v>0</v>
      </c>
      <c r="G48" s="917">
        <v>1.7966</v>
      </c>
      <c r="H48" s="811">
        <v>1.5</v>
      </c>
      <c r="I48" s="917">
        <v>11.672499999999999</v>
      </c>
    </row>
    <row r="49" spans="1:9" ht="16.5" customHeight="1" thickBot="1">
      <c r="A49" s="911">
        <v>1384</v>
      </c>
      <c r="B49" s="912" t="s">
        <v>1277</v>
      </c>
      <c r="C49" s="916" t="s">
        <v>390</v>
      </c>
      <c r="D49" s="811">
        <v>4999.2</v>
      </c>
      <c r="E49" s="810">
        <v>3936.9994000000002</v>
      </c>
      <c r="F49" s="811">
        <v>1778.1914200000001</v>
      </c>
      <c r="G49" s="917">
        <v>-504.66561999999999</v>
      </c>
      <c r="H49" s="811">
        <v>1113.5889999999999</v>
      </c>
      <c r="I49" s="917">
        <v>3845.0922599999999</v>
      </c>
    </row>
    <row r="50" spans="1:9" ht="16.5" customHeight="1" thickBot="1">
      <c r="A50" s="911">
        <v>1386</v>
      </c>
      <c r="B50" s="912" t="s">
        <v>1348</v>
      </c>
      <c r="C50" s="916" t="s">
        <v>390</v>
      </c>
      <c r="D50" s="811">
        <v>555</v>
      </c>
      <c r="E50" s="810">
        <v>404.13</v>
      </c>
      <c r="F50" s="811">
        <v>222.30016000000001</v>
      </c>
      <c r="G50" s="917">
        <v>27.841349999999998</v>
      </c>
      <c r="H50" s="811">
        <v>625.9</v>
      </c>
      <c r="I50" s="917">
        <v>545.68043</v>
      </c>
    </row>
    <row r="51" spans="1:9" ht="16.5" customHeight="1" thickBot="1">
      <c r="A51" s="911">
        <v>1401</v>
      </c>
      <c r="B51" s="912" t="s">
        <v>1279</v>
      </c>
      <c r="C51" s="916" t="s">
        <v>390</v>
      </c>
      <c r="D51" s="811">
        <v>9.1999999999999993</v>
      </c>
      <c r="E51" s="810">
        <v>2.4590000000000001</v>
      </c>
      <c r="F51" s="811">
        <v>5.8544099999999997</v>
      </c>
      <c r="G51" s="917">
        <v>0.92423999999999995</v>
      </c>
      <c r="H51" s="811">
        <v>10</v>
      </c>
      <c r="I51" s="917">
        <v>209.72618</v>
      </c>
    </row>
    <row r="52" spans="1:9" ht="16.5" customHeight="1" thickBot="1">
      <c r="A52" s="911">
        <v>1402</v>
      </c>
      <c r="B52" s="912" t="s">
        <v>1280</v>
      </c>
      <c r="C52" s="916" t="s">
        <v>1410</v>
      </c>
      <c r="D52" s="811">
        <v>155.5</v>
      </c>
      <c r="E52" s="810">
        <v>186.9238</v>
      </c>
      <c r="F52" s="811">
        <v>2.9578000000000002</v>
      </c>
      <c r="G52" s="917">
        <v>0.96440000000000003</v>
      </c>
      <c r="H52" s="811">
        <v>20.774999999999999</v>
      </c>
      <c r="I52" s="917">
        <v>1390.42572</v>
      </c>
    </row>
    <row r="53" spans="1:9" ht="16.5" customHeight="1" thickBot="1">
      <c r="A53" s="911">
        <v>1423</v>
      </c>
      <c r="B53" s="912" t="s">
        <v>1349</v>
      </c>
      <c r="C53" s="916" t="s">
        <v>390</v>
      </c>
      <c r="D53" s="811">
        <v>32.299999999999997</v>
      </c>
      <c r="E53" s="810">
        <v>3.08</v>
      </c>
      <c r="F53" s="811">
        <v>10</v>
      </c>
      <c r="G53" s="917">
        <v>20.93</v>
      </c>
      <c r="H53" s="811">
        <v>28</v>
      </c>
      <c r="I53" s="917">
        <v>489.334</v>
      </c>
    </row>
    <row r="54" spans="1:9" ht="16.5" customHeight="1" thickBot="1">
      <c r="A54" s="911">
        <v>1479</v>
      </c>
      <c r="B54" s="912" t="s">
        <v>1350</v>
      </c>
      <c r="C54" s="916" t="s">
        <v>390</v>
      </c>
      <c r="D54" s="811">
        <v>19050</v>
      </c>
      <c r="E54" s="810">
        <v>15637.19896</v>
      </c>
      <c r="F54" s="811">
        <v>3230.7077800000002</v>
      </c>
      <c r="G54" s="917">
        <v>1000.48423</v>
      </c>
      <c r="H54" s="811">
        <v>2065</v>
      </c>
      <c r="I54" s="917">
        <v>49785.142209999998</v>
      </c>
    </row>
    <row r="55" spans="1:9" ht="16.5" customHeight="1" thickBot="1">
      <c r="A55" s="911">
        <v>1491</v>
      </c>
      <c r="B55" s="912" t="s">
        <v>1283</v>
      </c>
      <c r="C55" s="916" t="s">
        <v>1410</v>
      </c>
      <c r="D55" s="811">
        <v>1429.9</v>
      </c>
      <c r="E55" s="810">
        <v>1224.5139999999999</v>
      </c>
      <c r="F55" s="811">
        <v>178.239</v>
      </c>
      <c r="G55" s="917">
        <v>11.763</v>
      </c>
      <c r="H55" s="811">
        <v>0</v>
      </c>
      <c r="I55" s="917">
        <v>2440</v>
      </c>
    </row>
    <row r="56" spans="1:9" ht="16.5" customHeight="1" thickBot="1">
      <c r="A56" s="911">
        <v>1507</v>
      </c>
      <c r="B56" s="912" t="s">
        <v>1351</v>
      </c>
      <c r="C56" s="916" t="s">
        <v>390</v>
      </c>
      <c r="D56" s="811">
        <v>381.3</v>
      </c>
      <c r="E56" s="810">
        <v>173.63539</v>
      </c>
      <c r="F56" s="811">
        <v>57.90849</v>
      </c>
      <c r="G56" s="917">
        <v>0</v>
      </c>
      <c r="H56" s="811">
        <v>30</v>
      </c>
      <c r="I56" s="917">
        <v>2965.4459999999999</v>
      </c>
    </row>
    <row r="57" spans="1:9" ht="16.5" customHeight="1" thickBot="1">
      <c r="A57" s="911">
        <v>1509</v>
      </c>
      <c r="B57" s="912" t="s">
        <v>1352</v>
      </c>
      <c r="C57" s="916" t="s">
        <v>390</v>
      </c>
      <c r="D57" s="811">
        <v>2213.3000000000002</v>
      </c>
      <c r="E57" s="810">
        <v>1077.62015</v>
      </c>
      <c r="F57" s="811">
        <v>130.74377999999999</v>
      </c>
      <c r="G57" s="917">
        <v>725.55714999999998</v>
      </c>
      <c r="H57" s="811">
        <v>492.71199999999999</v>
      </c>
      <c r="I57" s="917">
        <v>25211.09823</v>
      </c>
    </row>
    <row r="58" spans="1:9" ht="16.5" customHeight="1" thickBot="1">
      <c r="A58" s="911">
        <v>1520</v>
      </c>
      <c r="B58" s="912" t="s">
        <v>1286</v>
      </c>
      <c r="C58" s="916" t="s">
        <v>1410</v>
      </c>
      <c r="D58" s="811">
        <v>17764.3</v>
      </c>
      <c r="E58" s="810">
        <v>16918.937999999998</v>
      </c>
      <c r="F58" s="811">
        <v>3207.3530000000001</v>
      </c>
      <c r="G58" s="917">
        <v>-3569.7370000000001</v>
      </c>
      <c r="H58" s="811">
        <v>2135.748</v>
      </c>
      <c r="I58" s="917">
        <v>19945.113000000001</v>
      </c>
    </row>
    <row r="59" spans="1:9" ht="16.5" customHeight="1" thickBot="1">
      <c r="A59" s="911">
        <v>1522</v>
      </c>
      <c r="B59" s="912" t="s">
        <v>1287</v>
      </c>
      <c r="C59" s="916" t="s">
        <v>1410</v>
      </c>
      <c r="D59" s="811">
        <v>2635.8</v>
      </c>
      <c r="E59" s="810">
        <v>1998.2121500000001</v>
      </c>
      <c r="F59" s="811">
        <v>388.30203999999998</v>
      </c>
      <c r="G59" s="917">
        <v>-205.88220000000001</v>
      </c>
      <c r="H59" s="811">
        <v>700</v>
      </c>
      <c r="I59" s="917">
        <v>6086.60293</v>
      </c>
    </row>
    <row r="60" spans="1:9" ht="16.5" customHeight="1" thickBot="1">
      <c r="A60" s="911">
        <v>1529</v>
      </c>
      <c r="B60" s="912" t="s">
        <v>1353</v>
      </c>
      <c r="C60" s="916" t="s">
        <v>390</v>
      </c>
      <c r="D60" s="811">
        <v>240.5</v>
      </c>
      <c r="E60" s="810">
        <v>243.23235</v>
      </c>
      <c r="F60" s="811">
        <v>9.7117699999999996</v>
      </c>
      <c r="G60" s="917">
        <v>-6.8513000000000002</v>
      </c>
      <c r="H60" s="811">
        <v>398</v>
      </c>
      <c r="I60" s="917">
        <v>7454.9313700000002</v>
      </c>
    </row>
    <row r="61" spans="1:9" ht="16.5" customHeight="1" thickBot="1">
      <c r="A61" s="911">
        <v>1535</v>
      </c>
      <c r="B61" s="912" t="s">
        <v>1289</v>
      </c>
      <c r="C61" s="916" t="s">
        <v>390</v>
      </c>
      <c r="D61" s="811">
        <v>35507.4</v>
      </c>
      <c r="E61" s="810">
        <v>28852.95478</v>
      </c>
      <c r="F61" s="811">
        <v>4182.6859100000001</v>
      </c>
      <c r="G61" s="917">
        <v>155.63119</v>
      </c>
      <c r="H61" s="811">
        <v>5235</v>
      </c>
      <c r="I61" s="917">
        <v>61159.82187</v>
      </c>
    </row>
    <row r="62" spans="1:9" ht="16.5" customHeight="1" thickBot="1">
      <c r="A62" s="911">
        <v>1540</v>
      </c>
      <c r="B62" s="912" t="s">
        <v>1290</v>
      </c>
      <c r="C62" s="916" t="s">
        <v>1410</v>
      </c>
      <c r="D62" s="811">
        <v>2525.1999999999998</v>
      </c>
      <c r="E62" s="810">
        <v>2269.7485000000001</v>
      </c>
      <c r="F62" s="811">
        <v>148.74360999999999</v>
      </c>
      <c r="G62" s="917">
        <v>0</v>
      </c>
      <c r="H62" s="811">
        <v>25.251999999999999</v>
      </c>
      <c r="I62" s="917">
        <v>2609.3312000000001</v>
      </c>
    </row>
    <row r="63" spans="1:9" ht="16.5" customHeight="1" thickBot="1">
      <c r="A63" s="911">
        <v>1555</v>
      </c>
      <c r="B63" s="912" t="s">
        <v>1292</v>
      </c>
      <c r="C63" s="916" t="s">
        <v>390</v>
      </c>
      <c r="D63" s="811">
        <v>1282.5999999999999</v>
      </c>
      <c r="E63" s="810">
        <v>592.36389999999994</v>
      </c>
      <c r="F63" s="811">
        <v>31.556360000000002</v>
      </c>
      <c r="G63" s="917">
        <v>709.47100999999998</v>
      </c>
      <c r="H63" s="811">
        <v>3300</v>
      </c>
      <c r="I63" s="917">
        <v>50375.196770000002</v>
      </c>
    </row>
    <row r="64" spans="1:9" ht="16.5" customHeight="1" thickBot="1">
      <c r="A64" s="911">
        <v>1560</v>
      </c>
      <c r="B64" s="912" t="s">
        <v>1293</v>
      </c>
      <c r="C64" s="916" t="s">
        <v>390</v>
      </c>
      <c r="D64" s="811">
        <v>15204.8</v>
      </c>
      <c r="E64" s="810">
        <v>13280.1931</v>
      </c>
      <c r="F64" s="811">
        <v>1931.1034</v>
      </c>
      <c r="G64" s="917">
        <v>-311.12455</v>
      </c>
      <c r="H64" s="811">
        <v>21482.817999999999</v>
      </c>
      <c r="I64" s="917">
        <v>7771.4889999999996</v>
      </c>
    </row>
    <row r="65" spans="1:9" ht="16.5" customHeight="1" thickBot="1">
      <c r="A65" s="911">
        <v>1562</v>
      </c>
      <c r="B65" s="912" t="s">
        <v>1294</v>
      </c>
      <c r="C65" s="916" t="s">
        <v>390</v>
      </c>
      <c r="D65" s="811">
        <v>95671.3</v>
      </c>
      <c r="E65" s="810">
        <v>69372.603539999996</v>
      </c>
      <c r="F65" s="811">
        <v>14148.42301</v>
      </c>
      <c r="G65" s="917">
        <v>2901.08356</v>
      </c>
      <c r="H65" s="811">
        <v>35708.6</v>
      </c>
      <c r="I65" s="917">
        <v>150294.60279999999</v>
      </c>
    </row>
    <row r="66" spans="1:9" ht="16.5" customHeight="1" thickBot="1">
      <c r="A66" s="911">
        <v>1565</v>
      </c>
      <c r="B66" s="912" t="s">
        <v>1295</v>
      </c>
      <c r="C66" s="916" t="s">
        <v>390</v>
      </c>
      <c r="D66" s="811">
        <v>203</v>
      </c>
      <c r="E66" s="810">
        <v>148.44305</v>
      </c>
      <c r="F66" s="811">
        <v>29.225840000000002</v>
      </c>
      <c r="G66" s="917">
        <v>37.924489999999999</v>
      </c>
      <c r="H66" s="811">
        <v>138.9</v>
      </c>
      <c r="I66" s="917">
        <v>195.66645</v>
      </c>
    </row>
    <row r="67" spans="1:9" ht="16.5" customHeight="1" thickBot="1">
      <c r="A67" s="911">
        <v>1566</v>
      </c>
      <c r="B67" s="912" t="s">
        <v>1296</v>
      </c>
      <c r="C67" s="916" t="s">
        <v>390</v>
      </c>
      <c r="D67" s="811">
        <v>263.10000000000002</v>
      </c>
      <c r="E67" s="810">
        <v>186.619</v>
      </c>
      <c r="F67" s="811">
        <v>29.0379</v>
      </c>
      <c r="G67" s="917">
        <v>19.44932</v>
      </c>
      <c r="H67" s="811">
        <v>174.6</v>
      </c>
      <c r="I67" s="917">
        <v>354.33767999999998</v>
      </c>
    </row>
    <row r="68" spans="1:9" ht="16.5" customHeight="1" thickBot="1">
      <c r="A68" s="911">
        <v>1569</v>
      </c>
      <c r="B68" s="912" t="s">
        <v>1298</v>
      </c>
      <c r="C68" s="916" t="s">
        <v>390</v>
      </c>
      <c r="D68" s="811">
        <v>9.1</v>
      </c>
      <c r="E68" s="810">
        <v>7.8220000000000001</v>
      </c>
      <c r="F68" s="811">
        <v>0.45444000000000001</v>
      </c>
      <c r="G68" s="917">
        <v>0.73548000000000002</v>
      </c>
      <c r="H68" s="811">
        <v>11</v>
      </c>
      <c r="I68" s="917">
        <v>1.5164800000000001</v>
      </c>
    </row>
    <row r="69" spans="1:9" ht="16.5" customHeight="1" thickBot="1">
      <c r="A69" s="911">
        <v>1570</v>
      </c>
      <c r="B69" s="912" t="s">
        <v>1356</v>
      </c>
      <c r="C69" s="916" t="s">
        <v>390</v>
      </c>
      <c r="D69" s="811">
        <v>329.2</v>
      </c>
      <c r="E69" s="810">
        <v>249.34960000000001</v>
      </c>
      <c r="F69" s="811">
        <v>9.2447199999999992</v>
      </c>
      <c r="G69" s="917">
        <v>64.892259999999993</v>
      </c>
      <c r="H69" s="811">
        <v>50</v>
      </c>
      <c r="I69" s="917">
        <v>1449.19344</v>
      </c>
    </row>
    <row r="70" spans="1:9" ht="16.5" customHeight="1" thickBot="1">
      <c r="A70" s="911">
        <v>1574</v>
      </c>
      <c r="B70" s="912" t="s">
        <v>1300</v>
      </c>
      <c r="C70" s="916" t="s">
        <v>390</v>
      </c>
      <c r="D70" s="811">
        <v>0.1</v>
      </c>
      <c r="E70" s="810" t="s">
        <v>390</v>
      </c>
      <c r="F70" s="811">
        <v>8.9999999999999993E-3</v>
      </c>
      <c r="G70" s="917">
        <v>5.2409999999999998E-2</v>
      </c>
      <c r="H70" s="811">
        <v>0</v>
      </c>
      <c r="I70" s="917">
        <v>2.1907199999999998</v>
      </c>
    </row>
    <row r="71" spans="1:9" ht="16.5" customHeight="1" thickBot="1">
      <c r="A71" s="918">
        <v>1575</v>
      </c>
      <c r="B71" s="919" t="s">
        <v>1301</v>
      </c>
      <c r="C71" s="920" t="s">
        <v>390</v>
      </c>
      <c r="D71" s="818">
        <v>25.2</v>
      </c>
      <c r="E71" s="817">
        <v>49.542000000000002</v>
      </c>
      <c r="F71" s="818">
        <v>1.37165</v>
      </c>
      <c r="G71" s="921">
        <v>1.0199800000000001</v>
      </c>
      <c r="H71" s="818">
        <v>12.523999999999999</v>
      </c>
      <c r="I71" s="921">
        <v>181.20049</v>
      </c>
    </row>
    <row r="72" spans="1:9" ht="18" customHeight="1" thickBot="1">
      <c r="A72" s="922" t="s">
        <v>390</v>
      </c>
      <c r="B72" s="923" t="s">
        <v>390</v>
      </c>
      <c r="C72" s="924" t="s">
        <v>390</v>
      </c>
      <c r="D72" s="925" t="s">
        <v>390</v>
      </c>
      <c r="E72" s="822" t="s">
        <v>390</v>
      </c>
      <c r="F72" s="925" t="s">
        <v>390</v>
      </c>
      <c r="G72" s="926" t="s">
        <v>390</v>
      </c>
      <c r="H72" s="925" t="s">
        <v>390</v>
      </c>
      <c r="I72" s="926" t="s">
        <v>390</v>
      </c>
    </row>
    <row r="73" spans="1:9" ht="16.5" customHeight="1" thickBot="1">
      <c r="A73" s="927" t="s">
        <v>390</v>
      </c>
      <c r="B73" s="928" t="s">
        <v>390</v>
      </c>
      <c r="C73" s="916" t="s">
        <v>390</v>
      </c>
      <c r="D73" s="811" t="s">
        <v>390</v>
      </c>
      <c r="E73" s="810" t="s">
        <v>390</v>
      </c>
      <c r="F73" s="811" t="s">
        <v>390</v>
      </c>
      <c r="G73" s="917" t="s">
        <v>390</v>
      </c>
      <c r="H73" s="811" t="s">
        <v>390</v>
      </c>
      <c r="I73" s="917" t="s">
        <v>390</v>
      </c>
    </row>
    <row r="74" spans="1:9" ht="14" thickBot="1">
      <c r="A74" s="911" t="s">
        <v>390</v>
      </c>
      <c r="B74" s="912" t="s">
        <v>390</v>
      </c>
      <c r="C74" s="916" t="s">
        <v>390</v>
      </c>
      <c r="D74" s="811" t="s">
        <v>390</v>
      </c>
      <c r="E74" s="810" t="s">
        <v>390</v>
      </c>
      <c r="F74" s="811" t="s">
        <v>390</v>
      </c>
      <c r="G74" s="917" t="s">
        <v>390</v>
      </c>
      <c r="H74" s="811" t="s">
        <v>390</v>
      </c>
      <c r="I74" s="917" t="s">
        <v>390</v>
      </c>
    </row>
    <row r="75" spans="1:9" ht="14" thickBot="1">
      <c r="A75" s="911" t="s">
        <v>390</v>
      </c>
      <c r="B75" s="912" t="s">
        <v>390</v>
      </c>
      <c r="C75" s="916" t="s">
        <v>390</v>
      </c>
      <c r="D75" s="811" t="s">
        <v>390</v>
      </c>
      <c r="E75" s="810" t="s">
        <v>390</v>
      </c>
      <c r="F75" s="811" t="s">
        <v>390</v>
      </c>
      <c r="G75" s="917" t="s">
        <v>390</v>
      </c>
      <c r="H75" s="811" t="s">
        <v>390</v>
      </c>
      <c r="I75" s="917" t="s">
        <v>390</v>
      </c>
    </row>
    <row r="76" spans="1:9" ht="14" thickBot="1">
      <c r="A76" s="911" t="s">
        <v>390</v>
      </c>
      <c r="B76" s="912" t="s">
        <v>390</v>
      </c>
      <c r="C76" s="916" t="s">
        <v>390</v>
      </c>
      <c r="D76" s="811" t="s">
        <v>390</v>
      </c>
      <c r="E76" s="810" t="s">
        <v>390</v>
      </c>
      <c r="F76" s="811" t="s">
        <v>390</v>
      </c>
      <c r="G76" s="917" t="s">
        <v>390</v>
      </c>
      <c r="H76" s="811" t="s">
        <v>390</v>
      </c>
      <c r="I76" s="917" t="s">
        <v>390</v>
      </c>
    </row>
    <row r="77" spans="1:9" ht="14" thickBot="1">
      <c r="A77" s="911" t="s">
        <v>390</v>
      </c>
      <c r="B77" s="912" t="s">
        <v>390</v>
      </c>
      <c r="C77" s="916" t="s">
        <v>390</v>
      </c>
      <c r="D77" s="811" t="s">
        <v>390</v>
      </c>
      <c r="E77" s="810" t="s">
        <v>390</v>
      </c>
      <c r="F77" s="811" t="s">
        <v>390</v>
      </c>
      <c r="G77" s="917" t="s">
        <v>390</v>
      </c>
      <c r="H77" s="811" t="s">
        <v>390</v>
      </c>
      <c r="I77" s="917" t="s">
        <v>390</v>
      </c>
    </row>
    <row r="78" spans="1:9" ht="14" thickBot="1">
      <c r="A78" s="911" t="s">
        <v>390</v>
      </c>
      <c r="B78" s="912" t="s">
        <v>390</v>
      </c>
      <c r="C78" s="916" t="s">
        <v>390</v>
      </c>
      <c r="D78" s="811" t="s">
        <v>390</v>
      </c>
      <c r="E78" s="810" t="s">
        <v>390</v>
      </c>
      <c r="F78" s="811" t="s">
        <v>390</v>
      </c>
      <c r="G78" s="917" t="s">
        <v>390</v>
      </c>
      <c r="H78" s="811" t="s">
        <v>390</v>
      </c>
      <c r="I78" s="917" t="s">
        <v>390</v>
      </c>
    </row>
    <row r="79" spans="1:9" ht="14" thickBot="1">
      <c r="A79" s="911" t="s">
        <v>390</v>
      </c>
      <c r="B79" s="912" t="s">
        <v>390</v>
      </c>
      <c r="C79" s="916" t="s">
        <v>390</v>
      </c>
      <c r="D79" s="811" t="s">
        <v>390</v>
      </c>
      <c r="E79" s="810" t="s">
        <v>390</v>
      </c>
      <c r="F79" s="811" t="s">
        <v>390</v>
      </c>
      <c r="G79" s="917" t="s">
        <v>390</v>
      </c>
      <c r="H79" s="811" t="s">
        <v>390</v>
      </c>
      <c r="I79" s="917" t="s">
        <v>390</v>
      </c>
    </row>
    <row r="80" spans="1:9" ht="14" thickBot="1">
      <c r="A80" s="911" t="s">
        <v>390</v>
      </c>
      <c r="B80" s="912" t="s">
        <v>390</v>
      </c>
      <c r="C80" s="916" t="s">
        <v>390</v>
      </c>
      <c r="D80" s="811" t="s">
        <v>390</v>
      </c>
      <c r="E80" s="810" t="s">
        <v>390</v>
      </c>
      <c r="F80" s="811" t="s">
        <v>390</v>
      </c>
      <c r="G80" s="917" t="s">
        <v>390</v>
      </c>
      <c r="H80" s="811" t="s">
        <v>390</v>
      </c>
      <c r="I80" s="917" t="s">
        <v>390</v>
      </c>
    </row>
    <row r="81" spans="1:9" s="200" customFormat="1" ht="18.75" customHeight="1" thickBot="1">
      <c r="A81" s="827" t="s">
        <v>381</v>
      </c>
      <c r="B81" s="828">
        <v>60</v>
      </c>
      <c r="C81" s="929">
        <v>6</v>
      </c>
      <c r="D81" s="830">
        <v>248172.3</v>
      </c>
      <c r="E81" s="829">
        <v>191238.09276</v>
      </c>
      <c r="F81" s="830">
        <v>39563.440770000001</v>
      </c>
      <c r="G81" s="829">
        <v>5425.2000399999997</v>
      </c>
      <c r="H81" s="830">
        <v>91258.897140000001</v>
      </c>
      <c r="I81" s="930">
        <v>592839.18311999994</v>
      </c>
    </row>
    <row r="82" spans="1:9" ht="16.5" customHeight="1" thickBot="1">
      <c r="A82" s="639" t="s">
        <v>346</v>
      </c>
      <c r="C82" s="832"/>
      <c r="D82" s="833"/>
      <c r="E82" s="833"/>
      <c r="F82" s="873"/>
      <c r="G82" s="833"/>
      <c r="H82" s="874"/>
      <c r="I82" s="875"/>
    </row>
    <row r="84" spans="1:9">
      <c r="A84" s="3" t="s">
        <v>1398</v>
      </c>
    </row>
    <row r="86" spans="1:9">
      <c r="A86" s="931" t="s">
        <v>1399</v>
      </c>
      <c r="B86" s="836"/>
    </row>
    <row r="87" spans="1:9">
      <c r="A87" s="245">
        <v>0</v>
      </c>
      <c r="B87" s="80" t="s">
        <v>1400</v>
      </c>
    </row>
    <row r="88" spans="1:9">
      <c r="A88" s="245">
        <v>1</v>
      </c>
      <c r="B88" s="80" t="s">
        <v>1401</v>
      </c>
    </row>
    <row r="89" spans="1:9">
      <c r="A89" s="245">
        <v>2</v>
      </c>
      <c r="B89" s="80" t="s">
        <v>1402</v>
      </c>
    </row>
    <row r="90" spans="1:9">
      <c r="A90" s="245">
        <v>3</v>
      </c>
      <c r="B90" s="80" t="s">
        <v>1403</v>
      </c>
    </row>
    <row r="91" spans="1:9">
      <c r="A91" s="245" t="s">
        <v>1307</v>
      </c>
      <c r="B91" s="80" t="s">
        <v>1404</v>
      </c>
    </row>
    <row r="92" spans="1:9">
      <c r="A92" s="245">
        <v>5</v>
      </c>
      <c r="B92" s="80" t="s">
        <v>1405</v>
      </c>
    </row>
    <row r="93" spans="1:9">
      <c r="A93" s="245">
        <v>6</v>
      </c>
      <c r="B93" s="80" t="s">
        <v>1406</v>
      </c>
    </row>
    <row r="94" spans="1:9">
      <c r="A94" s="245">
        <v>7</v>
      </c>
      <c r="B94" s="80" t="s">
        <v>1407</v>
      </c>
    </row>
    <row r="97" spans="1:1">
      <c r="A97" s="3" t="s">
        <v>302</v>
      </c>
    </row>
  </sheetData>
  <pageMargins left="0.39370078740157483" right="0.35433070866141736" top="0.35433070866141736" bottom="0.31496062992125984" header="0.27559055118110237" footer="0.23622047244094491"/>
  <pageSetup paperSize="9" scale="55" pageOrder="overThenDown" orientation="portrait" horizontalDpi="1200" verticalDpi="1200"/>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1C7B-86B6-B747-80E2-05CACE1BCC90}">
  <dimension ref="A1:AG87"/>
  <sheetViews>
    <sheetView topLeftCell="A61" zoomScaleNormal="100" workbookViewId="0">
      <selection activeCell="AG10" sqref="AG10"/>
    </sheetView>
  </sheetViews>
  <sheetFormatPr baseColWidth="10" defaultColWidth="11.3984375" defaultRowHeight="13"/>
  <cols>
    <col min="1" max="1" width="7.59765625" style="245" customWidth="1"/>
    <col min="2" max="2" width="50.19921875" style="245" customWidth="1"/>
    <col min="3" max="4" width="15.19921875" style="245" customWidth="1"/>
    <col min="5" max="7" width="15.19921875" style="3" customWidth="1"/>
    <col min="8" max="9" width="15.19921875" style="6" customWidth="1"/>
    <col min="10" max="16" width="15.19921875" style="3" customWidth="1"/>
    <col min="17" max="17" width="1.19921875" style="3" customWidth="1"/>
    <col min="18" max="18" width="15.19921875" style="3" customWidth="1"/>
    <col min="19" max="19" width="15.19921875" style="881" customWidth="1"/>
    <col min="20" max="31" width="15.19921875" style="3" customWidth="1"/>
    <col min="32" max="32" width="7.19921875" style="3" customWidth="1"/>
    <col min="33" max="33" width="15.3984375" style="3" customWidth="1"/>
    <col min="34" max="16384" width="11.3984375" style="3"/>
  </cols>
  <sheetData>
    <row r="1" spans="1:33" s="1" customFormat="1" ht="14" customHeight="1">
      <c r="A1" s="221"/>
      <c r="B1" s="221"/>
      <c r="C1" s="221"/>
      <c r="D1" s="221"/>
      <c r="H1" s="403"/>
      <c r="I1" s="403"/>
      <c r="S1" s="838"/>
    </row>
    <row r="2" spans="1:33" s="1" customFormat="1" ht="40.25" customHeight="1">
      <c r="A2" s="2023" t="s">
        <v>2607</v>
      </c>
      <c r="B2" s="2018"/>
      <c r="C2" s="839"/>
      <c r="D2" s="839"/>
      <c r="E2" s="840"/>
      <c r="F2" s="840"/>
      <c r="G2" s="840"/>
      <c r="H2" s="193"/>
      <c r="I2" s="403"/>
      <c r="J2" s="194"/>
      <c r="P2" s="841">
        <v>2013</v>
      </c>
      <c r="Q2" s="841"/>
      <c r="V2" s="842"/>
      <c r="AG2" s="842">
        <v>2013</v>
      </c>
    </row>
    <row r="3" spans="1:33" s="1" customFormat="1" ht="12" customHeight="1">
      <c r="A3" s="221"/>
      <c r="B3" s="221"/>
      <c r="C3" s="221"/>
      <c r="D3" s="221"/>
      <c r="H3" s="403"/>
      <c r="I3" s="403"/>
      <c r="S3" s="843"/>
      <c r="U3" s="844"/>
      <c r="W3" s="844"/>
      <c r="X3" s="844"/>
      <c r="Y3" s="844"/>
      <c r="Z3" s="844"/>
      <c r="AA3" s="844"/>
      <c r="AB3" s="844"/>
      <c r="AC3" s="844"/>
      <c r="AD3" s="844"/>
      <c r="AE3" s="844"/>
      <c r="AF3" s="844"/>
      <c r="AG3" s="844"/>
    </row>
    <row r="4" spans="1:33" ht="18" customHeight="1">
      <c r="A4" s="845" t="s">
        <v>1218</v>
      </c>
      <c r="B4" s="845" t="s">
        <v>1303</v>
      </c>
      <c r="C4" s="846"/>
      <c r="D4" s="847"/>
      <c r="E4" s="846"/>
      <c r="F4" s="847"/>
      <c r="G4" s="846"/>
      <c r="H4" s="848"/>
      <c r="I4" s="849"/>
      <c r="J4" s="847"/>
      <c r="K4" s="846"/>
      <c r="L4" s="847"/>
      <c r="M4" s="846"/>
      <c r="N4" s="848"/>
      <c r="O4" s="849"/>
      <c r="P4" s="848"/>
      <c r="Q4" s="847"/>
      <c r="R4" s="849"/>
      <c r="S4" s="791"/>
      <c r="T4" s="849"/>
      <c r="U4" s="72"/>
      <c r="V4" s="849"/>
      <c r="W4" s="72"/>
      <c r="X4" s="850"/>
      <c r="Y4" s="72"/>
      <c r="Z4" s="850"/>
      <c r="AA4" s="72"/>
      <c r="AB4" s="850"/>
      <c r="AC4" s="72"/>
      <c r="AD4" s="850"/>
      <c r="AE4" s="72"/>
      <c r="AF4" s="850"/>
      <c r="AG4" s="72"/>
    </row>
    <row r="5" spans="1:33" ht="15" customHeight="1">
      <c r="A5" s="789" t="s">
        <v>1223</v>
      </c>
      <c r="B5" s="789"/>
      <c r="C5" s="790" t="s">
        <v>2598</v>
      </c>
      <c r="D5" s="791" t="s">
        <v>502</v>
      </c>
      <c r="E5" s="790" t="s">
        <v>503</v>
      </c>
      <c r="F5" s="791" t="s">
        <v>504</v>
      </c>
      <c r="G5" s="790" t="s">
        <v>505</v>
      </c>
      <c r="H5" s="851" t="s">
        <v>506</v>
      </c>
      <c r="I5" s="852" t="s">
        <v>507</v>
      </c>
      <c r="J5" s="791" t="s">
        <v>508</v>
      </c>
      <c r="K5" s="790" t="s">
        <v>509</v>
      </c>
      <c r="L5" s="791" t="s">
        <v>510</v>
      </c>
      <c r="M5" s="790" t="s">
        <v>511</v>
      </c>
      <c r="N5" s="851" t="s">
        <v>512</v>
      </c>
      <c r="O5" s="852" t="s">
        <v>513</v>
      </c>
      <c r="P5" s="851" t="s">
        <v>514</v>
      </c>
      <c r="Q5" s="791"/>
      <c r="R5" s="852" t="s">
        <v>515</v>
      </c>
      <c r="S5" s="791" t="s">
        <v>516</v>
      </c>
      <c r="T5" s="852" t="s">
        <v>517</v>
      </c>
      <c r="U5" s="791" t="s">
        <v>518</v>
      </c>
      <c r="V5" s="852" t="s">
        <v>519</v>
      </c>
      <c r="W5" s="853" t="s">
        <v>520</v>
      </c>
      <c r="X5" s="254" t="s">
        <v>521</v>
      </c>
      <c r="Y5" s="853" t="s">
        <v>522</v>
      </c>
      <c r="Z5" s="254" t="s">
        <v>523</v>
      </c>
      <c r="AA5" s="853" t="s">
        <v>524</v>
      </c>
      <c r="AB5" s="254" t="s">
        <v>525</v>
      </c>
      <c r="AC5" s="853" t="s">
        <v>526</v>
      </c>
      <c r="AD5" s="254" t="s">
        <v>527</v>
      </c>
      <c r="AE5" s="853" t="s">
        <v>2599</v>
      </c>
      <c r="AF5" s="254"/>
      <c r="AG5" s="853" t="s">
        <v>2600</v>
      </c>
    </row>
    <row r="6" spans="1:33" ht="15" customHeight="1">
      <c r="A6" s="789"/>
      <c r="B6" s="789"/>
      <c r="C6" s="790"/>
      <c r="D6" s="791"/>
      <c r="E6" s="790"/>
      <c r="F6" s="791"/>
      <c r="G6" s="790"/>
      <c r="H6" s="851"/>
      <c r="I6" s="852"/>
      <c r="J6" s="791"/>
      <c r="K6" s="790"/>
      <c r="L6" s="791"/>
      <c r="M6" s="790"/>
      <c r="N6" s="851"/>
      <c r="O6" s="852"/>
      <c r="P6" s="851"/>
      <c r="Q6" s="791"/>
      <c r="R6" s="852"/>
      <c r="S6" s="791"/>
      <c r="T6" s="852"/>
      <c r="U6" s="791"/>
      <c r="V6" s="852"/>
      <c r="W6" s="853"/>
      <c r="X6" s="254"/>
      <c r="Y6" s="853"/>
      <c r="Z6" s="254"/>
      <c r="AA6" s="853"/>
      <c r="AB6" s="254"/>
      <c r="AC6" s="853"/>
      <c r="AD6" s="254"/>
      <c r="AE6" s="853"/>
      <c r="AF6" s="254"/>
      <c r="AG6" s="853"/>
    </row>
    <row r="7" spans="1:33" ht="15" customHeight="1">
      <c r="A7" s="789"/>
      <c r="B7" s="789"/>
      <c r="C7" s="790"/>
      <c r="D7" s="791" t="s">
        <v>1304</v>
      </c>
      <c r="E7" s="790" t="s">
        <v>1305</v>
      </c>
      <c r="F7" s="791" t="s">
        <v>1306</v>
      </c>
      <c r="G7" s="790" t="s">
        <v>1307</v>
      </c>
      <c r="H7" s="851" t="s">
        <v>872</v>
      </c>
      <c r="I7" s="852" t="s">
        <v>1308</v>
      </c>
      <c r="J7" s="791" t="s">
        <v>1309</v>
      </c>
      <c r="K7" s="790" t="s">
        <v>1310</v>
      </c>
      <c r="L7" s="791" t="s">
        <v>1311</v>
      </c>
      <c r="M7" s="790" t="s">
        <v>1312</v>
      </c>
      <c r="N7" s="851" t="s">
        <v>1313</v>
      </c>
      <c r="O7" s="852" t="s">
        <v>1314</v>
      </c>
      <c r="P7" s="851" t="s">
        <v>1315</v>
      </c>
      <c r="Q7" s="791"/>
      <c r="R7" s="852" t="s">
        <v>1316</v>
      </c>
      <c r="S7" s="791" t="s">
        <v>1317</v>
      </c>
      <c r="T7" s="852" t="s">
        <v>1318</v>
      </c>
      <c r="U7" s="791" t="s">
        <v>1319</v>
      </c>
      <c r="V7" s="852" t="s">
        <v>1320</v>
      </c>
      <c r="W7" s="853" t="s">
        <v>1321</v>
      </c>
      <c r="X7" s="254" t="s">
        <v>1322</v>
      </c>
      <c r="Y7" s="853" t="s">
        <v>1323</v>
      </c>
      <c r="Z7" s="254" t="s">
        <v>1324</v>
      </c>
      <c r="AA7" s="853" t="s">
        <v>1325</v>
      </c>
      <c r="AB7" s="254" t="s">
        <v>1326</v>
      </c>
      <c r="AC7" s="853" t="s">
        <v>1327</v>
      </c>
      <c r="AD7" s="254" t="s">
        <v>1328</v>
      </c>
      <c r="AE7" s="853" t="s">
        <v>1329</v>
      </c>
      <c r="AF7" s="254"/>
      <c r="AG7" s="853">
        <v>28</v>
      </c>
    </row>
    <row r="8" spans="1:33" ht="21" customHeight="1">
      <c r="A8" s="854"/>
      <c r="B8" s="854"/>
      <c r="C8" s="855"/>
      <c r="D8" s="856"/>
      <c r="E8" s="855"/>
      <c r="F8" s="856"/>
      <c r="G8" s="855"/>
      <c r="H8" s="857"/>
      <c r="I8" s="858"/>
      <c r="J8" s="856"/>
      <c r="K8" s="855"/>
      <c r="L8" s="856"/>
      <c r="M8" s="855"/>
      <c r="N8" s="857"/>
      <c r="O8" s="858"/>
      <c r="P8" s="857"/>
      <c r="Q8" s="854"/>
      <c r="R8" s="858"/>
      <c r="S8" s="856"/>
      <c r="T8" s="858"/>
      <c r="U8" s="856"/>
      <c r="V8" s="858"/>
      <c r="W8" s="856"/>
      <c r="X8" s="855"/>
      <c r="Y8" s="856"/>
      <c r="Z8" s="855"/>
      <c r="AA8" s="856"/>
      <c r="AB8" s="855"/>
      <c r="AC8" s="856"/>
      <c r="AD8" s="855"/>
      <c r="AE8" s="856"/>
      <c r="AF8" s="855"/>
      <c r="AG8" s="856"/>
    </row>
    <row r="9" spans="1:33" ht="14" thickBot="1">
      <c r="A9" s="825">
        <v>8</v>
      </c>
      <c r="B9" s="799" t="s">
        <v>1334</v>
      </c>
      <c r="C9" s="859">
        <v>847317.08</v>
      </c>
      <c r="D9" s="860">
        <v>111239.66</v>
      </c>
      <c r="E9" s="861">
        <v>19073.100000000002</v>
      </c>
      <c r="F9" s="860">
        <v>92181.66</v>
      </c>
      <c r="G9" s="861">
        <v>3641.46</v>
      </c>
      <c r="H9" s="860">
        <v>42429.21</v>
      </c>
      <c r="I9" s="859">
        <v>8291.2100000000009</v>
      </c>
      <c r="J9" s="860">
        <v>9102.23</v>
      </c>
      <c r="K9" s="859">
        <v>1196.69</v>
      </c>
      <c r="L9" s="860">
        <v>25657.56</v>
      </c>
      <c r="M9" s="861">
        <v>80818.12</v>
      </c>
      <c r="N9" s="860">
        <v>25927.81</v>
      </c>
      <c r="O9" s="861">
        <v>5291.2</v>
      </c>
      <c r="P9" s="860">
        <v>23685.88</v>
      </c>
      <c r="Q9" s="860" t="s">
        <v>390</v>
      </c>
      <c r="R9" s="861">
        <v>2242.19</v>
      </c>
      <c r="S9" s="860">
        <v>2182.44</v>
      </c>
      <c r="T9" s="861">
        <v>2168.73</v>
      </c>
      <c r="U9" s="860">
        <v>71322.22</v>
      </c>
      <c r="V9" s="861">
        <v>5044.0600000000004</v>
      </c>
      <c r="W9" s="860">
        <v>92590.54</v>
      </c>
      <c r="X9" s="861">
        <v>23140.42</v>
      </c>
      <c r="Y9" s="860">
        <v>16376.62</v>
      </c>
      <c r="Z9" s="861">
        <v>54862.67</v>
      </c>
      <c r="AA9" s="860">
        <v>37840.74</v>
      </c>
      <c r="AB9" s="861">
        <v>23355.74</v>
      </c>
      <c r="AC9" s="860">
        <v>58135.51</v>
      </c>
      <c r="AD9" s="861">
        <v>9519.41</v>
      </c>
      <c r="AE9" s="860" t="s">
        <v>390</v>
      </c>
      <c r="AF9" s="861"/>
      <c r="AG9" s="860" vm="557">
        <v>515.12440000000004</v>
      </c>
    </row>
    <row r="10" spans="1:33" ht="14" thickBot="1">
      <c r="A10" s="825">
        <v>32</v>
      </c>
      <c r="B10" s="799" t="s">
        <v>1238</v>
      </c>
      <c r="C10" s="859">
        <v>40023.19</v>
      </c>
      <c r="D10" s="860">
        <v>10782.34</v>
      </c>
      <c r="E10" s="861">
        <v>471.17</v>
      </c>
      <c r="F10" s="860">
        <v>249.51000000000002</v>
      </c>
      <c r="G10" s="861">
        <v>14.17</v>
      </c>
      <c r="H10" s="860">
        <v>1452.84</v>
      </c>
      <c r="I10" s="859">
        <v>944</v>
      </c>
      <c r="J10" s="860">
        <v>822.08</v>
      </c>
      <c r="K10" s="859">
        <v>419.58</v>
      </c>
      <c r="L10" s="860">
        <v>233.83</v>
      </c>
      <c r="M10" s="861">
        <v>148.25</v>
      </c>
      <c r="N10" s="860">
        <v>284.17</v>
      </c>
      <c r="O10" s="861">
        <v>150.42000000000002</v>
      </c>
      <c r="P10" s="860">
        <v>280</v>
      </c>
      <c r="Q10" s="860" t="s">
        <v>390</v>
      </c>
      <c r="R10" s="861">
        <v>126.91</v>
      </c>
      <c r="S10" s="860">
        <v>35.58</v>
      </c>
      <c r="T10" s="862">
        <v>6.17</v>
      </c>
      <c r="U10" s="863">
        <v>311.49</v>
      </c>
      <c r="V10" s="862">
        <v>2266.58</v>
      </c>
      <c r="W10" s="860">
        <v>19506.66</v>
      </c>
      <c r="X10" s="861">
        <v>370.58</v>
      </c>
      <c r="Y10" s="863">
        <v>322.25</v>
      </c>
      <c r="Z10" s="861">
        <v>463.17</v>
      </c>
      <c r="AA10" s="860">
        <v>82.59</v>
      </c>
      <c r="AB10" s="862">
        <v>24.91</v>
      </c>
      <c r="AC10" s="863">
        <v>246.92</v>
      </c>
      <c r="AD10" s="862">
        <v>7</v>
      </c>
      <c r="AE10" s="863" t="s">
        <v>390</v>
      </c>
      <c r="AF10" s="862" t="s">
        <v>390</v>
      </c>
      <c r="AG10" s="1988" vm="558">
        <v>2046</v>
      </c>
    </row>
    <row r="11" spans="1:33" ht="14" thickBot="1">
      <c r="A11" s="825">
        <v>57</v>
      </c>
      <c r="B11" s="799" t="s">
        <v>1239</v>
      </c>
      <c r="C11" s="859">
        <v>6488.5</v>
      </c>
      <c r="D11" s="860">
        <v>274</v>
      </c>
      <c r="E11" s="861">
        <v>301.25</v>
      </c>
      <c r="F11" s="860">
        <v>224.42</v>
      </c>
      <c r="G11" s="861">
        <v>6</v>
      </c>
      <c r="H11" s="860">
        <v>7.58</v>
      </c>
      <c r="I11" s="859">
        <v>33</v>
      </c>
      <c r="J11" s="860">
        <v>23</v>
      </c>
      <c r="K11" s="859">
        <v>5</v>
      </c>
      <c r="L11" s="860">
        <v>9.33</v>
      </c>
      <c r="M11" s="861">
        <v>97.75</v>
      </c>
      <c r="N11" s="860">
        <v>1046.33</v>
      </c>
      <c r="O11" s="861">
        <v>298.08</v>
      </c>
      <c r="P11" s="860">
        <v>596.33000000000004</v>
      </c>
      <c r="Q11" s="860" t="s">
        <v>390</v>
      </c>
      <c r="R11" s="861">
        <v>5.75</v>
      </c>
      <c r="S11" s="860">
        <v>3</v>
      </c>
      <c r="T11" s="862" t="s">
        <v>390</v>
      </c>
      <c r="U11" s="863">
        <v>40.42</v>
      </c>
      <c r="V11" s="862">
        <v>19</v>
      </c>
      <c r="W11" s="860">
        <v>712.58</v>
      </c>
      <c r="X11" s="861">
        <v>26.08</v>
      </c>
      <c r="Y11" s="863">
        <v>130.83000000000001</v>
      </c>
      <c r="Z11" s="861">
        <v>1053.33</v>
      </c>
      <c r="AA11" s="860">
        <v>535.25</v>
      </c>
      <c r="AB11" s="862">
        <v>28.92</v>
      </c>
      <c r="AC11" s="863">
        <v>1005.5</v>
      </c>
      <c r="AD11" s="862">
        <v>5.75</v>
      </c>
      <c r="AE11" s="863" t="s">
        <v>390</v>
      </c>
      <c r="AF11" s="862" t="s">
        <v>390</v>
      </c>
      <c r="AG11" s="863" t="s">
        <v>390</v>
      </c>
    </row>
    <row r="12" spans="1:33" ht="14" thickBot="1">
      <c r="A12" s="825">
        <v>62</v>
      </c>
      <c r="B12" s="799" t="s">
        <v>1335</v>
      </c>
      <c r="C12" s="859">
        <v>60043.17</v>
      </c>
      <c r="D12" s="860">
        <v>1040.58</v>
      </c>
      <c r="E12" s="861">
        <v>12203.83</v>
      </c>
      <c r="F12" s="860">
        <v>144.42000000000002</v>
      </c>
      <c r="G12" s="861">
        <v>19</v>
      </c>
      <c r="H12" s="860">
        <v>70.25</v>
      </c>
      <c r="I12" s="859">
        <v>11.83</v>
      </c>
      <c r="J12" s="860">
        <v>21</v>
      </c>
      <c r="K12" s="859">
        <v>29.17</v>
      </c>
      <c r="L12" s="860">
        <v>40.67</v>
      </c>
      <c r="M12" s="861">
        <v>810.75</v>
      </c>
      <c r="N12" s="860">
        <v>147.67000000000002</v>
      </c>
      <c r="O12" s="861">
        <v>242.33</v>
      </c>
      <c r="P12" s="860">
        <v>5341.83</v>
      </c>
      <c r="Q12" s="860" t="s">
        <v>390</v>
      </c>
      <c r="R12" s="861">
        <v>44.25</v>
      </c>
      <c r="S12" s="860">
        <v>561.33000000000004</v>
      </c>
      <c r="T12" s="862">
        <v>4.33</v>
      </c>
      <c r="U12" s="863">
        <v>151</v>
      </c>
      <c r="V12" s="862">
        <v>134.75</v>
      </c>
      <c r="W12" s="860">
        <v>334.5</v>
      </c>
      <c r="X12" s="861">
        <v>101.58</v>
      </c>
      <c r="Y12" s="863">
        <v>6078.17</v>
      </c>
      <c r="Z12" s="861">
        <v>27178.42</v>
      </c>
      <c r="AA12" s="860">
        <v>1154.17</v>
      </c>
      <c r="AB12" s="862">
        <v>914.58</v>
      </c>
      <c r="AC12" s="863">
        <v>3117.25</v>
      </c>
      <c r="AD12" s="862">
        <v>145.5</v>
      </c>
      <c r="AE12" s="863" t="s">
        <v>390</v>
      </c>
      <c r="AF12" s="862" t="s">
        <v>390</v>
      </c>
      <c r="AG12" s="863" t="s">
        <v>390</v>
      </c>
    </row>
    <row r="13" spans="1:33" ht="14" thickBot="1">
      <c r="A13" s="825">
        <v>134</v>
      </c>
      <c r="B13" s="799" t="s">
        <v>1336</v>
      </c>
      <c r="C13" s="859">
        <v>3627.51</v>
      </c>
      <c r="D13" s="860">
        <v>120.58</v>
      </c>
      <c r="E13" s="861" t="s">
        <v>390</v>
      </c>
      <c r="F13" s="860">
        <v>12.91</v>
      </c>
      <c r="G13" s="861">
        <v>2.16</v>
      </c>
      <c r="H13" s="860">
        <v>3427.83</v>
      </c>
      <c r="I13" s="859" t="s">
        <v>390</v>
      </c>
      <c r="J13" s="860">
        <v>5</v>
      </c>
      <c r="K13" s="859">
        <v>10</v>
      </c>
      <c r="L13" s="860">
        <v>23.83</v>
      </c>
      <c r="M13" s="861" t="s">
        <v>390</v>
      </c>
      <c r="N13" s="860" t="s">
        <v>390</v>
      </c>
      <c r="O13" s="861" t="s">
        <v>390</v>
      </c>
      <c r="P13" s="860" t="s">
        <v>390</v>
      </c>
      <c r="Q13" s="860" t="s">
        <v>390</v>
      </c>
      <c r="R13" s="861" t="s">
        <v>390</v>
      </c>
      <c r="S13" s="860" t="s">
        <v>390</v>
      </c>
      <c r="T13" s="862" t="s">
        <v>390</v>
      </c>
      <c r="U13" s="863">
        <v>25.17</v>
      </c>
      <c r="V13" s="862" t="s">
        <v>390</v>
      </c>
      <c r="W13" s="860" t="s">
        <v>390</v>
      </c>
      <c r="X13" s="861" t="s">
        <v>390</v>
      </c>
      <c r="Y13" s="863" t="s">
        <v>390</v>
      </c>
      <c r="Z13" s="861" t="s">
        <v>390</v>
      </c>
      <c r="AA13" s="860" t="s">
        <v>390</v>
      </c>
      <c r="AB13" s="862" t="s">
        <v>390</v>
      </c>
      <c r="AC13" s="863" t="s">
        <v>390</v>
      </c>
      <c r="AD13" s="862" t="s">
        <v>390</v>
      </c>
      <c r="AE13" s="863" t="s">
        <v>390</v>
      </c>
      <c r="AF13" s="862" t="s">
        <v>390</v>
      </c>
      <c r="AG13" s="863" t="s">
        <v>390</v>
      </c>
    </row>
    <row r="14" spans="1:33" ht="14" thickBot="1">
      <c r="A14" s="825">
        <v>182</v>
      </c>
      <c r="B14" s="799" t="s">
        <v>1242</v>
      </c>
      <c r="C14" s="859">
        <v>61948.25</v>
      </c>
      <c r="D14" s="860">
        <v>31297.67</v>
      </c>
      <c r="E14" s="861">
        <v>1412.17</v>
      </c>
      <c r="F14" s="860">
        <v>1662.42</v>
      </c>
      <c r="G14" s="861">
        <v>152.83000000000001</v>
      </c>
      <c r="H14" s="860">
        <v>1560.5</v>
      </c>
      <c r="I14" s="859">
        <v>173.58</v>
      </c>
      <c r="J14" s="860">
        <v>193.67</v>
      </c>
      <c r="K14" s="859">
        <v>260.33</v>
      </c>
      <c r="L14" s="860">
        <v>325.75</v>
      </c>
      <c r="M14" s="861">
        <v>285.67</v>
      </c>
      <c r="N14" s="860">
        <v>4013.33</v>
      </c>
      <c r="O14" s="861">
        <v>148.58000000000001</v>
      </c>
      <c r="P14" s="860">
        <v>323</v>
      </c>
      <c r="Q14" s="860" t="s">
        <v>390</v>
      </c>
      <c r="R14" s="861">
        <v>1169.25</v>
      </c>
      <c r="S14" s="860">
        <v>402.5</v>
      </c>
      <c r="T14" s="862">
        <v>23.5</v>
      </c>
      <c r="U14" s="863">
        <v>9323.58</v>
      </c>
      <c r="V14" s="862">
        <v>207.5</v>
      </c>
      <c r="W14" s="860">
        <v>4036.42</v>
      </c>
      <c r="X14" s="861">
        <v>3954.58</v>
      </c>
      <c r="Y14" s="863">
        <v>63.58</v>
      </c>
      <c r="Z14" s="861">
        <v>279.58</v>
      </c>
      <c r="AA14" s="860">
        <v>112.83</v>
      </c>
      <c r="AB14" s="862">
        <v>72.5</v>
      </c>
      <c r="AC14" s="863">
        <v>476.33</v>
      </c>
      <c r="AD14" s="862">
        <v>16.580000000000002</v>
      </c>
      <c r="AE14" s="863" t="s">
        <v>390</v>
      </c>
      <c r="AF14" s="862" t="s">
        <v>390</v>
      </c>
      <c r="AG14" s="863" t="s">
        <v>390</v>
      </c>
    </row>
    <row r="15" spans="1:33" ht="14" thickBot="1">
      <c r="A15" s="825">
        <v>194</v>
      </c>
      <c r="B15" s="799" t="s">
        <v>1243</v>
      </c>
      <c r="C15" s="859">
        <v>18961.330000000002</v>
      </c>
      <c r="D15" s="860">
        <v>552.58000000000004</v>
      </c>
      <c r="E15" s="861">
        <v>15807.5</v>
      </c>
      <c r="F15" s="860">
        <v>191.59</v>
      </c>
      <c r="G15" s="861">
        <v>17</v>
      </c>
      <c r="H15" s="860">
        <v>66.16</v>
      </c>
      <c r="I15" s="859">
        <v>21.42</v>
      </c>
      <c r="J15" s="860">
        <v>19.5</v>
      </c>
      <c r="K15" s="859">
        <v>18.330000000000002</v>
      </c>
      <c r="L15" s="860">
        <v>48.34</v>
      </c>
      <c r="M15" s="861">
        <v>237.84</v>
      </c>
      <c r="N15" s="860">
        <v>683.84</v>
      </c>
      <c r="O15" s="861">
        <v>54.26</v>
      </c>
      <c r="P15" s="860">
        <v>246.5</v>
      </c>
      <c r="Q15" s="860" t="s">
        <v>390</v>
      </c>
      <c r="R15" s="861">
        <v>60.17</v>
      </c>
      <c r="S15" s="860">
        <v>30.59</v>
      </c>
      <c r="T15" s="862">
        <v>2.5</v>
      </c>
      <c r="U15" s="863">
        <v>87.75</v>
      </c>
      <c r="V15" s="862">
        <v>93.67</v>
      </c>
      <c r="W15" s="860">
        <v>521.16</v>
      </c>
      <c r="X15" s="861">
        <v>138.25</v>
      </c>
      <c r="Y15" s="863" t="s">
        <v>390</v>
      </c>
      <c r="Z15" s="861" t="s">
        <v>390</v>
      </c>
      <c r="AA15" s="860">
        <v>62.41</v>
      </c>
      <c r="AB15" s="862" t="s">
        <v>390</v>
      </c>
      <c r="AC15" s="863" t="s">
        <v>390</v>
      </c>
      <c r="AD15" s="862" t="s">
        <v>390</v>
      </c>
      <c r="AE15" s="863" t="s">
        <v>390</v>
      </c>
      <c r="AF15" s="862" t="s">
        <v>390</v>
      </c>
      <c r="AG15" s="863" t="s">
        <v>390</v>
      </c>
    </row>
    <row r="16" spans="1:33" ht="14" thickBot="1">
      <c r="A16" s="825">
        <v>246</v>
      </c>
      <c r="B16" s="799" t="s">
        <v>1244</v>
      </c>
      <c r="C16" s="859">
        <v>3337.57</v>
      </c>
      <c r="D16" s="860">
        <v>376.41</v>
      </c>
      <c r="E16" s="861">
        <v>2630.42</v>
      </c>
      <c r="F16" s="860" t="s">
        <v>390</v>
      </c>
      <c r="G16" s="861" t="s">
        <v>390</v>
      </c>
      <c r="H16" s="860" t="s">
        <v>390</v>
      </c>
      <c r="I16" s="859" t="s">
        <v>390</v>
      </c>
      <c r="J16" s="860" t="s">
        <v>390</v>
      </c>
      <c r="K16" s="859" t="s">
        <v>390</v>
      </c>
      <c r="L16" s="860" t="s">
        <v>390</v>
      </c>
      <c r="M16" s="861" t="s">
        <v>390</v>
      </c>
      <c r="N16" s="860">
        <v>202.42</v>
      </c>
      <c r="O16" s="861" t="s">
        <v>390</v>
      </c>
      <c r="P16" s="860" t="s">
        <v>390</v>
      </c>
      <c r="Q16" s="860" t="s">
        <v>390</v>
      </c>
      <c r="R16" s="861" t="s">
        <v>390</v>
      </c>
      <c r="S16" s="860" t="s">
        <v>390</v>
      </c>
      <c r="T16" s="862" t="s">
        <v>390</v>
      </c>
      <c r="U16" s="863" t="s">
        <v>390</v>
      </c>
      <c r="V16" s="862" t="s">
        <v>390</v>
      </c>
      <c r="W16" s="860">
        <v>128.33000000000001</v>
      </c>
      <c r="X16" s="861" t="s">
        <v>390</v>
      </c>
      <c r="Y16" s="863" t="s">
        <v>390</v>
      </c>
      <c r="Z16" s="861" t="s">
        <v>390</v>
      </c>
      <c r="AA16" s="860" t="s">
        <v>390</v>
      </c>
      <c r="AB16" s="862" t="s">
        <v>390</v>
      </c>
      <c r="AC16" s="863" t="s">
        <v>390</v>
      </c>
      <c r="AD16" s="862" t="s">
        <v>390</v>
      </c>
      <c r="AE16" s="863" t="s">
        <v>390</v>
      </c>
      <c r="AF16" s="862" t="s">
        <v>390</v>
      </c>
      <c r="AG16" s="863" t="s">
        <v>390</v>
      </c>
    </row>
    <row r="17" spans="1:33" ht="14" thickBot="1">
      <c r="A17" s="825">
        <v>290</v>
      </c>
      <c r="B17" s="799" t="s">
        <v>1337</v>
      </c>
      <c r="C17" s="859">
        <v>542287.4</v>
      </c>
      <c r="D17" s="860">
        <v>66848.17</v>
      </c>
      <c r="E17" s="861">
        <v>25264.17</v>
      </c>
      <c r="F17" s="860">
        <v>95261.98</v>
      </c>
      <c r="G17" s="861">
        <v>8762.42</v>
      </c>
      <c r="H17" s="860">
        <v>24068.09</v>
      </c>
      <c r="I17" s="859">
        <v>9945.67</v>
      </c>
      <c r="J17" s="860">
        <v>12043.5</v>
      </c>
      <c r="K17" s="859">
        <v>2934.33</v>
      </c>
      <c r="L17" s="860">
        <v>19738.25</v>
      </c>
      <c r="M17" s="861">
        <v>17051.75</v>
      </c>
      <c r="N17" s="860">
        <v>11663.5</v>
      </c>
      <c r="O17" s="861">
        <v>6489.16</v>
      </c>
      <c r="P17" s="860">
        <v>16128.08</v>
      </c>
      <c r="Q17" s="860" t="s">
        <v>390</v>
      </c>
      <c r="R17" s="861">
        <v>4215.17</v>
      </c>
      <c r="S17" s="860">
        <v>1643.17</v>
      </c>
      <c r="T17" s="862">
        <v>1644.42</v>
      </c>
      <c r="U17" s="863">
        <v>35962</v>
      </c>
      <c r="V17" s="862">
        <v>6380.49</v>
      </c>
      <c r="W17" s="860">
        <v>89884.17</v>
      </c>
      <c r="X17" s="861">
        <v>14831</v>
      </c>
      <c r="Y17" s="863">
        <v>15467.76</v>
      </c>
      <c r="Z17" s="861">
        <v>24196.16</v>
      </c>
      <c r="AA17" s="860">
        <v>11337.83</v>
      </c>
      <c r="AB17" s="862">
        <v>6713.83</v>
      </c>
      <c r="AC17" s="863">
        <v>9687.33</v>
      </c>
      <c r="AD17" s="862">
        <v>4125</v>
      </c>
      <c r="AE17" s="863" t="s">
        <v>390</v>
      </c>
      <c r="AF17" s="862" t="s">
        <v>390</v>
      </c>
      <c r="AG17" s="863" vm="559">
        <v>2147.1</v>
      </c>
    </row>
    <row r="18" spans="1:33" ht="14" thickBot="1">
      <c r="A18" s="825">
        <v>294</v>
      </c>
      <c r="B18" s="799" t="s">
        <v>1246</v>
      </c>
      <c r="C18" s="859">
        <v>8608.34</v>
      </c>
      <c r="D18" s="860">
        <v>854.84</v>
      </c>
      <c r="E18" s="861">
        <v>209.92</v>
      </c>
      <c r="F18" s="860">
        <v>3511.67</v>
      </c>
      <c r="G18" s="861">
        <v>13.33</v>
      </c>
      <c r="H18" s="860">
        <v>30.51</v>
      </c>
      <c r="I18" s="859">
        <v>509.25</v>
      </c>
      <c r="J18" s="860">
        <v>367.08</v>
      </c>
      <c r="K18" s="859">
        <v>1.42</v>
      </c>
      <c r="L18" s="860">
        <v>87</v>
      </c>
      <c r="M18" s="861">
        <v>36.42</v>
      </c>
      <c r="N18" s="860">
        <v>38.840000000000003</v>
      </c>
      <c r="O18" s="861">
        <v>27</v>
      </c>
      <c r="P18" s="860">
        <v>127.08</v>
      </c>
      <c r="Q18" s="860" t="s">
        <v>390</v>
      </c>
      <c r="R18" s="861">
        <v>13.17</v>
      </c>
      <c r="S18" s="860">
        <v>5.83</v>
      </c>
      <c r="T18" s="862">
        <v>1</v>
      </c>
      <c r="U18" s="863">
        <v>20</v>
      </c>
      <c r="V18" s="862">
        <v>14.08</v>
      </c>
      <c r="W18" s="860">
        <v>1301.67</v>
      </c>
      <c r="X18" s="861">
        <v>298.08</v>
      </c>
      <c r="Y18" s="863">
        <v>6</v>
      </c>
      <c r="Z18" s="861">
        <v>45.91</v>
      </c>
      <c r="AA18" s="860">
        <v>875.75</v>
      </c>
      <c r="AB18" s="862">
        <v>163.08000000000001</v>
      </c>
      <c r="AC18" s="863">
        <v>5.42</v>
      </c>
      <c r="AD18" s="862">
        <v>44</v>
      </c>
      <c r="AE18" s="863" t="s">
        <v>390</v>
      </c>
      <c r="AF18" s="862" t="s">
        <v>390</v>
      </c>
      <c r="AG18" s="863" t="s">
        <v>390</v>
      </c>
    </row>
    <row r="19" spans="1:33" ht="14" thickBot="1">
      <c r="A19" s="825">
        <v>312</v>
      </c>
      <c r="B19" s="799" t="s">
        <v>1338</v>
      </c>
      <c r="C19" s="859">
        <v>168330.33</v>
      </c>
      <c r="D19" s="860">
        <v>60106</v>
      </c>
      <c r="E19" s="861">
        <v>23244.42</v>
      </c>
      <c r="F19" s="860">
        <v>7450.42</v>
      </c>
      <c r="G19" s="861">
        <v>1030.25</v>
      </c>
      <c r="H19" s="860">
        <v>1769.25</v>
      </c>
      <c r="I19" s="859">
        <v>340.67</v>
      </c>
      <c r="J19" s="860">
        <v>323.5</v>
      </c>
      <c r="K19" s="859">
        <v>403.33</v>
      </c>
      <c r="L19" s="860">
        <v>1004.67</v>
      </c>
      <c r="M19" s="861">
        <v>5926.75</v>
      </c>
      <c r="N19" s="860">
        <v>4848.33</v>
      </c>
      <c r="O19" s="861">
        <v>1482.5</v>
      </c>
      <c r="P19" s="860">
        <v>6385.08</v>
      </c>
      <c r="Q19" s="860" t="s">
        <v>390</v>
      </c>
      <c r="R19" s="861">
        <v>943</v>
      </c>
      <c r="S19" s="860">
        <v>373.17</v>
      </c>
      <c r="T19" s="862">
        <v>51.42</v>
      </c>
      <c r="U19" s="863">
        <v>10688.33</v>
      </c>
      <c r="V19" s="862">
        <v>3901.08</v>
      </c>
      <c r="W19" s="860">
        <v>11888.17</v>
      </c>
      <c r="X19" s="861">
        <v>3932.5</v>
      </c>
      <c r="Y19" s="863">
        <v>9805.58</v>
      </c>
      <c r="Z19" s="861">
        <v>5354.42</v>
      </c>
      <c r="AA19" s="860">
        <v>3678.33</v>
      </c>
      <c r="AB19" s="862">
        <v>1055.25</v>
      </c>
      <c r="AC19" s="863">
        <v>1215.17</v>
      </c>
      <c r="AD19" s="862">
        <v>1128.75</v>
      </c>
      <c r="AE19" s="863" t="s">
        <v>390</v>
      </c>
      <c r="AF19" s="862" t="s">
        <v>390</v>
      </c>
      <c r="AG19" s="863" vm="560">
        <v>178.33332999999999</v>
      </c>
    </row>
    <row r="20" spans="1:33" ht="14" thickBot="1">
      <c r="A20" s="825">
        <v>343</v>
      </c>
      <c r="B20" s="799" t="s">
        <v>1248</v>
      </c>
      <c r="C20" s="859">
        <v>225831.93</v>
      </c>
      <c r="D20" s="860">
        <v>3409.5</v>
      </c>
      <c r="E20" s="861">
        <v>25975.83</v>
      </c>
      <c r="F20" s="860">
        <v>14052</v>
      </c>
      <c r="G20" s="861">
        <v>1923.58</v>
      </c>
      <c r="H20" s="860">
        <v>304</v>
      </c>
      <c r="I20" s="859">
        <v>134.75</v>
      </c>
      <c r="J20" s="860">
        <v>172.08</v>
      </c>
      <c r="K20" s="859">
        <v>2286</v>
      </c>
      <c r="L20" s="860">
        <v>5967.58</v>
      </c>
      <c r="M20" s="861">
        <v>8037.17</v>
      </c>
      <c r="N20" s="860">
        <v>1296.67</v>
      </c>
      <c r="O20" s="861">
        <v>13905.92</v>
      </c>
      <c r="P20" s="860">
        <v>11435.17</v>
      </c>
      <c r="Q20" s="860" t="s">
        <v>390</v>
      </c>
      <c r="R20" s="861">
        <v>474.92</v>
      </c>
      <c r="S20" s="860">
        <v>271.75</v>
      </c>
      <c r="T20" s="862">
        <v>20.330000000000002</v>
      </c>
      <c r="U20" s="863">
        <v>23960.83</v>
      </c>
      <c r="V20" s="862">
        <v>2551.5</v>
      </c>
      <c r="W20" s="860">
        <v>48413</v>
      </c>
      <c r="X20" s="861">
        <v>561.41999999999996</v>
      </c>
      <c r="Y20" s="863">
        <v>1373.17</v>
      </c>
      <c r="Z20" s="861">
        <v>35947.5</v>
      </c>
      <c r="AA20" s="860">
        <v>2326.5</v>
      </c>
      <c r="AB20" s="862">
        <v>515.25</v>
      </c>
      <c r="AC20" s="863">
        <v>20220.93</v>
      </c>
      <c r="AD20" s="862">
        <v>294.58</v>
      </c>
      <c r="AE20" s="863" t="s">
        <v>390</v>
      </c>
      <c r="AF20" s="862" t="s">
        <v>390</v>
      </c>
      <c r="AG20" s="1988" vm="561">
        <v>310.75</v>
      </c>
    </row>
    <row r="21" spans="1:33" ht="14" thickBot="1">
      <c r="A21" s="825">
        <v>360</v>
      </c>
      <c r="B21" s="799" t="s">
        <v>1249</v>
      </c>
      <c r="C21" s="859">
        <v>20979.45</v>
      </c>
      <c r="D21" s="860">
        <v>894.99</v>
      </c>
      <c r="E21" s="861">
        <v>1454.91</v>
      </c>
      <c r="F21" s="860">
        <v>15593.09</v>
      </c>
      <c r="G21" s="861">
        <v>16.670000000000002</v>
      </c>
      <c r="H21" s="860">
        <v>64.5</v>
      </c>
      <c r="I21" s="859">
        <v>39</v>
      </c>
      <c r="J21" s="860">
        <v>88.5</v>
      </c>
      <c r="K21" s="859" t="s">
        <v>390</v>
      </c>
      <c r="L21" s="860">
        <v>146.5</v>
      </c>
      <c r="M21" s="861" t="s">
        <v>390</v>
      </c>
      <c r="N21" s="860">
        <v>1046.6600000000001</v>
      </c>
      <c r="O21" s="861" t="s">
        <v>390</v>
      </c>
      <c r="P21" s="860">
        <v>4</v>
      </c>
      <c r="Q21" s="860" t="s">
        <v>390</v>
      </c>
      <c r="R21" s="861" t="s">
        <v>390</v>
      </c>
      <c r="S21" s="860" t="s">
        <v>390</v>
      </c>
      <c r="T21" s="862" t="s">
        <v>390</v>
      </c>
      <c r="U21" s="863" t="s">
        <v>390</v>
      </c>
      <c r="V21" s="862" t="s">
        <v>390</v>
      </c>
      <c r="W21" s="860">
        <v>1630.5</v>
      </c>
      <c r="X21" s="861">
        <v>0.08</v>
      </c>
      <c r="Y21" s="863" t="s">
        <v>390</v>
      </c>
      <c r="Z21" s="861" t="s">
        <v>390</v>
      </c>
      <c r="AA21" s="860" t="s">
        <v>390</v>
      </c>
      <c r="AB21" s="862" t="s">
        <v>390</v>
      </c>
      <c r="AC21" s="863" t="s">
        <v>390</v>
      </c>
      <c r="AD21" s="862" t="s">
        <v>390</v>
      </c>
      <c r="AE21" s="863" t="s">
        <v>390</v>
      </c>
      <c r="AF21" s="862" t="s">
        <v>390</v>
      </c>
      <c r="AG21" s="863" t="s">
        <v>390</v>
      </c>
    </row>
    <row r="22" spans="1:33" ht="14" thickBot="1">
      <c r="A22" s="825">
        <v>376</v>
      </c>
      <c r="B22" s="799" t="s">
        <v>1250</v>
      </c>
      <c r="C22" s="859">
        <v>388523</v>
      </c>
      <c r="D22" s="860">
        <v>35937</v>
      </c>
      <c r="E22" s="861">
        <v>137410</v>
      </c>
      <c r="F22" s="860">
        <v>9333</v>
      </c>
      <c r="G22" s="861">
        <v>1392</v>
      </c>
      <c r="H22" s="860">
        <v>3653</v>
      </c>
      <c r="I22" s="859">
        <v>237</v>
      </c>
      <c r="J22" s="860">
        <v>2358</v>
      </c>
      <c r="K22" s="859">
        <v>1486</v>
      </c>
      <c r="L22" s="860">
        <v>1711</v>
      </c>
      <c r="M22" s="861">
        <v>14236</v>
      </c>
      <c r="N22" s="860">
        <v>8267</v>
      </c>
      <c r="O22" s="861">
        <v>8843</v>
      </c>
      <c r="P22" s="860">
        <v>14177</v>
      </c>
      <c r="Q22" s="860" t="s">
        <v>390</v>
      </c>
      <c r="R22" s="861">
        <v>1289</v>
      </c>
      <c r="S22" s="860">
        <v>2246</v>
      </c>
      <c r="T22" s="862">
        <v>285</v>
      </c>
      <c r="U22" s="863">
        <v>27309</v>
      </c>
      <c r="V22" s="862">
        <v>7234</v>
      </c>
      <c r="W22" s="860">
        <v>12926</v>
      </c>
      <c r="X22" s="861">
        <v>5911</v>
      </c>
      <c r="Y22" s="863">
        <v>30212</v>
      </c>
      <c r="Z22" s="861">
        <v>35627</v>
      </c>
      <c r="AA22" s="860">
        <v>8961</v>
      </c>
      <c r="AB22" s="862">
        <v>1424</v>
      </c>
      <c r="AC22" s="863">
        <v>11520</v>
      </c>
      <c r="AD22" s="862">
        <v>1920</v>
      </c>
      <c r="AE22" s="863">
        <v>2619</v>
      </c>
      <c r="AF22" s="862" t="s">
        <v>390</v>
      </c>
      <c r="AG22" s="863" vm="562">
        <v>2612</v>
      </c>
    </row>
    <row r="23" spans="1:33" ht="14" thickBot="1">
      <c r="A23" s="825">
        <v>455</v>
      </c>
      <c r="B23" s="799" t="s">
        <v>1339</v>
      </c>
      <c r="C23" s="859">
        <v>149943.51999999999</v>
      </c>
      <c r="D23" s="860">
        <v>21797.07</v>
      </c>
      <c r="E23" s="861">
        <v>3281.7</v>
      </c>
      <c r="F23" s="860">
        <v>5233</v>
      </c>
      <c r="G23" s="861">
        <v>442.54</v>
      </c>
      <c r="H23" s="860">
        <v>2018.37</v>
      </c>
      <c r="I23" s="859">
        <v>735.36</v>
      </c>
      <c r="J23" s="860">
        <v>187.24</v>
      </c>
      <c r="K23" s="859">
        <v>1828.75</v>
      </c>
      <c r="L23" s="860">
        <v>1720.51</v>
      </c>
      <c r="M23" s="861">
        <v>173.78</v>
      </c>
      <c r="N23" s="860">
        <v>337.44</v>
      </c>
      <c r="O23" s="861">
        <v>284.33</v>
      </c>
      <c r="P23" s="860">
        <v>376.89</v>
      </c>
      <c r="Q23" s="860" t="s">
        <v>390</v>
      </c>
      <c r="R23" s="861">
        <v>4144.45</v>
      </c>
      <c r="S23" s="860">
        <v>460.76</v>
      </c>
      <c r="T23" s="862">
        <v>120</v>
      </c>
      <c r="U23" s="863">
        <v>7845.1</v>
      </c>
      <c r="V23" s="862">
        <v>77650.44</v>
      </c>
      <c r="W23" s="860">
        <v>1251.76</v>
      </c>
      <c r="X23" s="861">
        <v>6716.46</v>
      </c>
      <c r="Y23" s="863">
        <v>11496.5</v>
      </c>
      <c r="Z23" s="861">
        <v>847.56</v>
      </c>
      <c r="AA23" s="860">
        <v>880.26</v>
      </c>
      <c r="AB23" s="862">
        <v>33.160000000000004</v>
      </c>
      <c r="AC23" s="863">
        <v>66.92</v>
      </c>
      <c r="AD23" s="862">
        <v>13.17</v>
      </c>
      <c r="AE23" s="863" t="s">
        <v>390</v>
      </c>
      <c r="AF23" s="862" t="s">
        <v>390</v>
      </c>
      <c r="AG23" s="863" vm="563">
        <v>296.75</v>
      </c>
    </row>
    <row r="24" spans="1:33" ht="14" thickBot="1">
      <c r="A24" s="825">
        <v>509</v>
      </c>
      <c r="B24" s="799" t="s">
        <v>1252</v>
      </c>
      <c r="C24" s="859">
        <v>135907</v>
      </c>
      <c r="D24" s="860">
        <v>14151.08</v>
      </c>
      <c r="E24" s="861">
        <v>7827.08</v>
      </c>
      <c r="F24" s="860">
        <v>7187.5</v>
      </c>
      <c r="G24" s="861">
        <v>608.66999999999996</v>
      </c>
      <c r="H24" s="860">
        <v>2048.08</v>
      </c>
      <c r="I24" s="859">
        <v>581.25</v>
      </c>
      <c r="J24" s="860">
        <v>707.25</v>
      </c>
      <c r="K24" s="859">
        <v>228.25</v>
      </c>
      <c r="L24" s="860">
        <v>3688.75</v>
      </c>
      <c r="M24" s="861">
        <v>2120.25</v>
      </c>
      <c r="N24" s="860">
        <v>3460.5</v>
      </c>
      <c r="O24" s="861">
        <v>50014.92</v>
      </c>
      <c r="P24" s="860">
        <v>18734.830000000002</v>
      </c>
      <c r="Q24" s="860" t="s">
        <v>390</v>
      </c>
      <c r="R24" s="861">
        <v>1551.67</v>
      </c>
      <c r="S24" s="860">
        <v>374.5</v>
      </c>
      <c r="T24" s="862">
        <v>84.75</v>
      </c>
      <c r="U24" s="863">
        <v>3676.58</v>
      </c>
      <c r="V24" s="862">
        <v>413.17</v>
      </c>
      <c r="W24" s="860">
        <v>8856.17</v>
      </c>
      <c r="X24" s="861">
        <v>3549.75</v>
      </c>
      <c r="Y24" s="863">
        <v>339.25</v>
      </c>
      <c r="Z24" s="861">
        <v>840.75</v>
      </c>
      <c r="AA24" s="860">
        <v>488.08</v>
      </c>
      <c r="AB24" s="862">
        <v>201.25</v>
      </c>
      <c r="AC24" s="863">
        <v>590.66999999999996</v>
      </c>
      <c r="AD24" s="862">
        <v>248</v>
      </c>
      <c r="AE24" s="863">
        <v>3334</v>
      </c>
      <c r="AF24" s="862" t="s">
        <v>390</v>
      </c>
      <c r="AG24" s="863" vm="564">
        <v>6666.5</v>
      </c>
    </row>
    <row r="25" spans="1:33" ht="14" thickBot="1">
      <c r="A25" s="825">
        <v>558</v>
      </c>
      <c r="B25" s="799" t="s">
        <v>1340</v>
      </c>
      <c r="C25" s="859">
        <v>3555.5</v>
      </c>
      <c r="D25" s="860">
        <v>3555.51</v>
      </c>
      <c r="E25" s="861" t="s">
        <v>390</v>
      </c>
      <c r="F25" s="860" t="s">
        <v>390</v>
      </c>
      <c r="G25" s="861" t="s">
        <v>390</v>
      </c>
      <c r="H25" s="860" t="s">
        <v>390</v>
      </c>
      <c r="I25" s="859" t="s">
        <v>390</v>
      </c>
      <c r="J25" s="860" t="s">
        <v>390</v>
      </c>
      <c r="K25" s="859" t="s">
        <v>390</v>
      </c>
      <c r="L25" s="860" t="s">
        <v>390</v>
      </c>
      <c r="M25" s="861" t="s">
        <v>390</v>
      </c>
      <c r="N25" s="860" t="s">
        <v>390</v>
      </c>
      <c r="O25" s="861" t="s">
        <v>390</v>
      </c>
      <c r="P25" s="860" t="s">
        <v>390</v>
      </c>
      <c r="Q25" s="860" t="s">
        <v>390</v>
      </c>
      <c r="R25" s="861" t="s">
        <v>390</v>
      </c>
      <c r="S25" s="860" t="s">
        <v>390</v>
      </c>
      <c r="T25" s="862" t="s">
        <v>390</v>
      </c>
      <c r="U25" s="863" t="s">
        <v>390</v>
      </c>
      <c r="V25" s="862" t="s">
        <v>390</v>
      </c>
      <c r="W25" s="860" t="s">
        <v>390</v>
      </c>
      <c r="X25" s="861" t="s">
        <v>390</v>
      </c>
      <c r="Y25" s="863" t="s">
        <v>390</v>
      </c>
      <c r="Z25" s="861" t="s">
        <v>390</v>
      </c>
      <c r="AA25" s="860" t="s">
        <v>390</v>
      </c>
      <c r="AB25" s="862" t="s">
        <v>390</v>
      </c>
      <c r="AC25" s="863" t="s">
        <v>390</v>
      </c>
      <c r="AD25" s="862" t="s">
        <v>390</v>
      </c>
      <c r="AE25" s="863" t="s">
        <v>390</v>
      </c>
      <c r="AF25" s="862" t="s">
        <v>390</v>
      </c>
      <c r="AG25" s="863" t="s">
        <v>390</v>
      </c>
    </row>
    <row r="26" spans="1:33" ht="14" thickBot="1">
      <c r="A26" s="825">
        <v>762</v>
      </c>
      <c r="B26" s="799" t="s">
        <v>1341</v>
      </c>
      <c r="C26" s="859">
        <v>19210.170000000002</v>
      </c>
      <c r="D26" s="860">
        <v>4125.67</v>
      </c>
      <c r="E26" s="861">
        <v>1449.5</v>
      </c>
      <c r="F26" s="860">
        <v>1292.08</v>
      </c>
      <c r="G26" s="861">
        <v>287.83</v>
      </c>
      <c r="H26" s="860">
        <v>1340.08</v>
      </c>
      <c r="I26" s="859">
        <v>378.75</v>
      </c>
      <c r="J26" s="860">
        <v>784.17</v>
      </c>
      <c r="K26" s="859">
        <v>498.58</v>
      </c>
      <c r="L26" s="860">
        <v>382</v>
      </c>
      <c r="M26" s="861">
        <v>432.33</v>
      </c>
      <c r="N26" s="860">
        <v>1052.92</v>
      </c>
      <c r="O26" s="861">
        <v>337.25</v>
      </c>
      <c r="P26" s="860">
        <v>283.92</v>
      </c>
      <c r="Q26" s="860" t="s">
        <v>390</v>
      </c>
      <c r="R26" s="861">
        <v>161</v>
      </c>
      <c r="S26" s="860">
        <v>210.58</v>
      </c>
      <c r="T26" s="862">
        <v>181.25</v>
      </c>
      <c r="U26" s="863">
        <v>1283.75</v>
      </c>
      <c r="V26" s="862">
        <v>917.67</v>
      </c>
      <c r="W26" s="860">
        <v>884.25</v>
      </c>
      <c r="X26" s="861">
        <v>424.5</v>
      </c>
      <c r="Y26" s="863">
        <v>271.75</v>
      </c>
      <c r="Z26" s="861">
        <v>654.41999999999996</v>
      </c>
      <c r="AA26" s="860">
        <v>773.5</v>
      </c>
      <c r="AB26" s="862">
        <v>89.33</v>
      </c>
      <c r="AC26" s="863">
        <v>649.91999999999996</v>
      </c>
      <c r="AD26" s="862">
        <v>63.17</v>
      </c>
      <c r="AE26" s="863" t="s">
        <v>390</v>
      </c>
      <c r="AF26" s="862" t="s">
        <v>390</v>
      </c>
      <c r="AG26" s="863" t="s">
        <v>390</v>
      </c>
    </row>
    <row r="27" spans="1:33" ht="14" thickBot="1">
      <c r="A27" s="825">
        <v>774</v>
      </c>
      <c r="B27" s="799" t="s">
        <v>1255</v>
      </c>
      <c r="C27" s="859">
        <v>225010.83</v>
      </c>
      <c r="D27" s="860">
        <v>44253.5</v>
      </c>
      <c r="E27" s="861">
        <v>6706.08</v>
      </c>
      <c r="F27" s="860">
        <v>453.67</v>
      </c>
      <c r="G27" s="861">
        <v>57.33</v>
      </c>
      <c r="H27" s="860">
        <v>3728.83</v>
      </c>
      <c r="I27" s="859">
        <v>33.33</v>
      </c>
      <c r="J27" s="860">
        <v>49</v>
      </c>
      <c r="K27" s="859">
        <v>94.83</v>
      </c>
      <c r="L27" s="860">
        <v>228</v>
      </c>
      <c r="M27" s="861">
        <v>8302.92</v>
      </c>
      <c r="N27" s="860">
        <v>939.92</v>
      </c>
      <c r="O27" s="861">
        <v>7582.92</v>
      </c>
      <c r="P27" s="860">
        <v>29684.42</v>
      </c>
      <c r="Q27" s="860" t="s">
        <v>390</v>
      </c>
      <c r="R27" s="861">
        <v>3251.58</v>
      </c>
      <c r="S27" s="860">
        <v>107.33</v>
      </c>
      <c r="T27" s="862">
        <v>12.75</v>
      </c>
      <c r="U27" s="863">
        <v>1243.58</v>
      </c>
      <c r="V27" s="862">
        <v>1589.58</v>
      </c>
      <c r="W27" s="860">
        <v>2631.5</v>
      </c>
      <c r="X27" s="861">
        <v>28292.17</v>
      </c>
      <c r="Y27" s="863">
        <v>21487.17</v>
      </c>
      <c r="Z27" s="861">
        <v>12238.58</v>
      </c>
      <c r="AA27" s="860">
        <v>31482.5</v>
      </c>
      <c r="AB27" s="862">
        <v>5902.17</v>
      </c>
      <c r="AC27" s="863">
        <v>6545.08</v>
      </c>
      <c r="AD27" s="862">
        <v>8112.08</v>
      </c>
      <c r="AE27" s="863" t="s">
        <v>390</v>
      </c>
      <c r="AF27" s="862" t="s">
        <v>390</v>
      </c>
      <c r="AG27" s="863" vm="565">
        <v>222.25</v>
      </c>
    </row>
    <row r="28" spans="1:33" ht="14" thickBot="1">
      <c r="A28" s="825">
        <v>780</v>
      </c>
      <c r="B28" s="799" t="s">
        <v>1342</v>
      </c>
      <c r="C28" s="859">
        <v>6350.18</v>
      </c>
      <c r="D28" s="860">
        <v>0.08</v>
      </c>
      <c r="E28" s="861" t="s">
        <v>390</v>
      </c>
      <c r="F28" s="860" t="s">
        <v>390</v>
      </c>
      <c r="G28" s="861">
        <v>3.25</v>
      </c>
      <c r="H28" s="860">
        <v>99.91</v>
      </c>
      <c r="I28" s="859" t="s">
        <v>390</v>
      </c>
      <c r="J28" s="860" t="s">
        <v>390</v>
      </c>
      <c r="K28" s="859">
        <v>6042.04</v>
      </c>
      <c r="L28" s="860" t="s">
        <v>390</v>
      </c>
      <c r="M28" s="861" t="s">
        <v>390</v>
      </c>
      <c r="N28" s="860" t="s">
        <v>390</v>
      </c>
      <c r="O28" s="861" t="s">
        <v>390</v>
      </c>
      <c r="P28" s="860">
        <v>0.04</v>
      </c>
      <c r="Q28" s="860" t="s">
        <v>390</v>
      </c>
      <c r="R28" s="861" t="s">
        <v>390</v>
      </c>
      <c r="S28" s="860" t="s">
        <v>390</v>
      </c>
      <c r="T28" s="862" t="s">
        <v>390</v>
      </c>
      <c r="U28" s="863">
        <v>162.29</v>
      </c>
      <c r="V28" s="862">
        <v>42.52</v>
      </c>
      <c r="W28" s="860" t="s">
        <v>390</v>
      </c>
      <c r="X28" s="861" t="s">
        <v>390</v>
      </c>
      <c r="Y28" s="863" t="s">
        <v>390</v>
      </c>
      <c r="Z28" s="861" t="s">
        <v>390</v>
      </c>
      <c r="AA28" s="860" t="s">
        <v>390</v>
      </c>
      <c r="AB28" s="862" t="s">
        <v>390</v>
      </c>
      <c r="AC28" s="863" t="s">
        <v>390</v>
      </c>
      <c r="AD28" s="862" t="s">
        <v>390</v>
      </c>
      <c r="AE28" s="863" t="s">
        <v>390</v>
      </c>
      <c r="AF28" s="862" t="s">
        <v>390</v>
      </c>
      <c r="AG28" s="863" t="s">
        <v>390</v>
      </c>
    </row>
    <row r="29" spans="1:33" ht="14" thickBot="1">
      <c r="A29" s="825">
        <v>820</v>
      </c>
      <c r="B29" s="799" t="s">
        <v>1257</v>
      </c>
      <c r="C29" s="859">
        <v>2532.5</v>
      </c>
      <c r="D29" s="860" t="s">
        <v>390</v>
      </c>
      <c r="E29" s="861" t="s">
        <v>390</v>
      </c>
      <c r="F29" s="860" t="s">
        <v>390</v>
      </c>
      <c r="G29" s="861" t="s">
        <v>390</v>
      </c>
      <c r="H29" s="860" t="s">
        <v>390</v>
      </c>
      <c r="I29" s="859" t="s">
        <v>390</v>
      </c>
      <c r="J29" s="860" t="s">
        <v>390</v>
      </c>
      <c r="K29" s="859" t="s">
        <v>390</v>
      </c>
      <c r="L29" s="860" t="s">
        <v>390</v>
      </c>
      <c r="M29" s="861" t="s">
        <v>390</v>
      </c>
      <c r="N29" s="860" t="s">
        <v>390</v>
      </c>
      <c r="O29" s="861" t="s">
        <v>390</v>
      </c>
      <c r="P29" s="860" t="s">
        <v>390</v>
      </c>
      <c r="Q29" s="860" t="s">
        <v>390</v>
      </c>
      <c r="R29" s="861" t="s">
        <v>390</v>
      </c>
      <c r="S29" s="860" t="s">
        <v>390</v>
      </c>
      <c r="T29" s="862" t="s">
        <v>390</v>
      </c>
      <c r="U29" s="863" t="s">
        <v>390</v>
      </c>
      <c r="V29" s="862">
        <v>2532.5</v>
      </c>
      <c r="W29" s="860" t="s">
        <v>390</v>
      </c>
      <c r="X29" s="861" t="s">
        <v>390</v>
      </c>
      <c r="Y29" s="863" t="s">
        <v>390</v>
      </c>
      <c r="Z29" s="861" t="s">
        <v>390</v>
      </c>
      <c r="AA29" s="860" t="s">
        <v>390</v>
      </c>
      <c r="AB29" s="862" t="s">
        <v>390</v>
      </c>
      <c r="AC29" s="863" t="s">
        <v>390</v>
      </c>
      <c r="AD29" s="862" t="s">
        <v>390</v>
      </c>
      <c r="AE29" s="863" t="s">
        <v>390</v>
      </c>
      <c r="AF29" s="862" t="s">
        <v>390</v>
      </c>
      <c r="AG29" s="863" t="s">
        <v>390</v>
      </c>
    </row>
    <row r="30" spans="1:33" ht="14" thickBot="1">
      <c r="A30" s="825">
        <v>829</v>
      </c>
      <c r="B30" s="799" t="s">
        <v>1258</v>
      </c>
      <c r="C30" s="859">
        <v>15718.08</v>
      </c>
      <c r="D30" s="860">
        <v>4354.08</v>
      </c>
      <c r="E30" s="861">
        <v>99.25</v>
      </c>
      <c r="F30" s="860">
        <v>1583</v>
      </c>
      <c r="G30" s="861">
        <v>25.33</v>
      </c>
      <c r="H30" s="860">
        <v>4452.83</v>
      </c>
      <c r="I30" s="859">
        <v>27</v>
      </c>
      <c r="J30" s="860">
        <v>41.17</v>
      </c>
      <c r="K30" s="859">
        <v>17.170000000000002</v>
      </c>
      <c r="L30" s="860">
        <v>3086.25</v>
      </c>
      <c r="M30" s="861">
        <v>6.42</v>
      </c>
      <c r="N30" s="860">
        <v>16.25</v>
      </c>
      <c r="O30" s="861">
        <v>28.42</v>
      </c>
      <c r="P30" s="860">
        <v>33.75</v>
      </c>
      <c r="Q30" s="860" t="s">
        <v>390</v>
      </c>
      <c r="R30" s="861">
        <v>15.67</v>
      </c>
      <c r="S30" s="860">
        <v>2.17</v>
      </c>
      <c r="T30" s="862" t="s">
        <v>390</v>
      </c>
      <c r="U30" s="863">
        <v>93.33</v>
      </c>
      <c r="V30" s="862">
        <v>13.33</v>
      </c>
      <c r="W30" s="860">
        <v>1682.5</v>
      </c>
      <c r="X30" s="861">
        <v>27</v>
      </c>
      <c r="Y30" s="863">
        <v>62.25</v>
      </c>
      <c r="Z30" s="861">
        <v>23.5</v>
      </c>
      <c r="AA30" s="860">
        <v>16.75</v>
      </c>
      <c r="AB30" s="862">
        <v>2</v>
      </c>
      <c r="AC30" s="863">
        <v>8.67</v>
      </c>
      <c r="AD30" s="862" t="s">
        <v>390</v>
      </c>
      <c r="AE30" s="863" t="s">
        <v>390</v>
      </c>
      <c r="AF30" s="862" t="s">
        <v>390</v>
      </c>
      <c r="AG30" s="863" t="s">
        <v>390</v>
      </c>
    </row>
    <row r="31" spans="1:33" ht="14" thickBot="1">
      <c r="A31" s="825">
        <v>881</v>
      </c>
      <c r="B31" s="799" t="s">
        <v>1259</v>
      </c>
      <c r="C31" s="859">
        <v>127325.83</v>
      </c>
      <c r="D31" s="860">
        <v>27967.33</v>
      </c>
      <c r="E31" s="861">
        <v>12901.42</v>
      </c>
      <c r="F31" s="860">
        <v>10173.5</v>
      </c>
      <c r="G31" s="861">
        <v>155.25</v>
      </c>
      <c r="H31" s="860">
        <v>1873.75</v>
      </c>
      <c r="I31" s="859">
        <v>303.58</v>
      </c>
      <c r="J31" s="860">
        <v>519.75</v>
      </c>
      <c r="K31" s="859">
        <v>204.66</v>
      </c>
      <c r="L31" s="860">
        <v>4660.17</v>
      </c>
      <c r="M31" s="861">
        <v>2290.5</v>
      </c>
      <c r="N31" s="860">
        <v>7348.08</v>
      </c>
      <c r="O31" s="861">
        <v>1372.59</v>
      </c>
      <c r="P31" s="860">
        <v>5580.42</v>
      </c>
      <c r="Q31" s="860" t="s">
        <v>390</v>
      </c>
      <c r="R31" s="861">
        <v>1437.75</v>
      </c>
      <c r="S31" s="860">
        <v>1714.58</v>
      </c>
      <c r="T31" s="862">
        <v>115.42</v>
      </c>
      <c r="U31" s="863">
        <v>8047.33</v>
      </c>
      <c r="V31" s="862">
        <v>3598.92</v>
      </c>
      <c r="W31" s="860">
        <v>21934.25</v>
      </c>
      <c r="X31" s="861">
        <v>4896.09</v>
      </c>
      <c r="Y31" s="863">
        <v>3770.76</v>
      </c>
      <c r="Z31" s="861">
        <v>2691.5</v>
      </c>
      <c r="AA31" s="860">
        <v>1832.01</v>
      </c>
      <c r="AB31" s="862">
        <v>270.17</v>
      </c>
      <c r="AC31" s="863">
        <v>955.16</v>
      </c>
      <c r="AD31" s="862">
        <v>710.92</v>
      </c>
      <c r="AE31" s="863" t="s">
        <v>390</v>
      </c>
      <c r="AF31" s="862" t="s">
        <v>390</v>
      </c>
      <c r="AG31" s="863" vm="566">
        <v>122</v>
      </c>
    </row>
    <row r="32" spans="1:33" ht="14" thickBot="1">
      <c r="A32" s="825">
        <v>901</v>
      </c>
      <c r="B32" s="799" t="s">
        <v>1343</v>
      </c>
      <c r="C32" s="859">
        <v>2493.56</v>
      </c>
      <c r="D32" s="860" t="s">
        <v>390</v>
      </c>
      <c r="E32" s="861" t="s">
        <v>390</v>
      </c>
      <c r="F32" s="860" t="s">
        <v>390</v>
      </c>
      <c r="G32" s="861" t="s">
        <v>390</v>
      </c>
      <c r="H32" s="860" t="s">
        <v>390</v>
      </c>
      <c r="I32" s="859" t="s">
        <v>390</v>
      </c>
      <c r="J32" s="860" t="s">
        <v>390</v>
      </c>
      <c r="K32" s="859" t="s">
        <v>390</v>
      </c>
      <c r="L32" s="860" t="s">
        <v>390</v>
      </c>
      <c r="M32" s="861" t="s">
        <v>390</v>
      </c>
      <c r="N32" s="860" t="s">
        <v>390</v>
      </c>
      <c r="O32" s="861" t="s">
        <v>390</v>
      </c>
      <c r="P32" s="860" t="s">
        <v>390</v>
      </c>
      <c r="Q32" s="860" t="s">
        <v>390</v>
      </c>
      <c r="R32" s="861" t="s">
        <v>390</v>
      </c>
      <c r="S32" s="860" t="s">
        <v>390</v>
      </c>
      <c r="T32" s="862" t="s">
        <v>390</v>
      </c>
      <c r="U32" s="863" t="s">
        <v>390</v>
      </c>
      <c r="V32" s="862">
        <v>2493.58</v>
      </c>
      <c r="W32" s="860" t="s">
        <v>390</v>
      </c>
      <c r="X32" s="861" t="s">
        <v>390</v>
      </c>
      <c r="Y32" s="863" t="s">
        <v>390</v>
      </c>
      <c r="Z32" s="861" t="s">
        <v>390</v>
      </c>
      <c r="AA32" s="860" t="s">
        <v>390</v>
      </c>
      <c r="AB32" s="862" t="s">
        <v>390</v>
      </c>
      <c r="AC32" s="863" t="s">
        <v>390</v>
      </c>
      <c r="AD32" s="862" t="s">
        <v>390</v>
      </c>
      <c r="AE32" s="863" t="s">
        <v>390</v>
      </c>
      <c r="AF32" s="862" t="s">
        <v>390</v>
      </c>
      <c r="AG32" s="863" t="s">
        <v>390</v>
      </c>
    </row>
    <row r="33" spans="1:33" ht="14" thickBot="1">
      <c r="A33" s="825">
        <v>923</v>
      </c>
      <c r="B33" s="799" t="s">
        <v>1344</v>
      </c>
      <c r="C33" s="859">
        <v>13925.61</v>
      </c>
      <c r="D33" s="860">
        <v>4480.37</v>
      </c>
      <c r="E33" s="861">
        <v>1545.16</v>
      </c>
      <c r="F33" s="860">
        <v>90.91</v>
      </c>
      <c r="G33" s="861">
        <v>12</v>
      </c>
      <c r="H33" s="860">
        <v>90.11</v>
      </c>
      <c r="I33" s="859">
        <v>20.330000000000002</v>
      </c>
      <c r="J33" s="860">
        <v>14</v>
      </c>
      <c r="K33" s="859">
        <v>66.33</v>
      </c>
      <c r="L33" s="860">
        <v>53.91</v>
      </c>
      <c r="M33" s="861">
        <v>219.69</v>
      </c>
      <c r="N33" s="860">
        <v>490.61</v>
      </c>
      <c r="O33" s="861">
        <v>191.87</v>
      </c>
      <c r="P33" s="860">
        <v>794.14</v>
      </c>
      <c r="Q33" s="860" t="s">
        <v>390</v>
      </c>
      <c r="R33" s="861">
        <v>138.45000000000002</v>
      </c>
      <c r="S33" s="860">
        <v>146.66</v>
      </c>
      <c r="T33" s="862">
        <v>8</v>
      </c>
      <c r="U33" s="863">
        <v>2344.69</v>
      </c>
      <c r="V33" s="862">
        <v>1601.22</v>
      </c>
      <c r="W33" s="860">
        <v>690.55</v>
      </c>
      <c r="X33" s="861">
        <v>880.56</v>
      </c>
      <c r="Y33" s="863" t="s">
        <v>390</v>
      </c>
      <c r="Z33" s="861" t="s">
        <v>390</v>
      </c>
      <c r="AA33" s="860">
        <v>46</v>
      </c>
      <c r="AB33" s="862" t="s">
        <v>390</v>
      </c>
      <c r="AC33" s="863" t="s">
        <v>390</v>
      </c>
      <c r="AD33" s="862" t="s">
        <v>390</v>
      </c>
      <c r="AE33" s="863" t="s">
        <v>390</v>
      </c>
      <c r="AF33" s="862" t="s">
        <v>390</v>
      </c>
      <c r="AG33" s="863" t="s">
        <v>390</v>
      </c>
    </row>
    <row r="34" spans="1:33" ht="14" thickBot="1">
      <c r="A34" s="825">
        <v>941</v>
      </c>
      <c r="B34" s="799" t="s">
        <v>1262</v>
      </c>
      <c r="C34" s="859">
        <v>33961.93</v>
      </c>
      <c r="D34" s="860" t="s">
        <v>390</v>
      </c>
      <c r="E34" s="861">
        <v>257.88</v>
      </c>
      <c r="F34" s="860" t="s">
        <v>390</v>
      </c>
      <c r="G34" s="861" t="s">
        <v>390</v>
      </c>
      <c r="H34" s="860" t="s">
        <v>390</v>
      </c>
      <c r="I34" s="859" t="s">
        <v>390</v>
      </c>
      <c r="J34" s="860" t="s">
        <v>390</v>
      </c>
      <c r="K34" s="859" t="s">
        <v>390</v>
      </c>
      <c r="L34" s="860" t="s">
        <v>390</v>
      </c>
      <c r="M34" s="861" t="s">
        <v>390</v>
      </c>
      <c r="N34" s="860" t="s">
        <v>390</v>
      </c>
      <c r="O34" s="861" t="s">
        <v>390</v>
      </c>
      <c r="P34" s="860" t="s">
        <v>390</v>
      </c>
      <c r="Q34" s="860" t="s">
        <v>390</v>
      </c>
      <c r="R34" s="861" t="s">
        <v>390</v>
      </c>
      <c r="S34" s="860" t="s">
        <v>390</v>
      </c>
      <c r="T34" s="862" t="s">
        <v>390</v>
      </c>
      <c r="U34" s="863" t="s">
        <v>390</v>
      </c>
      <c r="V34" s="862" t="s">
        <v>390</v>
      </c>
      <c r="W34" s="860" t="s">
        <v>390</v>
      </c>
      <c r="X34" s="861" t="s">
        <v>390</v>
      </c>
      <c r="Y34" s="863" t="s">
        <v>390</v>
      </c>
      <c r="Z34" s="861" t="s">
        <v>390</v>
      </c>
      <c r="AA34" s="860">
        <v>33704.06</v>
      </c>
      <c r="AB34" s="862" t="s">
        <v>390</v>
      </c>
      <c r="AC34" s="863" t="s">
        <v>390</v>
      </c>
      <c r="AD34" s="862" t="s">
        <v>390</v>
      </c>
      <c r="AE34" s="863" t="s">
        <v>390</v>
      </c>
      <c r="AF34" s="862" t="s">
        <v>390</v>
      </c>
      <c r="AG34" s="863" t="s">
        <v>390</v>
      </c>
    </row>
    <row r="35" spans="1:33" ht="14" thickBot="1">
      <c r="A35" s="825">
        <v>966</v>
      </c>
      <c r="B35" s="799" t="s">
        <v>1263</v>
      </c>
      <c r="C35" s="859">
        <v>3744.63</v>
      </c>
      <c r="D35" s="860">
        <v>52.42</v>
      </c>
      <c r="E35" s="861">
        <v>6.67</v>
      </c>
      <c r="F35" s="860">
        <v>24.08</v>
      </c>
      <c r="G35" s="861">
        <v>2</v>
      </c>
      <c r="H35" s="860">
        <v>8</v>
      </c>
      <c r="I35" s="859" t="s">
        <v>390</v>
      </c>
      <c r="J35" s="860" t="s">
        <v>390</v>
      </c>
      <c r="K35" s="859">
        <v>2.83</v>
      </c>
      <c r="L35" s="860">
        <v>6</v>
      </c>
      <c r="M35" s="861" t="s">
        <v>390</v>
      </c>
      <c r="N35" s="860">
        <v>4.25</v>
      </c>
      <c r="O35" s="861">
        <v>5.33</v>
      </c>
      <c r="P35" s="860" t="s">
        <v>390</v>
      </c>
      <c r="Q35" s="860" t="s">
        <v>390</v>
      </c>
      <c r="R35" s="861">
        <v>2</v>
      </c>
      <c r="S35" s="860">
        <v>4</v>
      </c>
      <c r="T35" s="862">
        <v>2.75</v>
      </c>
      <c r="U35" s="863">
        <v>69.790000000000006</v>
      </c>
      <c r="V35" s="862">
        <v>3529.33</v>
      </c>
      <c r="W35" s="860">
        <v>6.92</v>
      </c>
      <c r="X35" s="861">
        <v>12.83</v>
      </c>
      <c r="Y35" s="863">
        <v>3.42</v>
      </c>
      <c r="Z35" s="861">
        <v>1</v>
      </c>
      <c r="AA35" s="860" t="s">
        <v>390</v>
      </c>
      <c r="AB35" s="862" t="s">
        <v>390</v>
      </c>
      <c r="AC35" s="863" t="s">
        <v>390</v>
      </c>
      <c r="AD35" s="862">
        <v>1</v>
      </c>
      <c r="AE35" s="863" t="s">
        <v>390</v>
      </c>
      <c r="AF35" s="862" t="s">
        <v>390</v>
      </c>
      <c r="AG35" s="863" t="s">
        <v>390</v>
      </c>
    </row>
    <row r="36" spans="1:33" ht="14" thickBot="1">
      <c r="A36" s="825">
        <v>994</v>
      </c>
      <c r="B36" s="799" t="s">
        <v>1264</v>
      </c>
      <c r="C36" s="859">
        <v>180908.25</v>
      </c>
      <c r="D36" s="860">
        <v>29831.25</v>
      </c>
      <c r="E36" s="861">
        <v>28248.33</v>
      </c>
      <c r="F36" s="860">
        <v>7569.5</v>
      </c>
      <c r="G36" s="861">
        <v>7491.17</v>
      </c>
      <c r="H36" s="860">
        <v>857.42</v>
      </c>
      <c r="I36" s="859">
        <v>2940.33</v>
      </c>
      <c r="J36" s="860">
        <v>3031.75</v>
      </c>
      <c r="K36" s="859">
        <v>3905.67</v>
      </c>
      <c r="L36" s="860">
        <v>4262.83</v>
      </c>
      <c r="M36" s="861">
        <v>3690.58</v>
      </c>
      <c r="N36" s="860">
        <v>1136.67</v>
      </c>
      <c r="O36" s="861">
        <v>1475.17</v>
      </c>
      <c r="P36" s="860">
        <v>2275.25</v>
      </c>
      <c r="Q36" s="860" t="s">
        <v>390</v>
      </c>
      <c r="R36" s="861">
        <v>5894.25</v>
      </c>
      <c r="S36" s="860">
        <v>326.17</v>
      </c>
      <c r="T36" s="862">
        <v>360.83</v>
      </c>
      <c r="U36" s="863">
        <v>6594.5</v>
      </c>
      <c r="V36" s="862">
        <v>5267.08</v>
      </c>
      <c r="W36" s="860">
        <v>34957.75</v>
      </c>
      <c r="X36" s="861">
        <v>12578.42</v>
      </c>
      <c r="Y36" s="863">
        <v>2092.92</v>
      </c>
      <c r="Z36" s="861">
        <v>7680.92</v>
      </c>
      <c r="AA36" s="860">
        <v>4112.17</v>
      </c>
      <c r="AB36" s="862">
        <v>2006.25</v>
      </c>
      <c r="AC36" s="863">
        <v>2097.67</v>
      </c>
      <c r="AD36" s="862">
        <v>223.42</v>
      </c>
      <c r="AE36" s="863" t="s">
        <v>390</v>
      </c>
      <c r="AF36" s="862" t="s">
        <v>390</v>
      </c>
      <c r="AG36" s="863" vm="567">
        <v>1126.9166700000001</v>
      </c>
    </row>
    <row r="37" spans="1:33" ht="14" thickBot="1">
      <c r="A37" s="825">
        <v>1003</v>
      </c>
      <c r="B37" s="799" t="s">
        <v>1265</v>
      </c>
      <c r="C37" s="859">
        <v>162.92000000000002</v>
      </c>
      <c r="D37" s="860" t="s">
        <v>390</v>
      </c>
      <c r="E37" s="861" t="s">
        <v>390</v>
      </c>
      <c r="F37" s="860" t="s">
        <v>390</v>
      </c>
      <c r="G37" s="861" t="s">
        <v>390</v>
      </c>
      <c r="H37" s="860" t="s">
        <v>390</v>
      </c>
      <c r="I37" s="859" t="s">
        <v>390</v>
      </c>
      <c r="J37" s="860" t="s">
        <v>390</v>
      </c>
      <c r="K37" s="859" t="s">
        <v>390</v>
      </c>
      <c r="L37" s="860" t="s">
        <v>390</v>
      </c>
      <c r="M37" s="861" t="s">
        <v>390</v>
      </c>
      <c r="N37" s="860" t="s">
        <v>390</v>
      </c>
      <c r="O37" s="861" t="s">
        <v>390</v>
      </c>
      <c r="P37" s="860" t="s">
        <v>390</v>
      </c>
      <c r="Q37" s="860" t="s">
        <v>390</v>
      </c>
      <c r="R37" s="861" t="s">
        <v>390</v>
      </c>
      <c r="S37" s="860" t="s">
        <v>390</v>
      </c>
      <c r="T37" s="862" t="s">
        <v>390</v>
      </c>
      <c r="U37" s="863" t="s">
        <v>390</v>
      </c>
      <c r="V37" s="862" t="s">
        <v>390</v>
      </c>
      <c r="W37" s="860" t="s">
        <v>390</v>
      </c>
      <c r="X37" s="861" t="s">
        <v>390</v>
      </c>
      <c r="Y37" s="863" t="s">
        <v>390</v>
      </c>
      <c r="Z37" s="861" t="s">
        <v>390</v>
      </c>
      <c r="AA37" s="860">
        <v>162.92000000000002</v>
      </c>
      <c r="AB37" s="862" t="s">
        <v>390</v>
      </c>
      <c r="AC37" s="863" t="s">
        <v>390</v>
      </c>
      <c r="AD37" s="862" t="s">
        <v>390</v>
      </c>
      <c r="AE37" s="863" t="s">
        <v>390</v>
      </c>
      <c r="AF37" s="862" t="s">
        <v>390</v>
      </c>
      <c r="AG37" s="863" t="s">
        <v>390</v>
      </c>
    </row>
    <row r="38" spans="1:33" ht="14" thickBot="1">
      <c r="A38" s="825">
        <v>1040</v>
      </c>
      <c r="B38" s="799" t="s">
        <v>1266</v>
      </c>
      <c r="C38" s="859">
        <v>4132.75</v>
      </c>
      <c r="D38" s="860" t="s">
        <v>390</v>
      </c>
      <c r="E38" s="861" t="s">
        <v>390</v>
      </c>
      <c r="F38" s="860" t="s">
        <v>390</v>
      </c>
      <c r="G38" s="861" t="s">
        <v>390</v>
      </c>
      <c r="H38" s="860" t="s">
        <v>390</v>
      </c>
      <c r="I38" s="859" t="s">
        <v>390</v>
      </c>
      <c r="J38" s="860" t="s">
        <v>390</v>
      </c>
      <c r="K38" s="859" t="s">
        <v>390</v>
      </c>
      <c r="L38" s="860" t="s">
        <v>390</v>
      </c>
      <c r="M38" s="861" t="s">
        <v>390</v>
      </c>
      <c r="N38" s="860" t="s">
        <v>390</v>
      </c>
      <c r="O38" s="861" t="s">
        <v>390</v>
      </c>
      <c r="P38" s="860" t="s">
        <v>390</v>
      </c>
      <c r="Q38" s="860" t="s">
        <v>390</v>
      </c>
      <c r="R38" s="861" t="s">
        <v>390</v>
      </c>
      <c r="S38" s="860" t="s">
        <v>390</v>
      </c>
      <c r="T38" s="862" t="s">
        <v>390</v>
      </c>
      <c r="U38" s="863" t="s">
        <v>390</v>
      </c>
      <c r="V38" s="862" t="s">
        <v>390</v>
      </c>
      <c r="W38" s="860" t="s">
        <v>390</v>
      </c>
      <c r="X38" s="861" t="s">
        <v>390</v>
      </c>
      <c r="Y38" s="863" t="s">
        <v>390</v>
      </c>
      <c r="Z38" s="861" t="s">
        <v>390</v>
      </c>
      <c r="AA38" s="860">
        <v>4132.75</v>
      </c>
      <c r="AB38" s="862" t="s">
        <v>390</v>
      </c>
      <c r="AC38" s="863" t="s">
        <v>390</v>
      </c>
      <c r="AD38" s="862" t="s">
        <v>390</v>
      </c>
      <c r="AE38" s="863" t="s">
        <v>390</v>
      </c>
      <c r="AF38" s="862" t="s">
        <v>390</v>
      </c>
      <c r="AG38" s="863" t="s">
        <v>390</v>
      </c>
    </row>
    <row r="39" spans="1:33" ht="14" thickBot="1">
      <c r="A39" s="825">
        <v>1060</v>
      </c>
      <c r="B39" s="799" t="s">
        <v>1267</v>
      </c>
      <c r="C39" s="859">
        <v>161376.23000000001</v>
      </c>
      <c r="D39" s="860">
        <v>77492.960000000006</v>
      </c>
      <c r="E39" s="861">
        <v>9431</v>
      </c>
      <c r="F39" s="860">
        <v>1858.28</v>
      </c>
      <c r="G39" s="861">
        <v>304.59000000000003</v>
      </c>
      <c r="H39" s="860">
        <v>741.15</v>
      </c>
      <c r="I39" s="859">
        <v>308.92</v>
      </c>
      <c r="J39" s="860">
        <v>1998.21</v>
      </c>
      <c r="K39" s="859">
        <v>224.43</v>
      </c>
      <c r="L39" s="860">
        <v>1184.6000000000001</v>
      </c>
      <c r="M39" s="861">
        <v>453.76</v>
      </c>
      <c r="N39" s="860">
        <v>3280.65</v>
      </c>
      <c r="O39" s="861">
        <v>863.48</v>
      </c>
      <c r="P39" s="860">
        <v>9204.41</v>
      </c>
      <c r="Q39" s="860" t="s">
        <v>390</v>
      </c>
      <c r="R39" s="861">
        <v>4089.9100000000003</v>
      </c>
      <c r="S39" s="860">
        <v>1212.72</v>
      </c>
      <c r="T39" s="862">
        <v>510.77000000000004</v>
      </c>
      <c r="U39" s="863">
        <v>5041.2700000000004</v>
      </c>
      <c r="V39" s="862">
        <v>1405.95</v>
      </c>
      <c r="W39" s="860">
        <v>12577.57</v>
      </c>
      <c r="X39" s="861">
        <v>6553.78</v>
      </c>
      <c r="Y39" s="863">
        <v>11030.46</v>
      </c>
      <c r="Z39" s="861">
        <v>1539.62</v>
      </c>
      <c r="AA39" s="860">
        <v>1734.19</v>
      </c>
      <c r="AB39" s="862">
        <v>7738.71</v>
      </c>
      <c r="AC39" s="863">
        <v>424.43</v>
      </c>
      <c r="AD39" s="862">
        <v>170.4</v>
      </c>
      <c r="AE39" s="863" t="s">
        <v>390</v>
      </c>
      <c r="AF39" s="862" t="s">
        <v>390</v>
      </c>
      <c r="AG39" s="863" vm="568">
        <v>329.62401</v>
      </c>
    </row>
    <row r="40" spans="1:33" ht="14" thickBot="1">
      <c r="A40" s="825">
        <v>1113</v>
      </c>
      <c r="B40" s="799" t="s">
        <v>1345</v>
      </c>
      <c r="C40" s="859">
        <v>8662.58</v>
      </c>
      <c r="D40" s="860" t="s">
        <v>390</v>
      </c>
      <c r="E40" s="861" t="s">
        <v>390</v>
      </c>
      <c r="F40" s="860" t="s">
        <v>390</v>
      </c>
      <c r="G40" s="861" t="s">
        <v>390</v>
      </c>
      <c r="H40" s="860" t="s">
        <v>390</v>
      </c>
      <c r="I40" s="859" t="s">
        <v>390</v>
      </c>
      <c r="J40" s="860" t="s">
        <v>390</v>
      </c>
      <c r="K40" s="859" t="s">
        <v>390</v>
      </c>
      <c r="L40" s="860" t="s">
        <v>390</v>
      </c>
      <c r="M40" s="861" t="s">
        <v>390</v>
      </c>
      <c r="N40" s="860" t="s">
        <v>390</v>
      </c>
      <c r="O40" s="861" t="s">
        <v>390</v>
      </c>
      <c r="P40" s="860" t="s">
        <v>390</v>
      </c>
      <c r="Q40" s="860" t="s">
        <v>390</v>
      </c>
      <c r="R40" s="861" t="s">
        <v>390</v>
      </c>
      <c r="S40" s="860" t="s">
        <v>390</v>
      </c>
      <c r="T40" s="862" t="s">
        <v>390</v>
      </c>
      <c r="U40" s="863" t="s">
        <v>390</v>
      </c>
      <c r="V40" s="862" t="s">
        <v>390</v>
      </c>
      <c r="W40" s="860" t="s">
        <v>390</v>
      </c>
      <c r="X40" s="861" t="s">
        <v>390</v>
      </c>
      <c r="Y40" s="863" t="s">
        <v>390</v>
      </c>
      <c r="Z40" s="861" t="s">
        <v>390</v>
      </c>
      <c r="AA40" s="860">
        <v>8662.58</v>
      </c>
      <c r="AB40" s="862" t="s">
        <v>390</v>
      </c>
      <c r="AC40" s="863" t="s">
        <v>390</v>
      </c>
      <c r="AD40" s="862" t="s">
        <v>390</v>
      </c>
      <c r="AE40" s="863" t="s">
        <v>390</v>
      </c>
      <c r="AF40" s="862" t="s">
        <v>390</v>
      </c>
      <c r="AG40" s="863" t="s">
        <v>390</v>
      </c>
    </row>
    <row r="41" spans="1:33" ht="14" thickBot="1">
      <c r="A41" s="825">
        <v>1142</v>
      </c>
      <c r="B41" s="799" t="s">
        <v>1269</v>
      </c>
      <c r="C41" s="859">
        <v>777.17</v>
      </c>
      <c r="D41" s="860">
        <v>21.08</v>
      </c>
      <c r="E41" s="861">
        <v>15.67</v>
      </c>
      <c r="F41" s="860">
        <v>42.67</v>
      </c>
      <c r="G41" s="861">
        <v>1</v>
      </c>
      <c r="H41" s="860">
        <v>388.42</v>
      </c>
      <c r="I41" s="859" t="s">
        <v>390</v>
      </c>
      <c r="J41" s="860" t="s">
        <v>390</v>
      </c>
      <c r="K41" s="859" t="s">
        <v>390</v>
      </c>
      <c r="L41" s="860">
        <v>5</v>
      </c>
      <c r="M41" s="861">
        <v>75.75</v>
      </c>
      <c r="N41" s="860">
        <v>59.58</v>
      </c>
      <c r="O41" s="861">
        <v>10</v>
      </c>
      <c r="P41" s="860">
        <v>4</v>
      </c>
      <c r="Q41" s="860" t="s">
        <v>390</v>
      </c>
      <c r="R41" s="861" t="s">
        <v>390</v>
      </c>
      <c r="S41" s="860">
        <v>1</v>
      </c>
      <c r="T41" s="862" t="s">
        <v>390</v>
      </c>
      <c r="U41" s="863">
        <v>50.25</v>
      </c>
      <c r="V41" s="862">
        <v>4</v>
      </c>
      <c r="W41" s="860">
        <v>13</v>
      </c>
      <c r="X41" s="861">
        <v>1</v>
      </c>
      <c r="Y41" s="863">
        <v>46.42</v>
      </c>
      <c r="Z41" s="861" t="s">
        <v>390</v>
      </c>
      <c r="AA41" s="860">
        <v>31.33</v>
      </c>
      <c r="AB41" s="862" t="s">
        <v>390</v>
      </c>
      <c r="AC41" s="863" t="s">
        <v>390</v>
      </c>
      <c r="AD41" s="862">
        <v>7</v>
      </c>
      <c r="AE41" s="863" t="s">
        <v>390</v>
      </c>
      <c r="AF41" s="862" t="s">
        <v>390</v>
      </c>
      <c r="AG41" s="863" t="s">
        <v>390</v>
      </c>
    </row>
    <row r="42" spans="1:33" ht="14" thickBot="1">
      <c r="A42" s="825">
        <v>1147</v>
      </c>
      <c r="B42" s="799" t="s">
        <v>1270</v>
      </c>
      <c r="C42" s="859">
        <v>416</v>
      </c>
      <c r="D42" s="860">
        <v>416</v>
      </c>
      <c r="E42" s="861" t="s">
        <v>390</v>
      </c>
      <c r="F42" s="860" t="s">
        <v>390</v>
      </c>
      <c r="G42" s="861" t="s">
        <v>390</v>
      </c>
      <c r="H42" s="860" t="s">
        <v>390</v>
      </c>
      <c r="I42" s="859" t="s">
        <v>390</v>
      </c>
      <c r="J42" s="860" t="s">
        <v>390</v>
      </c>
      <c r="K42" s="859" t="s">
        <v>390</v>
      </c>
      <c r="L42" s="860" t="s">
        <v>390</v>
      </c>
      <c r="M42" s="861" t="s">
        <v>390</v>
      </c>
      <c r="N42" s="860" t="s">
        <v>390</v>
      </c>
      <c r="O42" s="861" t="s">
        <v>390</v>
      </c>
      <c r="P42" s="860" t="s">
        <v>390</v>
      </c>
      <c r="Q42" s="860" t="s">
        <v>390</v>
      </c>
      <c r="R42" s="861" t="s">
        <v>390</v>
      </c>
      <c r="S42" s="860" t="s">
        <v>390</v>
      </c>
      <c r="T42" s="862" t="s">
        <v>390</v>
      </c>
      <c r="U42" s="863" t="s">
        <v>390</v>
      </c>
      <c r="V42" s="862" t="s">
        <v>390</v>
      </c>
      <c r="W42" s="860" t="s">
        <v>390</v>
      </c>
      <c r="X42" s="861" t="s">
        <v>390</v>
      </c>
      <c r="Y42" s="863" t="s">
        <v>390</v>
      </c>
      <c r="Z42" s="861" t="s">
        <v>390</v>
      </c>
      <c r="AA42" s="860" t="s">
        <v>390</v>
      </c>
      <c r="AB42" s="862" t="s">
        <v>390</v>
      </c>
      <c r="AC42" s="863" t="s">
        <v>390</v>
      </c>
      <c r="AD42" s="862" t="s">
        <v>390</v>
      </c>
      <c r="AE42" s="863" t="s">
        <v>390</v>
      </c>
      <c r="AF42" s="862" t="s">
        <v>390</v>
      </c>
      <c r="AG42" s="863" t="s">
        <v>390</v>
      </c>
    </row>
    <row r="43" spans="1:33" ht="14" thickBot="1">
      <c r="A43" s="825">
        <v>1318</v>
      </c>
      <c r="B43" s="799" t="s">
        <v>1346</v>
      </c>
      <c r="C43" s="859">
        <v>9492</v>
      </c>
      <c r="D43" s="860">
        <v>9284.5</v>
      </c>
      <c r="E43" s="861" t="s">
        <v>390</v>
      </c>
      <c r="F43" s="860" t="s">
        <v>390</v>
      </c>
      <c r="G43" s="861" t="s">
        <v>390</v>
      </c>
      <c r="H43" s="860">
        <v>115.83</v>
      </c>
      <c r="I43" s="859" t="s">
        <v>390</v>
      </c>
      <c r="J43" s="860" t="s">
        <v>390</v>
      </c>
      <c r="K43" s="859" t="s">
        <v>390</v>
      </c>
      <c r="L43" s="860">
        <v>16.330000000000002</v>
      </c>
      <c r="M43" s="861" t="s">
        <v>390</v>
      </c>
      <c r="N43" s="860" t="s">
        <v>390</v>
      </c>
      <c r="O43" s="861" t="s">
        <v>390</v>
      </c>
      <c r="P43" s="860" t="s">
        <v>390</v>
      </c>
      <c r="Q43" s="860" t="s">
        <v>390</v>
      </c>
      <c r="R43" s="861" t="s">
        <v>390</v>
      </c>
      <c r="S43" s="860" t="s">
        <v>390</v>
      </c>
      <c r="T43" s="862" t="s">
        <v>390</v>
      </c>
      <c r="U43" s="863" t="s">
        <v>390</v>
      </c>
      <c r="V43" s="862" t="s">
        <v>390</v>
      </c>
      <c r="W43" s="860">
        <v>75.33</v>
      </c>
      <c r="X43" s="861" t="s">
        <v>390</v>
      </c>
      <c r="Y43" s="863" t="s">
        <v>390</v>
      </c>
      <c r="Z43" s="861" t="s">
        <v>390</v>
      </c>
      <c r="AA43" s="860" t="s">
        <v>390</v>
      </c>
      <c r="AB43" s="862" t="s">
        <v>390</v>
      </c>
      <c r="AC43" s="863" t="s">
        <v>390</v>
      </c>
      <c r="AD43" s="862" t="s">
        <v>390</v>
      </c>
      <c r="AE43" s="863" t="s">
        <v>390</v>
      </c>
      <c r="AF43" s="862" t="s">
        <v>390</v>
      </c>
      <c r="AG43" s="863" t="s">
        <v>390</v>
      </c>
    </row>
    <row r="44" spans="1:33" ht="14" thickBot="1">
      <c r="A44" s="825">
        <v>1322</v>
      </c>
      <c r="B44" s="799" t="s">
        <v>1273</v>
      </c>
      <c r="C44" s="859">
        <v>9083.76</v>
      </c>
      <c r="D44" s="860" t="s">
        <v>390</v>
      </c>
      <c r="E44" s="861" t="s">
        <v>390</v>
      </c>
      <c r="F44" s="860" t="s">
        <v>390</v>
      </c>
      <c r="G44" s="861" t="s">
        <v>390</v>
      </c>
      <c r="H44" s="860" t="s">
        <v>390</v>
      </c>
      <c r="I44" s="859" t="s">
        <v>390</v>
      </c>
      <c r="J44" s="860" t="s">
        <v>390</v>
      </c>
      <c r="K44" s="859" t="s">
        <v>390</v>
      </c>
      <c r="L44" s="860" t="s">
        <v>390</v>
      </c>
      <c r="M44" s="861" t="s">
        <v>390</v>
      </c>
      <c r="N44" s="860" t="s">
        <v>390</v>
      </c>
      <c r="O44" s="861" t="s">
        <v>390</v>
      </c>
      <c r="P44" s="860" t="s">
        <v>390</v>
      </c>
      <c r="Q44" s="860" t="s">
        <v>390</v>
      </c>
      <c r="R44" s="861" t="s">
        <v>390</v>
      </c>
      <c r="S44" s="860" t="s">
        <v>390</v>
      </c>
      <c r="T44" s="862" t="s">
        <v>390</v>
      </c>
      <c r="U44" s="863" t="s">
        <v>390</v>
      </c>
      <c r="V44" s="862" t="s">
        <v>390</v>
      </c>
      <c r="W44" s="860">
        <v>9083.74</v>
      </c>
      <c r="X44" s="861" t="s">
        <v>390</v>
      </c>
      <c r="Y44" s="863" t="s">
        <v>390</v>
      </c>
      <c r="Z44" s="861" t="s">
        <v>390</v>
      </c>
      <c r="AA44" s="860" t="s">
        <v>390</v>
      </c>
      <c r="AB44" s="862" t="s">
        <v>390</v>
      </c>
      <c r="AC44" s="863" t="s">
        <v>390</v>
      </c>
      <c r="AD44" s="862" t="s">
        <v>390</v>
      </c>
      <c r="AE44" s="863" t="s">
        <v>390</v>
      </c>
      <c r="AF44" s="862" t="s">
        <v>390</v>
      </c>
      <c r="AG44" s="863" t="s">
        <v>390</v>
      </c>
    </row>
    <row r="45" spans="1:33" ht="14" thickBot="1">
      <c r="A45" s="825">
        <v>1328</v>
      </c>
      <c r="B45" s="799" t="s">
        <v>1274</v>
      </c>
      <c r="C45" s="859">
        <v>5863.43</v>
      </c>
      <c r="D45" s="860">
        <v>5112.49</v>
      </c>
      <c r="E45" s="861">
        <v>38.770000000000003</v>
      </c>
      <c r="F45" s="860">
        <v>15.44</v>
      </c>
      <c r="G45" s="861">
        <v>3</v>
      </c>
      <c r="H45" s="860">
        <v>17.27</v>
      </c>
      <c r="I45" s="859">
        <v>1.04</v>
      </c>
      <c r="J45" s="860">
        <v>3.81</v>
      </c>
      <c r="K45" s="859">
        <v>3.17</v>
      </c>
      <c r="L45" s="860">
        <v>18.29</v>
      </c>
      <c r="M45" s="861" t="s">
        <v>390</v>
      </c>
      <c r="N45" s="860">
        <v>21.8</v>
      </c>
      <c r="O45" s="861">
        <v>13.16</v>
      </c>
      <c r="P45" s="860">
        <v>18.84</v>
      </c>
      <c r="Q45" s="860" t="s">
        <v>390</v>
      </c>
      <c r="R45" s="861">
        <v>42.58</v>
      </c>
      <c r="S45" s="860">
        <v>8.42</v>
      </c>
      <c r="T45" s="862">
        <v>1</v>
      </c>
      <c r="U45" s="863">
        <v>81.150000000000006</v>
      </c>
      <c r="V45" s="862">
        <v>17.920000000000002</v>
      </c>
      <c r="W45" s="860">
        <v>87.28</v>
      </c>
      <c r="X45" s="861">
        <v>358</v>
      </c>
      <c r="Y45" s="863" t="s">
        <v>390</v>
      </c>
      <c r="Z45" s="861" t="s">
        <v>390</v>
      </c>
      <c r="AA45" s="860" t="s">
        <v>390</v>
      </c>
      <c r="AB45" s="862" t="s">
        <v>390</v>
      </c>
      <c r="AC45" s="863" t="s">
        <v>390</v>
      </c>
      <c r="AD45" s="862" t="s">
        <v>390</v>
      </c>
      <c r="AE45" s="863" t="s">
        <v>390</v>
      </c>
      <c r="AF45" s="862" t="s">
        <v>390</v>
      </c>
      <c r="AG45" s="863" t="s">
        <v>390</v>
      </c>
    </row>
    <row r="46" spans="1:33" ht="14" thickBot="1">
      <c r="A46" s="825">
        <v>1331</v>
      </c>
      <c r="B46" s="799" t="s">
        <v>1347</v>
      </c>
      <c r="C46" s="859">
        <v>1626.74</v>
      </c>
      <c r="D46" s="860" t="s">
        <v>390</v>
      </c>
      <c r="E46" s="861" t="s">
        <v>390</v>
      </c>
      <c r="F46" s="860" t="s">
        <v>390</v>
      </c>
      <c r="G46" s="861" t="s">
        <v>390</v>
      </c>
      <c r="H46" s="860" t="s">
        <v>390</v>
      </c>
      <c r="I46" s="859" t="s">
        <v>390</v>
      </c>
      <c r="J46" s="860" t="s">
        <v>390</v>
      </c>
      <c r="K46" s="859">
        <v>5</v>
      </c>
      <c r="L46" s="860" t="s">
        <v>390</v>
      </c>
      <c r="M46" s="861" t="s">
        <v>390</v>
      </c>
      <c r="N46" s="860" t="s">
        <v>390</v>
      </c>
      <c r="O46" s="861" t="s">
        <v>390</v>
      </c>
      <c r="P46" s="860" t="s">
        <v>390</v>
      </c>
      <c r="Q46" s="860" t="s">
        <v>390</v>
      </c>
      <c r="R46" s="861" t="s">
        <v>390</v>
      </c>
      <c r="S46" s="860" t="s">
        <v>390</v>
      </c>
      <c r="T46" s="862" t="s">
        <v>390</v>
      </c>
      <c r="U46" s="863">
        <v>1611.01</v>
      </c>
      <c r="V46" s="862">
        <v>10.75</v>
      </c>
      <c r="W46" s="860" t="s">
        <v>390</v>
      </c>
      <c r="X46" s="861" t="s">
        <v>390</v>
      </c>
      <c r="Y46" s="863" t="s">
        <v>390</v>
      </c>
      <c r="Z46" s="861" t="s">
        <v>390</v>
      </c>
      <c r="AA46" s="860" t="s">
        <v>390</v>
      </c>
      <c r="AB46" s="862" t="s">
        <v>390</v>
      </c>
      <c r="AC46" s="863" t="s">
        <v>390</v>
      </c>
      <c r="AD46" s="862" t="s">
        <v>390</v>
      </c>
      <c r="AE46" s="863" t="s">
        <v>390</v>
      </c>
      <c r="AF46" s="862" t="s">
        <v>390</v>
      </c>
      <c r="AG46" s="863" t="s">
        <v>390</v>
      </c>
    </row>
    <row r="47" spans="1:33" ht="14" thickBot="1">
      <c r="A47" s="825">
        <v>1362</v>
      </c>
      <c r="B47" s="799" t="s">
        <v>1276</v>
      </c>
      <c r="C47" s="859">
        <v>958.32</v>
      </c>
      <c r="D47" s="860" t="s">
        <v>390</v>
      </c>
      <c r="E47" s="861" t="s">
        <v>390</v>
      </c>
      <c r="F47" s="860" t="s">
        <v>390</v>
      </c>
      <c r="G47" s="861" t="s">
        <v>390</v>
      </c>
      <c r="H47" s="860" t="s">
        <v>390</v>
      </c>
      <c r="I47" s="859" t="s">
        <v>390</v>
      </c>
      <c r="J47" s="860" t="s">
        <v>390</v>
      </c>
      <c r="K47" s="859" t="s">
        <v>390</v>
      </c>
      <c r="L47" s="860" t="s">
        <v>390</v>
      </c>
      <c r="M47" s="861" t="s">
        <v>390</v>
      </c>
      <c r="N47" s="860" t="s">
        <v>390</v>
      </c>
      <c r="O47" s="861" t="s">
        <v>390</v>
      </c>
      <c r="P47" s="860" t="s">
        <v>390</v>
      </c>
      <c r="Q47" s="860" t="s">
        <v>390</v>
      </c>
      <c r="R47" s="861" t="s">
        <v>390</v>
      </c>
      <c r="S47" s="860" t="s">
        <v>390</v>
      </c>
      <c r="T47" s="862" t="s">
        <v>390</v>
      </c>
      <c r="U47" s="863" t="s">
        <v>390</v>
      </c>
      <c r="V47" s="862" t="s">
        <v>390</v>
      </c>
      <c r="W47" s="860" t="s">
        <v>390</v>
      </c>
      <c r="X47" s="861" t="s">
        <v>390</v>
      </c>
      <c r="Y47" s="863" t="s">
        <v>390</v>
      </c>
      <c r="Z47" s="861" t="s">
        <v>390</v>
      </c>
      <c r="AA47" s="860">
        <v>958.33</v>
      </c>
      <c r="AB47" s="862" t="s">
        <v>390</v>
      </c>
      <c r="AC47" s="863" t="s">
        <v>390</v>
      </c>
      <c r="AD47" s="862" t="s">
        <v>390</v>
      </c>
      <c r="AE47" s="863" t="s">
        <v>390</v>
      </c>
      <c r="AF47" s="862" t="s">
        <v>390</v>
      </c>
      <c r="AG47" s="863" t="s">
        <v>390</v>
      </c>
    </row>
    <row r="48" spans="1:33" ht="14" thickBot="1">
      <c r="A48" s="825">
        <v>1384</v>
      </c>
      <c r="B48" s="799" t="s">
        <v>1277</v>
      </c>
      <c r="C48" s="859">
        <v>630352.41</v>
      </c>
      <c r="D48" s="860">
        <v>183583.77</v>
      </c>
      <c r="E48" s="861">
        <v>33964.67</v>
      </c>
      <c r="F48" s="860">
        <v>9423</v>
      </c>
      <c r="G48" s="861">
        <v>445</v>
      </c>
      <c r="H48" s="860">
        <v>9093.83</v>
      </c>
      <c r="I48" s="859">
        <v>698.42</v>
      </c>
      <c r="J48" s="860">
        <v>721.42</v>
      </c>
      <c r="K48" s="859">
        <v>2708.25</v>
      </c>
      <c r="L48" s="860">
        <v>8697.08</v>
      </c>
      <c r="M48" s="861">
        <v>9145.33</v>
      </c>
      <c r="N48" s="860">
        <v>14719.33</v>
      </c>
      <c r="O48" s="861">
        <v>17635.47</v>
      </c>
      <c r="P48" s="860">
        <v>29368.58</v>
      </c>
      <c r="Q48" s="860" t="s">
        <v>390</v>
      </c>
      <c r="R48" s="861">
        <v>8585.42</v>
      </c>
      <c r="S48" s="860">
        <v>17479.580000000002</v>
      </c>
      <c r="T48" s="862">
        <v>5031.08</v>
      </c>
      <c r="U48" s="863">
        <v>124499.17</v>
      </c>
      <c r="V48" s="862">
        <v>13560.33</v>
      </c>
      <c r="W48" s="860">
        <v>27277.5</v>
      </c>
      <c r="X48" s="861">
        <v>54036.42</v>
      </c>
      <c r="Y48" s="863">
        <v>25980.25</v>
      </c>
      <c r="Z48" s="861">
        <v>13192.67</v>
      </c>
      <c r="AA48" s="860">
        <v>2336.25</v>
      </c>
      <c r="AB48" s="862">
        <v>2105.58</v>
      </c>
      <c r="AC48" s="863">
        <v>14909.58</v>
      </c>
      <c r="AD48" s="862">
        <v>1154.42</v>
      </c>
      <c r="AE48" s="863" t="s">
        <v>390</v>
      </c>
      <c r="AF48" s="862" t="s">
        <v>390</v>
      </c>
      <c r="AG48" s="863" vm="569">
        <v>1924.4416699999999</v>
      </c>
    </row>
    <row r="49" spans="1:33" ht="14" thickBot="1">
      <c r="A49" s="825">
        <v>1386</v>
      </c>
      <c r="B49" s="799" t="s">
        <v>1348</v>
      </c>
      <c r="C49" s="859">
        <v>11153.99</v>
      </c>
      <c r="D49" s="860">
        <v>3160.17</v>
      </c>
      <c r="E49" s="861">
        <v>1016</v>
      </c>
      <c r="F49" s="860">
        <v>328.17</v>
      </c>
      <c r="G49" s="861">
        <v>12</v>
      </c>
      <c r="H49" s="860">
        <v>87.59</v>
      </c>
      <c r="I49" s="859">
        <v>16.080000000000002</v>
      </c>
      <c r="J49" s="860">
        <v>26.25</v>
      </c>
      <c r="K49" s="859">
        <v>31.42</v>
      </c>
      <c r="L49" s="860">
        <v>112.66</v>
      </c>
      <c r="M49" s="861">
        <v>235.92</v>
      </c>
      <c r="N49" s="860">
        <v>434.17</v>
      </c>
      <c r="O49" s="861">
        <v>98.83</v>
      </c>
      <c r="P49" s="860">
        <v>256.58</v>
      </c>
      <c r="Q49" s="860" t="s">
        <v>390</v>
      </c>
      <c r="R49" s="861">
        <v>107.25</v>
      </c>
      <c r="S49" s="860">
        <v>38.25</v>
      </c>
      <c r="T49" s="862">
        <v>3.25</v>
      </c>
      <c r="U49" s="863">
        <v>1079.9100000000001</v>
      </c>
      <c r="V49" s="862">
        <v>134.25</v>
      </c>
      <c r="W49" s="860">
        <v>2134.5100000000002</v>
      </c>
      <c r="X49" s="861">
        <v>190.24</v>
      </c>
      <c r="Y49" s="863">
        <v>179.16</v>
      </c>
      <c r="Z49" s="861">
        <v>942.84</v>
      </c>
      <c r="AA49" s="860">
        <v>265.16000000000003</v>
      </c>
      <c r="AB49" s="862">
        <v>111.58</v>
      </c>
      <c r="AC49" s="863">
        <v>98.34</v>
      </c>
      <c r="AD49" s="862">
        <v>53.41</v>
      </c>
      <c r="AE49" s="863" t="s">
        <v>390</v>
      </c>
      <c r="AF49" s="862" t="s">
        <v>390</v>
      </c>
      <c r="AG49" s="863" t="s">
        <v>390</v>
      </c>
    </row>
    <row r="50" spans="1:33" ht="14" thickBot="1">
      <c r="A50" s="825">
        <v>1401</v>
      </c>
      <c r="B50" s="799" t="s">
        <v>1279</v>
      </c>
      <c r="C50" s="859">
        <v>9857.92</v>
      </c>
      <c r="D50" s="860">
        <v>1078.58</v>
      </c>
      <c r="E50" s="861">
        <v>129.34</v>
      </c>
      <c r="F50" s="860">
        <v>38.25</v>
      </c>
      <c r="G50" s="861" t="s">
        <v>390</v>
      </c>
      <c r="H50" s="860">
        <v>42.17</v>
      </c>
      <c r="I50" s="859">
        <v>5.5</v>
      </c>
      <c r="J50" s="860">
        <v>0.92</v>
      </c>
      <c r="K50" s="859">
        <v>6.67</v>
      </c>
      <c r="L50" s="860">
        <v>24</v>
      </c>
      <c r="M50" s="861">
        <v>13.5</v>
      </c>
      <c r="N50" s="860">
        <v>31.92</v>
      </c>
      <c r="O50" s="861">
        <v>11</v>
      </c>
      <c r="P50" s="860">
        <v>28.42</v>
      </c>
      <c r="Q50" s="860" t="s">
        <v>390</v>
      </c>
      <c r="R50" s="861">
        <v>17.25</v>
      </c>
      <c r="S50" s="860">
        <v>260.83</v>
      </c>
      <c r="T50" s="862">
        <v>90.25</v>
      </c>
      <c r="U50" s="863">
        <v>7575.84</v>
      </c>
      <c r="V50" s="862">
        <v>69.16</v>
      </c>
      <c r="W50" s="860">
        <v>173.75</v>
      </c>
      <c r="X50" s="861">
        <v>215.5</v>
      </c>
      <c r="Y50" s="863">
        <v>12.92</v>
      </c>
      <c r="Z50" s="861">
        <v>14.5</v>
      </c>
      <c r="AA50" s="860">
        <v>7</v>
      </c>
      <c r="AB50" s="862">
        <v>2.33</v>
      </c>
      <c r="AC50" s="863">
        <v>8.33</v>
      </c>
      <c r="AD50" s="862" t="s">
        <v>390</v>
      </c>
      <c r="AE50" s="863" t="s">
        <v>390</v>
      </c>
      <c r="AF50" s="862" t="s">
        <v>390</v>
      </c>
      <c r="AG50" s="863" t="s">
        <v>390</v>
      </c>
    </row>
    <row r="51" spans="1:33" ht="14" thickBot="1">
      <c r="A51" s="825">
        <v>1423</v>
      </c>
      <c r="B51" s="799" t="s">
        <v>1349</v>
      </c>
      <c r="C51" s="859">
        <v>3490.17</v>
      </c>
      <c r="D51" s="860">
        <v>88.17</v>
      </c>
      <c r="E51" s="861">
        <v>250.42</v>
      </c>
      <c r="F51" s="860">
        <v>32.25</v>
      </c>
      <c r="G51" s="861" t="s">
        <v>390</v>
      </c>
      <c r="H51" s="860">
        <v>20.080000000000002</v>
      </c>
      <c r="I51" s="859" t="s">
        <v>390</v>
      </c>
      <c r="J51" s="860" t="s">
        <v>390</v>
      </c>
      <c r="K51" s="859" t="s">
        <v>390</v>
      </c>
      <c r="L51" s="860">
        <v>39.92</v>
      </c>
      <c r="M51" s="861" t="s">
        <v>390</v>
      </c>
      <c r="N51" s="860">
        <v>307.67</v>
      </c>
      <c r="O51" s="861">
        <v>85.42</v>
      </c>
      <c r="P51" s="860">
        <v>80.08</v>
      </c>
      <c r="Q51" s="860" t="s">
        <v>390</v>
      </c>
      <c r="R51" s="861" t="s">
        <v>390</v>
      </c>
      <c r="S51" s="860" t="s">
        <v>390</v>
      </c>
      <c r="T51" s="862" t="s">
        <v>390</v>
      </c>
      <c r="U51" s="863" t="s">
        <v>390</v>
      </c>
      <c r="V51" s="862" t="s">
        <v>390</v>
      </c>
      <c r="W51" s="860">
        <v>2586.17</v>
      </c>
      <c r="X51" s="861" t="s">
        <v>390</v>
      </c>
      <c r="Y51" s="863" t="s">
        <v>390</v>
      </c>
      <c r="Z51" s="861" t="s">
        <v>390</v>
      </c>
      <c r="AA51" s="860" t="s">
        <v>390</v>
      </c>
      <c r="AB51" s="862" t="s">
        <v>390</v>
      </c>
      <c r="AC51" s="863" t="s">
        <v>390</v>
      </c>
      <c r="AD51" s="862" t="s">
        <v>390</v>
      </c>
      <c r="AE51" s="863" t="s">
        <v>390</v>
      </c>
      <c r="AF51" s="862" t="s">
        <v>390</v>
      </c>
      <c r="AG51" s="863" t="s">
        <v>390</v>
      </c>
    </row>
    <row r="52" spans="1:33" ht="14" thickBot="1">
      <c r="A52" s="825">
        <v>1479</v>
      </c>
      <c r="B52" s="799" t="s">
        <v>1350</v>
      </c>
      <c r="C52" s="859">
        <v>432537.9</v>
      </c>
      <c r="D52" s="860">
        <v>95391.17</v>
      </c>
      <c r="E52" s="861">
        <v>9306.5</v>
      </c>
      <c r="F52" s="860">
        <v>1500.33</v>
      </c>
      <c r="G52" s="861">
        <v>73.83</v>
      </c>
      <c r="H52" s="860">
        <v>2962.92</v>
      </c>
      <c r="I52" s="859">
        <v>1946.58</v>
      </c>
      <c r="J52" s="860">
        <v>91.5</v>
      </c>
      <c r="K52" s="859">
        <v>141.67000000000002</v>
      </c>
      <c r="L52" s="860">
        <v>693.42</v>
      </c>
      <c r="M52" s="861">
        <v>8260.25</v>
      </c>
      <c r="N52" s="860">
        <v>19012.580000000002</v>
      </c>
      <c r="O52" s="861">
        <v>8665.33</v>
      </c>
      <c r="P52" s="860">
        <v>1239</v>
      </c>
      <c r="Q52" s="860" t="s">
        <v>390</v>
      </c>
      <c r="R52" s="861">
        <v>251.92</v>
      </c>
      <c r="S52" s="860">
        <v>104.5</v>
      </c>
      <c r="T52" s="862">
        <v>74.17</v>
      </c>
      <c r="U52" s="863">
        <v>2055.75</v>
      </c>
      <c r="V52" s="862">
        <v>5665.62</v>
      </c>
      <c r="W52" s="860">
        <v>13144.17</v>
      </c>
      <c r="X52" s="861">
        <v>2912.33</v>
      </c>
      <c r="Y52" s="863">
        <v>15930.17</v>
      </c>
      <c r="Z52" s="861">
        <v>108044.4</v>
      </c>
      <c r="AA52" s="860">
        <v>28602.29</v>
      </c>
      <c r="AB52" s="862">
        <v>9516.33</v>
      </c>
      <c r="AC52" s="863">
        <v>88681</v>
      </c>
      <c r="AD52" s="862">
        <v>8270.17</v>
      </c>
      <c r="AE52" s="863" t="s">
        <v>390</v>
      </c>
      <c r="AF52" s="862" t="s">
        <v>390</v>
      </c>
      <c r="AG52" s="1988" vm="570">
        <v>5009.92</v>
      </c>
    </row>
    <row r="53" spans="1:33" ht="14" thickBot="1">
      <c r="A53" s="825">
        <v>1507</v>
      </c>
      <c r="B53" s="799" t="s">
        <v>1351</v>
      </c>
      <c r="C53" s="859">
        <v>11248.46</v>
      </c>
      <c r="D53" s="860">
        <v>4.75</v>
      </c>
      <c r="E53" s="861">
        <v>14.17</v>
      </c>
      <c r="F53" s="860">
        <v>1</v>
      </c>
      <c r="G53" s="861" t="s">
        <v>390</v>
      </c>
      <c r="H53" s="860" t="s">
        <v>390</v>
      </c>
      <c r="I53" s="859" t="s">
        <v>390</v>
      </c>
      <c r="J53" s="860" t="s">
        <v>390</v>
      </c>
      <c r="K53" s="859" t="s">
        <v>390</v>
      </c>
      <c r="L53" s="860" t="s">
        <v>390</v>
      </c>
      <c r="M53" s="861">
        <v>17.170000000000002</v>
      </c>
      <c r="N53" s="860" t="s">
        <v>390</v>
      </c>
      <c r="O53" s="861">
        <v>1</v>
      </c>
      <c r="P53" s="860" t="s">
        <v>390</v>
      </c>
      <c r="Q53" s="860" t="s">
        <v>390</v>
      </c>
      <c r="R53" s="861" t="s">
        <v>390</v>
      </c>
      <c r="S53" s="860" t="s">
        <v>390</v>
      </c>
      <c r="T53" s="864" t="s">
        <v>390</v>
      </c>
      <c r="U53" s="865" t="s">
        <v>390</v>
      </c>
      <c r="V53" s="864">
        <v>4.67</v>
      </c>
      <c r="W53" s="860">
        <v>0.75</v>
      </c>
      <c r="X53" s="861" t="s">
        <v>390</v>
      </c>
      <c r="Y53" s="865">
        <v>2.58</v>
      </c>
      <c r="Z53" s="861">
        <v>64.58</v>
      </c>
      <c r="AA53" s="860">
        <v>11119.13</v>
      </c>
      <c r="AB53" s="864">
        <v>6.75</v>
      </c>
      <c r="AC53" s="865">
        <v>11.17</v>
      </c>
      <c r="AD53" s="864">
        <v>0.75</v>
      </c>
      <c r="AE53" s="865" t="s">
        <v>390</v>
      </c>
      <c r="AF53" s="864" t="s">
        <v>390</v>
      </c>
      <c r="AG53" s="865" t="s">
        <v>390</v>
      </c>
    </row>
    <row r="54" spans="1:33" ht="14" thickBot="1">
      <c r="A54" s="825">
        <v>1509</v>
      </c>
      <c r="B54" s="799" t="s">
        <v>1352</v>
      </c>
      <c r="C54" s="859">
        <v>331842.21000000002</v>
      </c>
      <c r="D54" s="860">
        <v>94498.08</v>
      </c>
      <c r="E54" s="861">
        <v>32607.88</v>
      </c>
      <c r="F54" s="860">
        <v>9897.17</v>
      </c>
      <c r="G54" s="861">
        <v>300.01</v>
      </c>
      <c r="H54" s="860">
        <v>7905.86</v>
      </c>
      <c r="I54" s="859">
        <v>835.36</v>
      </c>
      <c r="J54" s="860">
        <v>539.99</v>
      </c>
      <c r="K54" s="859">
        <v>1506.16</v>
      </c>
      <c r="L54" s="860">
        <v>7512.41</v>
      </c>
      <c r="M54" s="861">
        <v>4709.71</v>
      </c>
      <c r="N54" s="860">
        <v>11600.42</v>
      </c>
      <c r="O54" s="861">
        <v>6241.36</v>
      </c>
      <c r="P54" s="860">
        <v>18653.27</v>
      </c>
      <c r="Q54" s="860" t="s">
        <v>390</v>
      </c>
      <c r="R54" s="861">
        <v>5078.03</v>
      </c>
      <c r="S54" s="860">
        <v>2856.93</v>
      </c>
      <c r="T54" s="862">
        <v>652.48</v>
      </c>
      <c r="U54" s="863">
        <v>14540.31</v>
      </c>
      <c r="V54" s="862">
        <v>4864.78</v>
      </c>
      <c r="W54" s="860">
        <v>33399.29</v>
      </c>
      <c r="X54" s="861">
        <v>19536.990000000002</v>
      </c>
      <c r="Y54" s="863">
        <v>15304.56</v>
      </c>
      <c r="Z54" s="861">
        <v>14339.99</v>
      </c>
      <c r="AA54" s="860">
        <v>1871.05</v>
      </c>
      <c r="AB54" s="862">
        <v>9495.93</v>
      </c>
      <c r="AC54" s="863">
        <v>11331.02</v>
      </c>
      <c r="AD54" s="862">
        <v>1763.17</v>
      </c>
      <c r="AE54" s="863" t="s">
        <v>390</v>
      </c>
      <c r="AF54" s="862" t="s">
        <v>390</v>
      </c>
      <c r="AG54" s="863" vm="571">
        <v>1194.8419200000001</v>
      </c>
    </row>
    <row r="55" spans="1:33" ht="14" thickBot="1">
      <c r="A55" s="825">
        <v>1529</v>
      </c>
      <c r="B55" s="799" t="s">
        <v>1353</v>
      </c>
      <c r="C55" s="859">
        <v>165053.69</v>
      </c>
      <c r="D55" s="860">
        <v>21122.91</v>
      </c>
      <c r="E55" s="861">
        <v>9838.5300000000007</v>
      </c>
      <c r="F55" s="860">
        <v>2460.7400000000002</v>
      </c>
      <c r="G55" s="861">
        <v>104.92</v>
      </c>
      <c r="H55" s="860">
        <v>868.58</v>
      </c>
      <c r="I55" s="859">
        <v>272.75</v>
      </c>
      <c r="J55" s="860">
        <v>297</v>
      </c>
      <c r="K55" s="859">
        <v>173.75</v>
      </c>
      <c r="L55" s="860">
        <v>870.39</v>
      </c>
      <c r="M55" s="861">
        <v>2912.92</v>
      </c>
      <c r="N55" s="860">
        <v>7641.03</v>
      </c>
      <c r="O55" s="861">
        <v>3295.65</v>
      </c>
      <c r="P55" s="860">
        <v>6074.6</v>
      </c>
      <c r="Q55" s="860" t="s">
        <v>390</v>
      </c>
      <c r="R55" s="861">
        <v>1511.98</v>
      </c>
      <c r="S55" s="860">
        <v>618.25</v>
      </c>
      <c r="T55" s="862">
        <v>229.64</v>
      </c>
      <c r="U55" s="863">
        <v>4778.58</v>
      </c>
      <c r="V55" s="862">
        <v>1560.27</v>
      </c>
      <c r="W55" s="860">
        <v>6585.28</v>
      </c>
      <c r="X55" s="861">
        <v>3722.98</v>
      </c>
      <c r="Y55" s="863">
        <v>30946.48</v>
      </c>
      <c r="Z55" s="861">
        <v>29439.53</v>
      </c>
      <c r="AA55" s="860">
        <v>3885.75</v>
      </c>
      <c r="AB55" s="862">
        <v>2143.37</v>
      </c>
      <c r="AC55" s="863">
        <v>21193.49</v>
      </c>
      <c r="AD55" s="862">
        <v>2504.34</v>
      </c>
      <c r="AE55" s="863" t="s">
        <v>390</v>
      </c>
      <c r="AF55" s="862" t="s">
        <v>390</v>
      </c>
      <c r="AG55" s="863" vm="572">
        <v>1184.4248</v>
      </c>
    </row>
    <row r="56" spans="1:33" ht="14" thickBot="1">
      <c r="A56" s="825">
        <v>1535</v>
      </c>
      <c r="B56" s="799" t="s">
        <v>1289</v>
      </c>
      <c r="C56" s="859">
        <v>305410.28000000003</v>
      </c>
      <c r="D56" s="860">
        <v>10001.25</v>
      </c>
      <c r="E56" s="861">
        <v>77385.42</v>
      </c>
      <c r="F56" s="860">
        <v>402.33</v>
      </c>
      <c r="G56" s="861">
        <v>31.25</v>
      </c>
      <c r="H56" s="860">
        <v>171.17</v>
      </c>
      <c r="I56" s="859">
        <v>59.83</v>
      </c>
      <c r="J56" s="860">
        <v>1081.92</v>
      </c>
      <c r="K56" s="859">
        <v>1880.92</v>
      </c>
      <c r="L56" s="860">
        <v>124.75</v>
      </c>
      <c r="M56" s="861">
        <v>42517.88</v>
      </c>
      <c r="N56" s="860">
        <v>10740.42</v>
      </c>
      <c r="O56" s="861">
        <v>268.17</v>
      </c>
      <c r="P56" s="860">
        <v>278.92</v>
      </c>
      <c r="Q56" s="860" t="s">
        <v>390</v>
      </c>
      <c r="R56" s="861">
        <v>72.25</v>
      </c>
      <c r="S56" s="860">
        <v>3326.5</v>
      </c>
      <c r="T56" s="862">
        <v>627.41999999999996</v>
      </c>
      <c r="U56" s="863">
        <v>1962.33</v>
      </c>
      <c r="V56" s="862">
        <v>208.08</v>
      </c>
      <c r="W56" s="860">
        <v>7248.75</v>
      </c>
      <c r="X56" s="861">
        <v>471.5</v>
      </c>
      <c r="Y56" s="863">
        <v>3018.92</v>
      </c>
      <c r="Z56" s="861">
        <v>84775.08</v>
      </c>
      <c r="AA56" s="860">
        <v>36480.58</v>
      </c>
      <c r="AB56" s="862">
        <v>17516.5</v>
      </c>
      <c r="AC56" s="863">
        <v>4367.25</v>
      </c>
      <c r="AD56" s="862">
        <v>390.92</v>
      </c>
      <c r="AE56" s="863" t="s">
        <v>390</v>
      </c>
      <c r="AF56" s="862" t="s">
        <v>390</v>
      </c>
      <c r="AG56" s="863" vm="573">
        <v>135.5</v>
      </c>
    </row>
    <row r="57" spans="1:33" ht="14" thickBot="1">
      <c r="A57" s="825">
        <v>1542</v>
      </c>
      <c r="B57" s="799" t="s">
        <v>1354</v>
      </c>
      <c r="C57" s="859">
        <v>696289.5</v>
      </c>
      <c r="D57" s="860">
        <v>68460.58</v>
      </c>
      <c r="E57" s="861">
        <v>88204</v>
      </c>
      <c r="F57" s="860">
        <v>17028.830000000002</v>
      </c>
      <c r="G57" s="861">
        <v>164.75</v>
      </c>
      <c r="H57" s="860">
        <v>2403.67</v>
      </c>
      <c r="I57" s="859">
        <v>476</v>
      </c>
      <c r="J57" s="860">
        <v>681.58</v>
      </c>
      <c r="K57" s="859">
        <v>235.33</v>
      </c>
      <c r="L57" s="860">
        <v>1999.5</v>
      </c>
      <c r="M57" s="861">
        <v>27821.83</v>
      </c>
      <c r="N57" s="860">
        <v>11241.83</v>
      </c>
      <c r="O57" s="861">
        <v>23636.58</v>
      </c>
      <c r="P57" s="860">
        <v>14755.08</v>
      </c>
      <c r="Q57" s="860" t="s">
        <v>390</v>
      </c>
      <c r="R57" s="861">
        <v>9652.25</v>
      </c>
      <c r="S57" s="860">
        <v>260.75</v>
      </c>
      <c r="T57" s="862">
        <v>124.58</v>
      </c>
      <c r="U57" s="863">
        <v>4507.25</v>
      </c>
      <c r="V57" s="862">
        <v>4038.92</v>
      </c>
      <c r="W57" s="860">
        <v>11010.67</v>
      </c>
      <c r="X57" s="861">
        <v>5455.42</v>
      </c>
      <c r="Y57" s="863">
        <v>25812.83</v>
      </c>
      <c r="Z57" s="861">
        <v>184208</v>
      </c>
      <c r="AA57" s="860">
        <v>17131.080000000002</v>
      </c>
      <c r="AB57" s="862">
        <v>69604.33</v>
      </c>
      <c r="AC57" s="863">
        <v>85725</v>
      </c>
      <c r="AD57" s="862">
        <v>21648.83</v>
      </c>
      <c r="AE57" s="863" t="s">
        <v>390</v>
      </c>
      <c r="AF57" s="862" t="s">
        <v>390</v>
      </c>
      <c r="AG57" s="863" t="s">
        <v>390</v>
      </c>
    </row>
    <row r="58" spans="1:33" ht="14" thickBot="1">
      <c r="A58" s="825">
        <v>1555</v>
      </c>
      <c r="B58" s="799" t="s">
        <v>1292</v>
      </c>
      <c r="C58" s="859">
        <v>443321.5</v>
      </c>
      <c r="D58" s="860">
        <v>54756.83</v>
      </c>
      <c r="E58" s="861">
        <v>220966.5</v>
      </c>
      <c r="F58" s="860">
        <v>2276</v>
      </c>
      <c r="G58" s="861">
        <v>304.33</v>
      </c>
      <c r="H58" s="860">
        <v>1176.67</v>
      </c>
      <c r="I58" s="859">
        <v>1793.92</v>
      </c>
      <c r="J58" s="860">
        <v>1093.08</v>
      </c>
      <c r="K58" s="859">
        <v>266.17</v>
      </c>
      <c r="L58" s="860">
        <v>5364.67</v>
      </c>
      <c r="M58" s="861">
        <v>25592.58</v>
      </c>
      <c r="N58" s="860">
        <v>24180</v>
      </c>
      <c r="O58" s="861">
        <v>6744.92</v>
      </c>
      <c r="P58" s="860">
        <v>22125.17</v>
      </c>
      <c r="Q58" s="860" t="s">
        <v>390</v>
      </c>
      <c r="R58" s="861">
        <v>4225.83</v>
      </c>
      <c r="S58" s="860">
        <v>820.5</v>
      </c>
      <c r="T58" s="862">
        <v>82.08</v>
      </c>
      <c r="U58" s="863">
        <v>6600.58</v>
      </c>
      <c r="V58" s="862">
        <v>2205.83</v>
      </c>
      <c r="W58" s="860">
        <v>25587.17</v>
      </c>
      <c r="X58" s="861">
        <v>3334.25</v>
      </c>
      <c r="Y58" s="863">
        <v>9064.33</v>
      </c>
      <c r="Z58" s="861">
        <v>15049.33</v>
      </c>
      <c r="AA58" s="860">
        <v>3281.33</v>
      </c>
      <c r="AB58" s="862">
        <v>3198.58</v>
      </c>
      <c r="AC58" s="863">
        <v>2073.58</v>
      </c>
      <c r="AD58" s="862">
        <v>1157.25</v>
      </c>
      <c r="AE58" s="863" t="s">
        <v>390</v>
      </c>
      <c r="AF58" s="862" t="s">
        <v>390</v>
      </c>
      <c r="AG58" s="863" vm="574">
        <v>534.75</v>
      </c>
    </row>
    <row r="59" spans="1:33" ht="14" thickBot="1">
      <c r="A59" s="825">
        <v>1560</v>
      </c>
      <c r="B59" s="799" t="s">
        <v>1293</v>
      </c>
      <c r="C59" s="859">
        <v>116548</v>
      </c>
      <c r="D59" s="860">
        <v>14561</v>
      </c>
      <c r="E59" s="861">
        <v>22942</v>
      </c>
      <c r="F59" s="860">
        <v>7743</v>
      </c>
      <c r="G59" s="861">
        <v>2329</v>
      </c>
      <c r="H59" s="860">
        <v>5590</v>
      </c>
      <c r="I59" s="859">
        <v>806</v>
      </c>
      <c r="J59" s="860">
        <v>965</v>
      </c>
      <c r="K59" s="859">
        <v>967</v>
      </c>
      <c r="L59" s="860">
        <v>2034</v>
      </c>
      <c r="M59" s="861">
        <v>3087</v>
      </c>
      <c r="N59" s="860">
        <v>3576</v>
      </c>
      <c r="O59" s="861">
        <v>51</v>
      </c>
      <c r="P59" s="860">
        <v>2864</v>
      </c>
      <c r="Q59" s="860" t="s">
        <v>390</v>
      </c>
      <c r="R59" s="861">
        <v>1619</v>
      </c>
      <c r="S59" s="860">
        <v>3681</v>
      </c>
      <c r="T59" s="862">
        <v>1353</v>
      </c>
      <c r="U59" s="863">
        <v>14185</v>
      </c>
      <c r="V59" s="862">
        <v>283</v>
      </c>
      <c r="W59" s="860">
        <v>13926</v>
      </c>
      <c r="X59" s="861">
        <v>10208</v>
      </c>
      <c r="Y59" s="863">
        <v>712</v>
      </c>
      <c r="Z59" s="861">
        <v>182</v>
      </c>
      <c r="AA59" s="860">
        <v>110</v>
      </c>
      <c r="AB59" s="862">
        <v>1549</v>
      </c>
      <c r="AC59" s="863">
        <v>30</v>
      </c>
      <c r="AD59" s="862">
        <v>1195</v>
      </c>
      <c r="AE59" s="863" t="s">
        <v>390</v>
      </c>
      <c r="AF59" s="862" t="s">
        <v>390</v>
      </c>
      <c r="AG59" s="863" vm="575">
        <v>82</v>
      </c>
    </row>
    <row r="60" spans="1:33" ht="14" thickBot="1">
      <c r="A60" s="825">
        <v>1562</v>
      </c>
      <c r="B60" s="799" t="s">
        <v>1294</v>
      </c>
      <c r="C60" s="859">
        <v>564710.67000000004</v>
      </c>
      <c r="D60" s="860">
        <v>138370.92000000001</v>
      </c>
      <c r="E60" s="861">
        <v>48665.25</v>
      </c>
      <c r="F60" s="860">
        <v>9791.08</v>
      </c>
      <c r="G60" s="861">
        <v>1074.25</v>
      </c>
      <c r="H60" s="860">
        <v>6011.5</v>
      </c>
      <c r="I60" s="859">
        <v>1435.83</v>
      </c>
      <c r="J60" s="860">
        <v>1828.33</v>
      </c>
      <c r="K60" s="859">
        <v>3055</v>
      </c>
      <c r="L60" s="860">
        <v>5200.58</v>
      </c>
      <c r="M60" s="861">
        <v>8964.92</v>
      </c>
      <c r="N60" s="860">
        <v>45721.5</v>
      </c>
      <c r="O60" s="861">
        <v>5083.25</v>
      </c>
      <c r="P60" s="860">
        <v>13542.58</v>
      </c>
      <c r="Q60" s="860" t="s">
        <v>390</v>
      </c>
      <c r="R60" s="861">
        <v>3548.17</v>
      </c>
      <c r="S60" s="860">
        <v>3369.25</v>
      </c>
      <c r="T60" s="862">
        <v>857.83</v>
      </c>
      <c r="U60" s="863">
        <v>16481.75</v>
      </c>
      <c r="V60" s="862">
        <v>8428.08</v>
      </c>
      <c r="W60" s="860">
        <v>42710.17</v>
      </c>
      <c r="X60" s="861">
        <v>14555.92</v>
      </c>
      <c r="Y60" s="863">
        <v>39626.080000000002</v>
      </c>
      <c r="Z60" s="861">
        <v>50660.33</v>
      </c>
      <c r="AA60" s="860">
        <v>9315.42</v>
      </c>
      <c r="AB60" s="862">
        <v>3882.75</v>
      </c>
      <c r="AC60" s="863">
        <v>81796.17</v>
      </c>
      <c r="AD60" s="862">
        <v>733.75</v>
      </c>
      <c r="AE60" s="863" t="s">
        <v>390</v>
      </c>
      <c r="AF60" s="862" t="s">
        <v>390</v>
      </c>
      <c r="AG60" s="863" vm="576">
        <v>14288</v>
      </c>
    </row>
    <row r="61" spans="1:33" ht="14" thickBot="1">
      <c r="A61" s="825">
        <v>1565</v>
      </c>
      <c r="B61" s="799" t="s">
        <v>1295</v>
      </c>
      <c r="C61" s="859">
        <v>207406.83</v>
      </c>
      <c r="D61" s="860">
        <v>92909.17</v>
      </c>
      <c r="E61" s="861">
        <v>9747.17</v>
      </c>
      <c r="F61" s="860">
        <v>481.83</v>
      </c>
      <c r="G61" s="861">
        <v>41.67</v>
      </c>
      <c r="H61" s="860">
        <v>422.58</v>
      </c>
      <c r="I61" s="859">
        <v>51.58</v>
      </c>
      <c r="J61" s="860">
        <v>45.33</v>
      </c>
      <c r="K61" s="859">
        <v>163.58000000000001</v>
      </c>
      <c r="L61" s="860">
        <v>360.33</v>
      </c>
      <c r="M61" s="861">
        <v>4960.33</v>
      </c>
      <c r="N61" s="860">
        <v>2842.25</v>
      </c>
      <c r="O61" s="861">
        <v>4646.75</v>
      </c>
      <c r="P61" s="860">
        <v>9058.42</v>
      </c>
      <c r="Q61" s="860" t="s">
        <v>390</v>
      </c>
      <c r="R61" s="861">
        <v>178.58</v>
      </c>
      <c r="S61" s="860">
        <v>238.08</v>
      </c>
      <c r="T61" s="862">
        <v>75.08</v>
      </c>
      <c r="U61" s="863">
        <v>29209.919999999998</v>
      </c>
      <c r="V61" s="862">
        <v>11285.17</v>
      </c>
      <c r="W61" s="860">
        <v>2087.5</v>
      </c>
      <c r="X61" s="861">
        <v>553.75</v>
      </c>
      <c r="Y61" s="863">
        <v>33837.33</v>
      </c>
      <c r="Z61" s="861">
        <v>594.83000000000004</v>
      </c>
      <c r="AA61" s="860">
        <v>562.58000000000004</v>
      </c>
      <c r="AB61" s="862">
        <v>2579.25</v>
      </c>
      <c r="AC61" s="863">
        <v>374.42</v>
      </c>
      <c r="AD61" s="862">
        <v>99.33</v>
      </c>
      <c r="AE61" s="863" t="s">
        <v>390</v>
      </c>
      <c r="AF61" s="862" t="s">
        <v>390</v>
      </c>
      <c r="AG61" s="1988" vm="577">
        <v>110</v>
      </c>
    </row>
    <row r="62" spans="1:33" ht="14" thickBot="1">
      <c r="A62" s="825">
        <v>1566</v>
      </c>
      <c r="B62" s="799" t="s">
        <v>1296</v>
      </c>
      <c r="C62" s="859">
        <v>207630.58</v>
      </c>
      <c r="D62" s="860">
        <v>9804.83</v>
      </c>
      <c r="E62" s="861">
        <v>48476.58</v>
      </c>
      <c r="F62" s="860">
        <v>30860</v>
      </c>
      <c r="G62" s="861">
        <v>107.75</v>
      </c>
      <c r="H62" s="860">
        <v>12999.17</v>
      </c>
      <c r="I62" s="859">
        <v>250.67</v>
      </c>
      <c r="J62" s="860">
        <v>304.83</v>
      </c>
      <c r="K62" s="859">
        <v>388.08</v>
      </c>
      <c r="L62" s="860">
        <v>7352.67</v>
      </c>
      <c r="M62" s="861">
        <v>4177.17</v>
      </c>
      <c r="N62" s="860">
        <v>2748.92</v>
      </c>
      <c r="O62" s="861">
        <v>613.41999999999996</v>
      </c>
      <c r="P62" s="860">
        <v>1125.42</v>
      </c>
      <c r="Q62" s="860" t="s">
        <v>390</v>
      </c>
      <c r="R62" s="861">
        <v>6012.08</v>
      </c>
      <c r="S62" s="860">
        <v>4672.58</v>
      </c>
      <c r="T62" s="862">
        <v>187.08</v>
      </c>
      <c r="U62" s="863">
        <v>9850</v>
      </c>
      <c r="V62" s="862">
        <v>5888.5</v>
      </c>
      <c r="W62" s="860">
        <v>34116.67</v>
      </c>
      <c r="X62" s="861">
        <v>2365.67</v>
      </c>
      <c r="Y62" s="863">
        <v>1050.83</v>
      </c>
      <c r="Z62" s="861">
        <v>1221.83</v>
      </c>
      <c r="AA62" s="860">
        <v>20325.920000000002</v>
      </c>
      <c r="AB62" s="862">
        <v>1012.67</v>
      </c>
      <c r="AC62" s="863">
        <v>222.58</v>
      </c>
      <c r="AD62" s="862">
        <v>1494.67</v>
      </c>
      <c r="AE62" s="863" t="s">
        <v>390</v>
      </c>
      <c r="AF62" s="862" t="s">
        <v>390</v>
      </c>
      <c r="AG62" s="1988" vm="578">
        <v>108</v>
      </c>
    </row>
    <row r="63" spans="1:33" ht="14" thickBot="1">
      <c r="A63" s="825">
        <v>1568</v>
      </c>
      <c r="B63" s="799" t="s">
        <v>1355</v>
      </c>
      <c r="C63" s="859">
        <v>82228.67</v>
      </c>
      <c r="D63" s="860">
        <v>15367.42</v>
      </c>
      <c r="E63" s="861">
        <v>3342.58</v>
      </c>
      <c r="F63" s="860">
        <v>13982.83</v>
      </c>
      <c r="G63" s="861">
        <v>461</v>
      </c>
      <c r="H63" s="860">
        <v>2335.17</v>
      </c>
      <c r="I63" s="859">
        <v>267.92</v>
      </c>
      <c r="J63" s="860">
        <v>502.58</v>
      </c>
      <c r="K63" s="859">
        <v>645.25</v>
      </c>
      <c r="L63" s="860">
        <v>399.58</v>
      </c>
      <c r="M63" s="861">
        <v>189.58</v>
      </c>
      <c r="N63" s="860">
        <v>3469.58</v>
      </c>
      <c r="O63" s="861">
        <v>1278.25</v>
      </c>
      <c r="P63" s="860">
        <v>329.17</v>
      </c>
      <c r="Q63" s="860" t="s">
        <v>390</v>
      </c>
      <c r="R63" s="861">
        <v>1151.42</v>
      </c>
      <c r="S63" s="860">
        <v>1083.92</v>
      </c>
      <c r="T63" s="862">
        <v>196.08</v>
      </c>
      <c r="U63" s="863">
        <v>13982.58</v>
      </c>
      <c r="V63" s="862">
        <v>1681.25</v>
      </c>
      <c r="W63" s="860">
        <v>8590.33</v>
      </c>
      <c r="X63" s="861">
        <v>3045.17</v>
      </c>
      <c r="Y63" s="863">
        <v>83.75</v>
      </c>
      <c r="Z63" s="861">
        <v>8416.08</v>
      </c>
      <c r="AA63" s="860">
        <v>85.75</v>
      </c>
      <c r="AB63" s="862">
        <v>1126.33</v>
      </c>
      <c r="AC63" s="863">
        <v>209.33</v>
      </c>
      <c r="AD63" s="862">
        <v>5.75</v>
      </c>
      <c r="AE63" s="863" t="s">
        <v>390</v>
      </c>
      <c r="AF63" s="862" t="s">
        <v>390</v>
      </c>
      <c r="AG63" s="863" t="s">
        <v>390</v>
      </c>
    </row>
    <row r="64" spans="1:33" ht="14" thickBot="1">
      <c r="A64" s="825">
        <v>1569</v>
      </c>
      <c r="B64" s="799" t="s">
        <v>1298</v>
      </c>
      <c r="C64" s="859">
        <v>153612.44</v>
      </c>
      <c r="D64" s="860">
        <v>18880.189999999999</v>
      </c>
      <c r="E64" s="861">
        <v>19040.330000000002</v>
      </c>
      <c r="F64" s="860">
        <v>5922.35</v>
      </c>
      <c r="G64" s="861">
        <v>4002.52</v>
      </c>
      <c r="H64" s="860">
        <v>1707.82</v>
      </c>
      <c r="I64" s="859">
        <v>1810.66</v>
      </c>
      <c r="J64" s="860">
        <v>166.69</v>
      </c>
      <c r="K64" s="859">
        <v>4629.3100000000004</v>
      </c>
      <c r="L64" s="860">
        <v>995.34</v>
      </c>
      <c r="M64" s="861">
        <v>2233.87</v>
      </c>
      <c r="N64" s="860">
        <v>12693.93</v>
      </c>
      <c r="O64" s="861">
        <v>3174.67</v>
      </c>
      <c r="P64" s="860">
        <v>3687.4</v>
      </c>
      <c r="Q64" s="860" t="s">
        <v>390</v>
      </c>
      <c r="R64" s="861">
        <v>996.24</v>
      </c>
      <c r="S64" s="860">
        <v>2603.7000000000003</v>
      </c>
      <c r="T64" s="862">
        <v>640.82000000000005</v>
      </c>
      <c r="U64" s="863">
        <v>8942.23</v>
      </c>
      <c r="V64" s="862">
        <v>8759.91</v>
      </c>
      <c r="W64" s="860">
        <v>5548.03</v>
      </c>
      <c r="X64" s="861">
        <v>3390.6</v>
      </c>
      <c r="Y64" s="863">
        <v>8399.66</v>
      </c>
      <c r="Z64" s="861">
        <v>1267.72</v>
      </c>
      <c r="AA64" s="860">
        <v>28039.95</v>
      </c>
      <c r="AB64" s="862">
        <v>458.5</v>
      </c>
      <c r="AC64" s="863">
        <v>1635.95</v>
      </c>
      <c r="AD64" s="862">
        <v>3984.07</v>
      </c>
      <c r="AE64" s="863" t="s">
        <v>390</v>
      </c>
      <c r="AF64" s="862" t="s">
        <v>390</v>
      </c>
      <c r="AG64" s="863" vm="579">
        <v>52.7941</v>
      </c>
    </row>
    <row r="65" spans="1:33" ht="14" thickBot="1">
      <c r="A65" s="825">
        <v>1570</v>
      </c>
      <c r="B65" s="799" t="s">
        <v>1356</v>
      </c>
      <c r="C65" s="859">
        <v>61201.5</v>
      </c>
      <c r="D65" s="860">
        <v>1567.67</v>
      </c>
      <c r="E65" s="861">
        <v>18839.25</v>
      </c>
      <c r="F65" s="860">
        <v>639.66999999999996</v>
      </c>
      <c r="G65" s="861">
        <v>31</v>
      </c>
      <c r="H65" s="860">
        <v>164.33</v>
      </c>
      <c r="I65" s="859">
        <v>59.5</v>
      </c>
      <c r="J65" s="860">
        <v>70.25</v>
      </c>
      <c r="K65" s="859">
        <v>470.17</v>
      </c>
      <c r="L65" s="860">
        <v>1029.5</v>
      </c>
      <c r="M65" s="861">
        <v>1325.58</v>
      </c>
      <c r="N65" s="860">
        <v>585.58000000000004</v>
      </c>
      <c r="O65" s="861">
        <v>665.83</v>
      </c>
      <c r="P65" s="860">
        <v>3801.33</v>
      </c>
      <c r="Q65" s="860" t="s">
        <v>390</v>
      </c>
      <c r="R65" s="861">
        <v>3647.67</v>
      </c>
      <c r="S65" s="860">
        <v>485.67</v>
      </c>
      <c r="T65" s="862">
        <v>36.42</v>
      </c>
      <c r="U65" s="863">
        <v>1854.25</v>
      </c>
      <c r="V65" s="862">
        <v>280.83</v>
      </c>
      <c r="W65" s="860">
        <v>3631.5</v>
      </c>
      <c r="X65" s="861">
        <v>13014.75</v>
      </c>
      <c r="Y65" s="863">
        <v>991.33</v>
      </c>
      <c r="Z65" s="861">
        <v>2304.17</v>
      </c>
      <c r="AA65" s="860">
        <v>2772.08</v>
      </c>
      <c r="AB65" s="862">
        <v>529.33000000000004</v>
      </c>
      <c r="AC65" s="863">
        <v>2154.08</v>
      </c>
      <c r="AD65" s="862">
        <v>249.75</v>
      </c>
      <c r="AE65" s="863" t="s">
        <v>390</v>
      </c>
      <c r="AF65" s="862" t="s">
        <v>390</v>
      </c>
      <c r="AG65" s="863" t="s">
        <v>390</v>
      </c>
    </row>
    <row r="66" spans="1:33" ht="14" thickBot="1">
      <c r="A66" s="825">
        <v>1574</v>
      </c>
      <c r="B66" s="799" t="s">
        <v>1300</v>
      </c>
      <c r="C66" s="859">
        <v>1737.17</v>
      </c>
      <c r="D66" s="860">
        <v>811.75</v>
      </c>
      <c r="E66" s="861">
        <v>177.75</v>
      </c>
      <c r="F66" s="860">
        <v>3.42</v>
      </c>
      <c r="G66" s="861" t="s">
        <v>390</v>
      </c>
      <c r="H66" s="860">
        <v>5</v>
      </c>
      <c r="I66" s="859">
        <v>1</v>
      </c>
      <c r="J66" s="860" t="s">
        <v>390</v>
      </c>
      <c r="K66" s="859">
        <v>14</v>
      </c>
      <c r="L66" s="860">
        <v>6.83</v>
      </c>
      <c r="M66" s="861">
        <v>46.67</v>
      </c>
      <c r="N66" s="860">
        <v>14.83</v>
      </c>
      <c r="O66" s="861">
        <v>67.58</v>
      </c>
      <c r="P66" s="860">
        <v>40.42</v>
      </c>
      <c r="Q66" s="860" t="s">
        <v>390</v>
      </c>
      <c r="R66" s="861">
        <v>12</v>
      </c>
      <c r="S66" s="860">
        <v>3.33</v>
      </c>
      <c r="T66" s="862" t="s">
        <v>390</v>
      </c>
      <c r="U66" s="863">
        <v>8.58</v>
      </c>
      <c r="V66" s="862">
        <v>2.33</v>
      </c>
      <c r="W66" s="860">
        <v>18.920000000000002</v>
      </c>
      <c r="X66" s="861">
        <v>51.25</v>
      </c>
      <c r="Y66" s="863">
        <v>23.17</v>
      </c>
      <c r="Z66" s="861">
        <v>337.08</v>
      </c>
      <c r="AA66" s="860">
        <v>53.75</v>
      </c>
      <c r="AB66" s="862">
        <v>25.75</v>
      </c>
      <c r="AC66" s="863">
        <v>7.75</v>
      </c>
      <c r="AD66" s="862">
        <v>4</v>
      </c>
      <c r="AE66" s="863" t="s">
        <v>390</v>
      </c>
      <c r="AF66" s="862" t="s">
        <v>390</v>
      </c>
      <c r="AG66" s="863" t="s">
        <v>390</v>
      </c>
    </row>
    <row r="67" spans="1:33" ht="14" thickBot="1">
      <c r="A67" s="825">
        <v>1575</v>
      </c>
      <c r="B67" s="799" t="s">
        <v>1301</v>
      </c>
      <c r="C67" s="859">
        <v>28247.97</v>
      </c>
      <c r="D67" s="860">
        <v>7406.34</v>
      </c>
      <c r="E67" s="861">
        <v>10391.050000000001</v>
      </c>
      <c r="F67" s="860">
        <v>585.22</v>
      </c>
      <c r="G67" s="861">
        <v>33</v>
      </c>
      <c r="H67" s="860">
        <v>309.06</v>
      </c>
      <c r="I67" s="859">
        <v>83.35</v>
      </c>
      <c r="J67" s="860">
        <v>78.290000000000006</v>
      </c>
      <c r="K67" s="859">
        <v>219.17</v>
      </c>
      <c r="L67" s="860">
        <v>361.77</v>
      </c>
      <c r="M67" s="861">
        <v>437.42</v>
      </c>
      <c r="N67" s="860">
        <v>1301.97</v>
      </c>
      <c r="O67" s="861">
        <v>744.28</v>
      </c>
      <c r="P67" s="860">
        <v>766.55</v>
      </c>
      <c r="Q67" s="860" t="s">
        <v>390</v>
      </c>
      <c r="R67" s="861">
        <v>78.03</v>
      </c>
      <c r="S67" s="860">
        <v>107.19</v>
      </c>
      <c r="T67" s="862">
        <v>7</v>
      </c>
      <c r="U67" s="863">
        <v>722.43</v>
      </c>
      <c r="V67" s="862">
        <v>495.42</v>
      </c>
      <c r="W67" s="860">
        <v>1390.01</v>
      </c>
      <c r="X67" s="861">
        <v>179.96</v>
      </c>
      <c r="Y67" s="863">
        <v>108.63</v>
      </c>
      <c r="Z67" s="861">
        <v>1459.83</v>
      </c>
      <c r="AA67" s="860">
        <v>159.74</v>
      </c>
      <c r="AB67" s="862">
        <v>446.14</v>
      </c>
      <c r="AC67" s="863">
        <v>247.18</v>
      </c>
      <c r="AD67" s="862">
        <v>128.91</v>
      </c>
      <c r="AE67" s="863" t="s">
        <v>390</v>
      </c>
      <c r="AF67" s="862" t="s">
        <v>390</v>
      </c>
      <c r="AG67" s="863" t="s">
        <v>390</v>
      </c>
    </row>
    <row r="68" spans="1:33" ht="14" thickBot="1">
      <c r="A68" s="825">
        <v>1577</v>
      </c>
      <c r="B68" s="799" t="s">
        <v>1302</v>
      </c>
      <c r="C68" s="859">
        <v>62599.89</v>
      </c>
      <c r="D68" s="860">
        <v>7259.31</v>
      </c>
      <c r="E68" s="861">
        <v>1252.92</v>
      </c>
      <c r="F68" s="860">
        <v>209.56</v>
      </c>
      <c r="G68" s="861">
        <v>4.12</v>
      </c>
      <c r="H68" s="860">
        <v>107.8</v>
      </c>
      <c r="I68" s="859">
        <v>12.25</v>
      </c>
      <c r="J68" s="860">
        <v>21.33</v>
      </c>
      <c r="K68" s="859">
        <v>41.23</v>
      </c>
      <c r="L68" s="860">
        <v>75.28</v>
      </c>
      <c r="M68" s="861">
        <v>2873.51</v>
      </c>
      <c r="N68" s="860">
        <v>11588.42</v>
      </c>
      <c r="O68" s="861">
        <v>86.9</v>
      </c>
      <c r="P68" s="860">
        <v>2525.62</v>
      </c>
      <c r="Q68" s="860" t="s">
        <v>390</v>
      </c>
      <c r="R68" s="861">
        <v>83.41</v>
      </c>
      <c r="S68" s="860">
        <v>59.41</v>
      </c>
      <c r="T68" s="862">
        <v>3.08</v>
      </c>
      <c r="U68" s="863">
        <v>9912.82</v>
      </c>
      <c r="V68" s="862">
        <v>99.76</v>
      </c>
      <c r="W68" s="860">
        <v>14994.67</v>
      </c>
      <c r="X68" s="861">
        <v>3718.77</v>
      </c>
      <c r="Y68" s="863">
        <v>12.75</v>
      </c>
      <c r="Z68" s="861">
        <v>843.88</v>
      </c>
      <c r="AA68" s="860">
        <v>5907.58</v>
      </c>
      <c r="AB68" s="862">
        <v>531.85</v>
      </c>
      <c r="AC68" s="863">
        <v>255.16</v>
      </c>
      <c r="AD68" s="862">
        <v>118.5</v>
      </c>
      <c r="AE68" s="863" t="s">
        <v>390</v>
      </c>
      <c r="AF68" s="862" t="s">
        <v>390</v>
      </c>
      <c r="AG68" s="863" t="s">
        <v>390</v>
      </c>
    </row>
    <row r="69" spans="1:33" ht="14" thickBot="1">
      <c r="A69" s="860" t="s">
        <v>390</v>
      </c>
      <c r="B69" s="860" t="s">
        <v>390</v>
      </c>
      <c r="C69" s="859" t="s">
        <v>390</v>
      </c>
      <c r="D69" s="860" t="s">
        <v>390</v>
      </c>
      <c r="E69" s="861" t="s">
        <v>390</v>
      </c>
      <c r="F69" s="860" t="s">
        <v>390</v>
      </c>
      <c r="G69" s="861" t="s">
        <v>390</v>
      </c>
      <c r="H69" s="860" t="s">
        <v>390</v>
      </c>
      <c r="I69" s="859" t="s">
        <v>390</v>
      </c>
      <c r="J69" s="860" t="s">
        <v>390</v>
      </c>
      <c r="K69" s="859" t="s">
        <v>390</v>
      </c>
      <c r="L69" s="860" t="s">
        <v>390</v>
      </c>
      <c r="M69" s="861" t="s">
        <v>390</v>
      </c>
      <c r="N69" s="860" t="s">
        <v>390</v>
      </c>
      <c r="O69" s="861" t="s">
        <v>390</v>
      </c>
      <c r="P69" s="860" t="s">
        <v>390</v>
      </c>
      <c r="Q69" s="860" t="s">
        <v>390</v>
      </c>
      <c r="R69" s="861" t="s">
        <v>390</v>
      </c>
      <c r="S69" s="860" t="s">
        <v>390</v>
      </c>
      <c r="T69" s="862" t="s">
        <v>390</v>
      </c>
      <c r="U69" s="863" t="s">
        <v>390</v>
      </c>
      <c r="V69" s="862" t="s">
        <v>390</v>
      </c>
      <c r="W69" s="860" t="s">
        <v>390</v>
      </c>
      <c r="X69" s="861" t="s">
        <v>390</v>
      </c>
      <c r="Y69" s="863" t="s">
        <v>390</v>
      </c>
      <c r="Z69" s="861" t="s">
        <v>390</v>
      </c>
      <c r="AA69" s="860" t="s">
        <v>390</v>
      </c>
      <c r="AB69" s="862" t="s">
        <v>390</v>
      </c>
      <c r="AC69" s="863" t="s">
        <v>390</v>
      </c>
      <c r="AD69" s="862" t="s">
        <v>390</v>
      </c>
      <c r="AE69" s="863" t="s">
        <v>390</v>
      </c>
      <c r="AF69" s="862" t="s">
        <v>390</v>
      </c>
      <c r="AG69" s="863"/>
    </row>
    <row r="70" spans="1:33" ht="14" thickBot="1">
      <c r="A70" s="860" t="s">
        <v>390</v>
      </c>
      <c r="B70" s="860" t="s">
        <v>390</v>
      </c>
      <c r="C70" s="859" t="s">
        <v>390</v>
      </c>
      <c r="D70" s="860" t="s">
        <v>390</v>
      </c>
      <c r="E70" s="861" t="s">
        <v>390</v>
      </c>
      <c r="F70" s="860" t="s">
        <v>390</v>
      </c>
      <c r="G70" s="861" t="s">
        <v>390</v>
      </c>
      <c r="H70" s="860" t="s">
        <v>390</v>
      </c>
      <c r="I70" s="859" t="s">
        <v>390</v>
      </c>
      <c r="J70" s="860" t="s">
        <v>390</v>
      </c>
      <c r="K70" s="859" t="s">
        <v>390</v>
      </c>
      <c r="L70" s="860" t="s">
        <v>390</v>
      </c>
      <c r="M70" s="861" t="s">
        <v>390</v>
      </c>
      <c r="N70" s="860" t="s">
        <v>390</v>
      </c>
      <c r="O70" s="861" t="s">
        <v>390</v>
      </c>
      <c r="P70" s="860" t="s">
        <v>390</v>
      </c>
      <c r="Q70" s="860" t="s">
        <v>390</v>
      </c>
      <c r="R70" s="861" t="s">
        <v>390</v>
      </c>
      <c r="S70" s="860" t="s">
        <v>390</v>
      </c>
      <c r="T70" s="862" t="s">
        <v>390</v>
      </c>
      <c r="U70" s="863" t="s">
        <v>390</v>
      </c>
      <c r="V70" s="862" t="s">
        <v>390</v>
      </c>
      <c r="W70" s="860" t="s">
        <v>390</v>
      </c>
      <c r="X70" s="861" t="s">
        <v>390</v>
      </c>
      <c r="Y70" s="863" t="s">
        <v>390</v>
      </c>
      <c r="Z70" s="861" t="s">
        <v>390</v>
      </c>
      <c r="AA70" s="860" t="s">
        <v>390</v>
      </c>
      <c r="AB70" s="862" t="s">
        <v>390</v>
      </c>
      <c r="AC70" s="863" t="s">
        <v>390</v>
      </c>
      <c r="AD70" s="862" t="s">
        <v>390</v>
      </c>
      <c r="AE70" s="863" t="s">
        <v>390</v>
      </c>
      <c r="AF70" s="862" t="s">
        <v>390</v>
      </c>
      <c r="AG70" s="863"/>
    </row>
    <row r="71" spans="1:33" ht="14" thickBot="1">
      <c r="A71" s="860" t="s">
        <v>390</v>
      </c>
      <c r="B71" s="860" t="s">
        <v>390</v>
      </c>
      <c r="C71" s="859" t="s">
        <v>390</v>
      </c>
      <c r="D71" s="860" t="s">
        <v>390</v>
      </c>
      <c r="E71" s="861" t="s">
        <v>390</v>
      </c>
      <c r="F71" s="860" t="s">
        <v>390</v>
      </c>
      <c r="G71" s="861" t="s">
        <v>390</v>
      </c>
      <c r="H71" s="860" t="s">
        <v>390</v>
      </c>
      <c r="I71" s="859" t="s">
        <v>390</v>
      </c>
      <c r="J71" s="860" t="s">
        <v>390</v>
      </c>
      <c r="K71" s="859" t="s">
        <v>390</v>
      </c>
      <c r="L71" s="860" t="s">
        <v>390</v>
      </c>
      <c r="M71" s="861" t="s">
        <v>390</v>
      </c>
      <c r="N71" s="860" t="s">
        <v>390</v>
      </c>
      <c r="O71" s="861" t="s">
        <v>390</v>
      </c>
      <c r="P71" s="860" t="s">
        <v>390</v>
      </c>
      <c r="Q71" s="860" t="s">
        <v>390</v>
      </c>
      <c r="R71" s="861" t="s">
        <v>390</v>
      </c>
      <c r="S71" s="860" t="s">
        <v>390</v>
      </c>
      <c r="T71" s="862" t="s">
        <v>390</v>
      </c>
      <c r="U71" s="863" t="s">
        <v>390</v>
      </c>
      <c r="V71" s="862" t="s">
        <v>390</v>
      </c>
      <c r="W71" s="860" t="s">
        <v>390</v>
      </c>
      <c r="X71" s="861" t="s">
        <v>390</v>
      </c>
      <c r="Y71" s="863" t="s">
        <v>390</v>
      </c>
      <c r="Z71" s="861" t="s">
        <v>390</v>
      </c>
      <c r="AA71" s="860" t="s">
        <v>390</v>
      </c>
      <c r="AB71" s="862" t="s">
        <v>390</v>
      </c>
      <c r="AC71" s="863" t="s">
        <v>390</v>
      </c>
      <c r="AD71" s="862" t="s">
        <v>390</v>
      </c>
      <c r="AE71" s="863" t="s">
        <v>390</v>
      </c>
      <c r="AF71" s="862" t="s">
        <v>390</v>
      </c>
      <c r="AG71" s="863"/>
    </row>
    <row r="72" spans="1:33" ht="14" thickBot="1">
      <c r="A72" s="860" t="s">
        <v>390</v>
      </c>
      <c r="B72" s="860" t="s">
        <v>390</v>
      </c>
      <c r="C72" s="859" t="s">
        <v>390</v>
      </c>
      <c r="D72" s="860" t="s">
        <v>390</v>
      </c>
      <c r="E72" s="861" t="s">
        <v>390</v>
      </c>
      <c r="F72" s="860" t="s">
        <v>390</v>
      </c>
      <c r="G72" s="861" t="s">
        <v>390</v>
      </c>
      <c r="H72" s="860" t="s">
        <v>390</v>
      </c>
      <c r="I72" s="859" t="s">
        <v>390</v>
      </c>
      <c r="J72" s="860" t="s">
        <v>390</v>
      </c>
      <c r="K72" s="859" t="s">
        <v>390</v>
      </c>
      <c r="L72" s="860" t="s">
        <v>390</v>
      </c>
      <c r="M72" s="861" t="s">
        <v>390</v>
      </c>
      <c r="N72" s="860" t="s">
        <v>390</v>
      </c>
      <c r="O72" s="861" t="s">
        <v>390</v>
      </c>
      <c r="P72" s="860" t="s">
        <v>390</v>
      </c>
      <c r="Q72" s="860" t="s">
        <v>390</v>
      </c>
      <c r="R72" s="861" t="s">
        <v>390</v>
      </c>
      <c r="S72" s="860" t="s">
        <v>390</v>
      </c>
      <c r="T72" s="862" t="s">
        <v>390</v>
      </c>
      <c r="U72" s="863" t="s">
        <v>390</v>
      </c>
      <c r="V72" s="862" t="s">
        <v>390</v>
      </c>
      <c r="W72" s="860" t="s">
        <v>390</v>
      </c>
      <c r="X72" s="861" t="s">
        <v>390</v>
      </c>
      <c r="Y72" s="863" t="s">
        <v>390</v>
      </c>
      <c r="Z72" s="861" t="s">
        <v>390</v>
      </c>
      <c r="AA72" s="860" t="s">
        <v>390</v>
      </c>
      <c r="AB72" s="862" t="s">
        <v>390</v>
      </c>
      <c r="AC72" s="863" t="s">
        <v>390</v>
      </c>
      <c r="AD72" s="862" t="s">
        <v>390</v>
      </c>
      <c r="AE72" s="863" t="s">
        <v>390</v>
      </c>
      <c r="AF72" s="862" t="s">
        <v>390</v>
      </c>
      <c r="AG72" s="863"/>
    </row>
    <row r="73" spans="1:33" ht="14" thickBot="1">
      <c r="A73" s="860" t="s">
        <v>390</v>
      </c>
      <c r="B73" s="860" t="s">
        <v>390</v>
      </c>
      <c r="C73" s="859" t="s">
        <v>390</v>
      </c>
      <c r="D73" s="860" t="s">
        <v>390</v>
      </c>
      <c r="E73" s="861" t="s">
        <v>390</v>
      </c>
      <c r="F73" s="860" t="s">
        <v>390</v>
      </c>
      <c r="G73" s="861" t="s">
        <v>390</v>
      </c>
      <c r="H73" s="860" t="s">
        <v>390</v>
      </c>
      <c r="I73" s="859" t="s">
        <v>390</v>
      </c>
      <c r="J73" s="860" t="s">
        <v>390</v>
      </c>
      <c r="K73" s="859" t="s">
        <v>390</v>
      </c>
      <c r="L73" s="860" t="s">
        <v>390</v>
      </c>
      <c r="M73" s="861" t="s">
        <v>390</v>
      </c>
      <c r="N73" s="860" t="s">
        <v>390</v>
      </c>
      <c r="O73" s="861" t="s">
        <v>390</v>
      </c>
      <c r="P73" s="860" t="s">
        <v>390</v>
      </c>
      <c r="Q73" s="860" t="s">
        <v>390</v>
      </c>
      <c r="R73" s="861" t="s">
        <v>390</v>
      </c>
      <c r="S73" s="860" t="s">
        <v>390</v>
      </c>
      <c r="T73" s="862" t="s">
        <v>390</v>
      </c>
      <c r="U73" s="863" t="s">
        <v>390</v>
      </c>
      <c r="V73" s="862" t="s">
        <v>390</v>
      </c>
      <c r="W73" s="860" t="s">
        <v>390</v>
      </c>
      <c r="X73" s="861" t="s">
        <v>390</v>
      </c>
      <c r="Y73" s="863" t="s">
        <v>390</v>
      </c>
      <c r="Z73" s="861" t="s">
        <v>390</v>
      </c>
      <c r="AA73" s="860" t="s">
        <v>390</v>
      </c>
      <c r="AB73" s="862" t="s">
        <v>390</v>
      </c>
      <c r="AC73" s="863" t="s">
        <v>390</v>
      </c>
      <c r="AD73" s="862" t="s">
        <v>390</v>
      </c>
      <c r="AE73" s="863" t="s">
        <v>390</v>
      </c>
      <c r="AF73" s="862" t="s">
        <v>390</v>
      </c>
      <c r="AG73" s="863"/>
    </row>
    <row r="74" spans="1:33" ht="14" thickBot="1">
      <c r="A74" s="860" t="s">
        <v>390</v>
      </c>
      <c r="B74" s="860" t="s">
        <v>390</v>
      </c>
      <c r="C74" s="859" t="s">
        <v>390</v>
      </c>
      <c r="D74" s="860" t="s">
        <v>390</v>
      </c>
      <c r="E74" s="861" t="s">
        <v>390</v>
      </c>
      <c r="F74" s="860" t="s">
        <v>390</v>
      </c>
      <c r="G74" s="861" t="s">
        <v>390</v>
      </c>
      <c r="H74" s="860" t="s">
        <v>390</v>
      </c>
      <c r="I74" s="859" t="s">
        <v>390</v>
      </c>
      <c r="J74" s="860" t="s">
        <v>390</v>
      </c>
      <c r="K74" s="859" t="s">
        <v>390</v>
      </c>
      <c r="L74" s="860" t="s">
        <v>390</v>
      </c>
      <c r="M74" s="861" t="s">
        <v>390</v>
      </c>
      <c r="N74" s="860" t="s">
        <v>390</v>
      </c>
      <c r="O74" s="861" t="s">
        <v>390</v>
      </c>
      <c r="P74" s="860" t="s">
        <v>390</v>
      </c>
      <c r="Q74" s="860" t="s">
        <v>390</v>
      </c>
      <c r="R74" s="861" t="s">
        <v>390</v>
      </c>
      <c r="S74" s="860" t="s">
        <v>390</v>
      </c>
      <c r="T74" s="862" t="s">
        <v>390</v>
      </c>
      <c r="U74" s="863" t="s">
        <v>390</v>
      </c>
      <c r="V74" s="862" t="s">
        <v>390</v>
      </c>
      <c r="W74" s="860" t="s">
        <v>390</v>
      </c>
      <c r="X74" s="861" t="s">
        <v>390</v>
      </c>
      <c r="Y74" s="863" t="s">
        <v>390</v>
      </c>
      <c r="Z74" s="861" t="s">
        <v>390</v>
      </c>
      <c r="AA74" s="860" t="s">
        <v>390</v>
      </c>
      <c r="AB74" s="862" t="s">
        <v>390</v>
      </c>
      <c r="AC74" s="863" t="s">
        <v>390</v>
      </c>
      <c r="AD74" s="862" t="s">
        <v>390</v>
      </c>
      <c r="AE74" s="863" t="s">
        <v>390</v>
      </c>
      <c r="AF74" s="862" t="s">
        <v>390</v>
      </c>
      <c r="AG74" s="863"/>
    </row>
    <row r="75" spans="1:33" s="200" customFormat="1" ht="14" thickBot="1">
      <c r="A75" s="866" t="s">
        <v>1357</v>
      </c>
      <c r="B75" s="867">
        <v>60</v>
      </c>
      <c r="C75" s="868">
        <v>8045928.290000001</v>
      </c>
      <c r="D75" s="869">
        <v>1409714.5699999998</v>
      </c>
      <c r="E75" s="870">
        <v>993825.51</v>
      </c>
      <c r="F75" s="869">
        <v>388999.74999999994</v>
      </c>
      <c r="G75" s="870">
        <v>35905.230000000003</v>
      </c>
      <c r="H75" s="871">
        <v>151068.74</v>
      </c>
      <c r="I75" s="868">
        <v>36894.470000000008</v>
      </c>
      <c r="J75" s="869">
        <v>41391.780000000006</v>
      </c>
      <c r="K75" s="868">
        <v>39715.019999999997</v>
      </c>
      <c r="L75" s="869">
        <v>117561.63000000002</v>
      </c>
      <c r="M75" s="870">
        <v>294975.59000000003</v>
      </c>
      <c r="N75" s="869">
        <v>262067.58999999997</v>
      </c>
      <c r="O75" s="870">
        <v>182207.55</v>
      </c>
      <c r="P75" s="869">
        <v>276321.46999999997</v>
      </c>
      <c r="Q75" s="869"/>
      <c r="R75" s="870">
        <v>78141.87000000001</v>
      </c>
      <c r="S75" s="869">
        <v>54394.470000000008</v>
      </c>
      <c r="T75" s="870">
        <v>15876.259999999998</v>
      </c>
      <c r="U75" s="869">
        <v>490095.69</v>
      </c>
      <c r="V75" s="870">
        <v>198450.83</v>
      </c>
      <c r="W75" s="869">
        <v>634768.08000000019</v>
      </c>
      <c r="X75" s="870">
        <v>258515.6</v>
      </c>
      <c r="Y75" s="869">
        <v>341534.59</v>
      </c>
      <c r="Z75" s="870">
        <v>728884.67999999982</v>
      </c>
      <c r="AA75" s="869">
        <v>328297.22000000003</v>
      </c>
      <c r="AB75" s="870">
        <v>176353.95</v>
      </c>
      <c r="AC75" s="869">
        <v>432300.25999999995</v>
      </c>
      <c r="AD75" s="870">
        <v>71712.72</v>
      </c>
      <c r="AE75" s="869">
        <v>5953</v>
      </c>
      <c r="AF75" s="870" t="s">
        <v>390</v>
      </c>
      <c r="AG75" s="869">
        <v>41198</v>
      </c>
    </row>
    <row r="76" spans="1:33" ht="15.75" customHeight="1" thickBot="1">
      <c r="A76" s="872"/>
      <c r="C76" s="872" t="s">
        <v>346</v>
      </c>
      <c r="E76" s="833"/>
      <c r="F76" s="833"/>
      <c r="G76" s="833"/>
      <c r="H76" s="873"/>
      <c r="I76" s="833"/>
      <c r="J76" s="874"/>
      <c r="K76" s="875"/>
      <c r="L76" s="876"/>
      <c r="M76" s="876"/>
      <c r="N76" s="833"/>
      <c r="O76" s="876"/>
      <c r="P76" s="833"/>
      <c r="Q76" s="876"/>
      <c r="R76" s="872" t="s">
        <v>346</v>
      </c>
      <c r="S76" s="245"/>
      <c r="T76" s="833"/>
      <c r="U76" s="833"/>
      <c r="V76" s="833"/>
      <c r="W76" s="873"/>
      <c r="X76" s="833"/>
      <c r="Y76" s="874"/>
      <c r="Z76" s="875"/>
      <c r="AA76" s="876"/>
      <c r="AB76" s="876"/>
      <c r="AC76" s="833"/>
    </row>
    <row r="77" spans="1:33" ht="15.75" customHeight="1">
      <c r="A77" s="872"/>
      <c r="C77" s="872"/>
      <c r="E77" s="877"/>
      <c r="F77" s="877"/>
      <c r="G77" s="877"/>
      <c r="H77" s="878"/>
      <c r="I77" s="877"/>
      <c r="J77" s="879"/>
      <c r="K77" s="880"/>
      <c r="L77" s="368"/>
      <c r="M77" s="368"/>
      <c r="N77" s="877"/>
      <c r="O77" s="368"/>
      <c r="P77" s="877"/>
      <c r="Q77" s="368"/>
      <c r="R77" s="872"/>
      <c r="S77" s="245"/>
      <c r="T77" s="877"/>
      <c r="U77" s="877"/>
      <c r="V77" s="877"/>
      <c r="W77" s="878"/>
      <c r="X77" s="877"/>
      <c r="Y77" s="879"/>
      <c r="Z77" s="880"/>
      <c r="AA77" s="368"/>
      <c r="AB77" s="368"/>
      <c r="AC77" s="877"/>
    </row>
    <row r="78" spans="1:33" ht="38.5" customHeight="1">
      <c r="A78" s="80"/>
      <c r="B78" s="679"/>
      <c r="C78" s="2024" t="s">
        <v>2604</v>
      </c>
      <c r="D78" s="2018"/>
      <c r="E78" s="2018"/>
      <c r="F78" s="2018"/>
      <c r="G78" s="2018"/>
      <c r="H78" s="2018"/>
      <c r="I78" s="2018"/>
      <c r="J78" s="2018"/>
      <c r="K78" s="2018"/>
      <c r="L78" s="2018"/>
      <c r="M78" s="2018"/>
      <c r="N78" s="2018"/>
      <c r="R78" s="2024" t="s">
        <v>2604</v>
      </c>
      <c r="S78" s="2018"/>
      <c r="T78" s="2018"/>
      <c r="U78" s="2018"/>
      <c r="V78" s="2018"/>
      <c r="W78" s="2018"/>
      <c r="X78" s="2018"/>
      <c r="Y78" s="2018"/>
      <c r="Z78" s="2018"/>
      <c r="AA78" s="2018"/>
      <c r="AB78" s="2018"/>
      <c r="AC78" s="2018"/>
    </row>
    <row r="79" spans="1:33" ht="16.25" customHeight="1">
      <c r="A79" s="2024"/>
      <c r="B79" s="2018"/>
      <c r="C79" s="80" t="s">
        <v>1331</v>
      </c>
      <c r="D79" s="679"/>
      <c r="R79" s="80" t="s">
        <v>1331</v>
      </c>
      <c r="S79" s="679"/>
      <c r="W79" s="6"/>
      <c r="X79" s="6"/>
    </row>
    <row r="80" spans="1:33" ht="15.5" customHeight="1">
      <c r="C80" s="1884" t="s">
        <v>2603</v>
      </c>
      <c r="R80" s="1884" t="s">
        <v>2603</v>
      </c>
      <c r="S80" s="245"/>
      <c r="W80" s="6"/>
      <c r="X80" s="6"/>
    </row>
    <row r="81" spans="1:29" ht="31.25" customHeight="1">
      <c r="A81" s="80"/>
      <c r="B81" s="679"/>
      <c r="C81" s="2027" t="s">
        <v>1332</v>
      </c>
      <c r="D81" s="2028"/>
      <c r="E81" s="2028"/>
      <c r="F81" s="2028"/>
      <c r="G81" s="2028"/>
      <c r="H81" s="2028"/>
      <c r="I81" s="2028"/>
      <c r="J81" s="2028"/>
      <c r="K81" s="2028"/>
      <c r="L81" s="2028"/>
      <c r="M81" s="2028"/>
      <c r="N81" s="2028"/>
      <c r="R81" s="2024" t="s">
        <v>2601</v>
      </c>
      <c r="S81" s="2018"/>
      <c r="T81" s="2018"/>
      <c r="U81" s="2018"/>
      <c r="V81" s="2018"/>
      <c r="W81" s="2018"/>
      <c r="X81" s="2018"/>
      <c r="Y81" s="2018"/>
      <c r="Z81" s="2018"/>
      <c r="AA81" s="2018"/>
      <c r="AB81" s="2018"/>
      <c r="AC81" s="2018"/>
    </row>
    <row r="82" spans="1:29">
      <c r="R82" s="1884" t="s">
        <v>2605</v>
      </c>
      <c r="S82" s="245"/>
      <c r="W82" s="6"/>
      <c r="X82" s="6"/>
    </row>
    <row r="83" spans="1:29">
      <c r="R83" s="245"/>
      <c r="S83" s="245"/>
      <c r="W83" s="6"/>
      <c r="X83" s="6"/>
    </row>
    <row r="84" spans="1:29">
      <c r="A84" s="80"/>
      <c r="C84" s="80" t="s">
        <v>2602</v>
      </c>
      <c r="R84" s="80" t="s">
        <v>2606</v>
      </c>
      <c r="S84" s="245"/>
      <c r="W84" s="6"/>
      <c r="X84" s="6"/>
    </row>
    <row r="85" spans="1:29">
      <c r="R85" s="245"/>
      <c r="S85" s="245"/>
      <c r="W85" s="6"/>
      <c r="X85" s="6"/>
    </row>
    <row r="86" spans="1:29" ht="7.5" customHeight="1">
      <c r="R86" s="245"/>
      <c r="S86" s="245"/>
      <c r="W86" s="6"/>
      <c r="X86" s="6"/>
    </row>
    <row r="87" spans="1:29" ht="18.5" customHeight="1">
      <c r="A87" s="80"/>
      <c r="B87" s="679"/>
      <c r="C87" s="80" t="s">
        <v>302</v>
      </c>
      <c r="D87" s="679"/>
      <c r="R87" s="80" t="s">
        <v>302</v>
      </c>
      <c r="S87" s="679"/>
      <c r="W87" s="6"/>
      <c r="X87" s="6"/>
    </row>
  </sheetData>
  <mergeCells count="6">
    <mergeCell ref="A2:B2"/>
    <mergeCell ref="C78:N78"/>
    <mergeCell ref="R78:AC78"/>
    <mergeCell ref="A79:B79"/>
    <mergeCell ref="C81:N81"/>
    <mergeCell ref="R81:AC81"/>
  </mergeCells>
  <pageMargins left="0.35433070866141736" right="0.27559055118110237" top="0.23622047244094491" bottom="0.23622047244094491" header="0.19685039370078741" footer="0.19685039370078741"/>
  <pageSetup paperSize="9" scale="47" fitToWidth="2" pageOrder="overThenDown" orientation="landscape"/>
  <headerFooter alignWithMargins="0">
    <oddFooter>&amp;R&amp;P/&amp;N</oddFooter>
  </headerFooter>
  <colBreaks count="1" manualBreakCount="1">
    <brk id="17" max="1048575" man="1"/>
  </col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D5E44-02F3-7D40-8DBF-39E673927403}">
  <dimension ref="A1:AE85"/>
  <sheetViews>
    <sheetView zoomScaleNormal="100" workbookViewId="0">
      <selection activeCell="A3" sqref="A3"/>
    </sheetView>
  </sheetViews>
  <sheetFormatPr baseColWidth="10" defaultColWidth="11.3984375" defaultRowHeight="13"/>
  <cols>
    <col min="1" max="1" width="7.59765625" style="245" customWidth="1"/>
    <col min="2" max="2" width="50.19921875" style="245" customWidth="1"/>
    <col min="3" max="4" width="15.19921875" style="245" customWidth="1"/>
    <col min="5" max="7" width="15.19921875" style="3" customWidth="1"/>
    <col min="8" max="9" width="15.19921875" style="6" customWidth="1"/>
    <col min="10" max="16" width="15.19921875" style="3" customWidth="1"/>
    <col min="17" max="17" width="1.19921875" style="3" customWidth="1"/>
    <col min="18" max="18" width="15.19921875" style="3" customWidth="1"/>
    <col min="19" max="19" width="15.19921875" style="881" customWidth="1"/>
    <col min="20" max="31" width="15.19921875" style="3" customWidth="1"/>
    <col min="32" max="16384" width="11.3984375" style="3"/>
  </cols>
  <sheetData>
    <row r="1" spans="1:31" s="1" customFormat="1" ht="14" customHeight="1">
      <c r="A1" s="221"/>
      <c r="B1" s="221"/>
      <c r="C1" s="221"/>
      <c r="D1" s="221"/>
      <c r="H1" s="403"/>
      <c r="I1" s="403"/>
      <c r="S1" s="838"/>
    </row>
    <row r="2" spans="1:31" s="1" customFormat="1" ht="40.25" customHeight="1">
      <c r="A2" s="2023" t="s">
        <v>2597</v>
      </c>
      <c r="B2" s="2018"/>
      <c r="C2" s="839"/>
      <c r="D2" s="839"/>
      <c r="E2" s="840"/>
      <c r="F2" s="840"/>
      <c r="G2" s="840"/>
      <c r="H2" s="193"/>
      <c r="I2" s="403"/>
      <c r="J2" s="194"/>
      <c r="P2" s="841">
        <v>2013</v>
      </c>
      <c r="Q2" s="841"/>
      <c r="V2" s="842"/>
      <c r="AE2" s="842">
        <v>2013</v>
      </c>
    </row>
    <row r="3" spans="1:31" s="1" customFormat="1" ht="12" customHeight="1">
      <c r="A3" s="221"/>
      <c r="B3" s="221"/>
      <c r="C3" s="221"/>
      <c r="D3" s="221"/>
      <c r="H3" s="403"/>
      <c r="I3" s="403"/>
      <c r="S3" s="843"/>
      <c r="U3" s="844"/>
      <c r="W3" s="844"/>
      <c r="X3" s="844"/>
      <c r="Y3" s="844"/>
      <c r="Z3" s="844"/>
      <c r="AA3" s="844"/>
      <c r="AB3" s="844"/>
      <c r="AC3" s="844"/>
      <c r="AD3" s="844"/>
      <c r="AE3" s="844"/>
    </row>
    <row r="4" spans="1:31" ht="18" customHeight="1">
      <c r="A4" s="845" t="s">
        <v>1218</v>
      </c>
      <c r="B4" s="845" t="s">
        <v>1898</v>
      </c>
      <c r="C4" s="846"/>
      <c r="D4" s="847"/>
      <c r="E4" s="846"/>
      <c r="F4" s="847"/>
      <c r="G4" s="846"/>
      <c r="H4" s="848"/>
      <c r="I4" s="849"/>
      <c r="J4" s="847"/>
      <c r="K4" s="846"/>
      <c r="L4" s="847"/>
      <c r="M4" s="846"/>
      <c r="N4" s="848"/>
      <c r="O4" s="849"/>
      <c r="P4" s="848"/>
      <c r="Q4" s="847"/>
      <c r="R4" s="849"/>
      <c r="S4" s="791"/>
      <c r="T4" s="849"/>
      <c r="U4" s="72"/>
      <c r="V4" s="849"/>
      <c r="W4" s="72"/>
      <c r="X4" s="850"/>
      <c r="Y4" s="72"/>
      <c r="Z4" s="850"/>
      <c r="AA4" s="72"/>
      <c r="AB4" s="850"/>
      <c r="AC4" s="72"/>
      <c r="AD4" s="850"/>
      <c r="AE4" s="72"/>
    </row>
    <row r="5" spans="1:31" ht="15" customHeight="1">
      <c r="A5" s="789" t="s">
        <v>1223</v>
      </c>
      <c r="B5" s="789"/>
      <c r="C5" s="790" t="s">
        <v>530</v>
      </c>
      <c r="D5" s="791" t="s">
        <v>502</v>
      </c>
      <c r="E5" s="790" t="s">
        <v>503</v>
      </c>
      <c r="F5" s="791" t="s">
        <v>504</v>
      </c>
      <c r="G5" s="790" t="s">
        <v>505</v>
      </c>
      <c r="H5" s="851" t="s">
        <v>506</v>
      </c>
      <c r="I5" s="852" t="s">
        <v>507</v>
      </c>
      <c r="J5" s="791" t="s">
        <v>508</v>
      </c>
      <c r="K5" s="790" t="s">
        <v>509</v>
      </c>
      <c r="L5" s="791" t="s">
        <v>510</v>
      </c>
      <c r="M5" s="790" t="s">
        <v>511</v>
      </c>
      <c r="N5" s="851" t="s">
        <v>512</v>
      </c>
      <c r="O5" s="852" t="s">
        <v>513</v>
      </c>
      <c r="P5" s="851" t="s">
        <v>514</v>
      </c>
      <c r="Q5" s="791"/>
      <c r="R5" s="852" t="s">
        <v>515</v>
      </c>
      <c r="S5" s="791" t="s">
        <v>516</v>
      </c>
      <c r="T5" s="852" t="s">
        <v>517</v>
      </c>
      <c r="U5" s="791" t="s">
        <v>518</v>
      </c>
      <c r="V5" s="852" t="s">
        <v>519</v>
      </c>
      <c r="W5" s="853" t="s">
        <v>520</v>
      </c>
      <c r="X5" s="254" t="s">
        <v>521</v>
      </c>
      <c r="Y5" s="853" t="s">
        <v>522</v>
      </c>
      <c r="Z5" s="254" t="s">
        <v>523</v>
      </c>
      <c r="AA5" s="853" t="s">
        <v>524</v>
      </c>
      <c r="AB5" s="254" t="s">
        <v>525</v>
      </c>
      <c r="AC5" s="853" t="s">
        <v>526</v>
      </c>
      <c r="AD5" s="254" t="s">
        <v>527</v>
      </c>
      <c r="AE5" s="853" t="s">
        <v>1902</v>
      </c>
    </row>
    <row r="6" spans="1:31" ht="15" customHeight="1">
      <c r="A6" s="789"/>
      <c r="B6" s="789"/>
      <c r="C6" s="790"/>
      <c r="D6" s="791"/>
      <c r="E6" s="790"/>
      <c r="F6" s="791"/>
      <c r="G6" s="790"/>
      <c r="H6" s="851"/>
      <c r="I6" s="852"/>
      <c r="J6" s="791"/>
      <c r="K6" s="790"/>
      <c r="L6" s="791"/>
      <c r="M6" s="790"/>
      <c r="N6" s="851"/>
      <c r="O6" s="852"/>
      <c r="P6" s="851"/>
      <c r="Q6" s="791"/>
      <c r="R6" s="852"/>
      <c r="S6" s="791"/>
      <c r="T6" s="852"/>
      <c r="U6" s="791"/>
      <c r="V6" s="852"/>
      <c r="W6" s="853"/>
      <c r="X6" s="254"/>
      <c r="Y6" s="853"/>
      <c r="Z6" s="254"/>
      <c r="AA6" s="853"/>
      <c r="AB6" s="254"/>
      <c r="AC6" s="853"/>
      <c r="AD6" s="254"/>
      <c r="AE6" s="853"/>
    </row>
    <row r="7" spans="1:31" ht="15" customHeight="1">
      <c r="A7" s="789"/>
      <c r="B7" s="789"/>
      <c r="C7" s="790"/>
      <c r="D7" s="791" t="s">
        <v>1304</v>
      </c>
      <c r="E7" s="790" t="s">
        <v>1305</v>
      </c>
      <c r="F7" s="791" t="s">
        <v>1306</v>
      </c>
      <c r="G7" s="790" t="s">
        <v>1307</v>
      </c>
      <c r="H7" s="851" t="s">
        <v>872</v>
      </c>
      <c r="I7" s="852" t="s">
        <v>1308</v>
      </c>
      <c r="J7" s="791" t="s">
        <v>1309</v>
      </c>
      <c r="K7" s="790" t="s">
        <v>1310</v>
      </c>
      <c r="L7" s="791" t="s">
        <v>1311</v>
      </c>
      <c r="M7" s="790" t="s">
        <v>1312</v>
      </c>
      <c r="N7" s="851" t="s">
        <v>1313</v>
      </c>
      <c r="O7" s="852" t="s">
        <v>1314</v>
      </c>
      <c r="P7" s="851" t="s">
        <v>1315</v>
      </c>
      <c r="Q7" s="791"/>
      <c r="R7" s="852" t="s">
        <v>1316</v>
      </c>
      <c r="S7" s="791" t="s">
        <v>1317</v>
      </c>
      <c r="T7" s="852" t="s">
        <v>1318</v>
      </c>
      <c r="U7" s="791" t="s">
        <v>1319</v>
      </c>
      <c r="V7" s="852" t="s">
        <v>1320</v>
      </c>
      <c r="W7" s="853" t="s">
        <v>1321</v>
      </c>
      <c r="X7" s="254" t="s">
        <v>1322</v>
      </c>
      <c r="Y7" s="853" t="s">
        <v>1323</v>
      </c>
      <c r="Z7" s="254" t="s">
        <v>1324</v>
      </c>
      <c r="AA7" s="853" t="s">
        <v>1325</v>
      </c>
      <c r="AB7" s="254" t="s">
        <v>1326</v>
      </c>
      <c r="AC7" s="853" t="s">
        <v>1327</v>
      </c>
      <c r="AD7" s="254" t="s">
        <v>1328</v>
      </c>
      <c r="AE7" s="853" t="s">
        <v>1329</v>
      </c>
    </row>
    <row r="8" spans="1:31" ht="21" customHeight="1">
      <c r="A8" s="854"/>
      <c r="B8" s="854"/>
      <c r="C8" s="855"/>
      <c r="D8" s="856"/>
      <c r="E8" s="855"/>
      <c r="F8" s="856"/>
      <c r="G8" s="855"/>
      <c r="H8" s="857"/>
      <c r="I8" s="858"/>
      <c r="J8" s="856"/>
      <c r="K8" s="855"/>
      <c r="L8" s="856"/>
      <c r="M8" s="855"/>
      <c r="N8" s="857"/>
      <c r="O8" s="858"/>
      <c r="P8" s="857"/>
      <c r="Q8" s="854"/>
      <c r="R8" s="858"/>
      <c r="S8" s="856"/>
      <c r="T8" s="858"/>
      <c r="U8" s="856"/>
      <c r="V8" s="858"/>
      <c r="W8" s="856"/>
      <c r="X8" s="855"/>
      <c r="Y8" s="856"/>
      <c r="Z8" s="855"/>
      <c r="AA8" s="856"/>
      <c r="AB8" s="855"/>
      <c r="AC8" s="856"/>
      <c r="AD8" s="855"/>
      <c r="AE8" s="856"/>
    </row>
    <row r="9" spans="1:31" ht="14" thickBot="1">
      <c r="A9" s="825">
        <v>8</v>
      </c>
      <c r="B9" s="799" t="s">
        <v>1334</v>
      </c>
      <c r="C9" s="859">
        <v>851467</v>
      </c>
      <c r="D9" s="860">
        <v>112020</v>
      </c>
      <c r="E9" s="861">
        <v>19183</v>
      </c>
      <c r="F9" s="860">
        <v>92253</v>
      </c>
      <c r="G9" s="861">
        <v>3624</v>
      </c>
      <c r="H9" s="860">
        <v>42527</v>
      </c>
      <c r="I9" s="859">
        <v>8305</v>
      </c>
      <c r="J9" s="860">
        <v>9169</v>
      </c>
      <c r="K9" s="859">
        <v>1204</v>
      </c>
      <c r="L9" s="860">
        <v>25882</v>
      </c>
      <c r="M9" s="861">
        <v>81079</v>
      </c>
      <c r="N9" s="860">
        <v>25887</v>
      </c>
      <c r="O9" s="861">
        <v>5301</v>
      </c>
      <c r="P9" s="860">
        <v>23694</v>
      </c>
      <c r="Q9" s="860" t="s">
        <v>390</v>
      </c>
      <c r="R9" s="861">
        <v>2252</v>
      </c>
      <c r="S9" s="860">
        <v>2197</v>
      </c>
      <c r="T9" s="861">
        <v>2150</v>
      </c>
      <c r="U9" s="860">
        <v>71480</v>
      </c>
      <c r="V9" s="861">
        <v>5003</v>
      </c>
      <c r="W9" s="860">
        <v>93112</v>
      </c>
      <c r="X9" s="861">
        <v>23210</v>
      </c>
      <c r="Y9" s="860">
        <v>16219</v>
      </c>
      <c r="Z9" s="861">
        <v>55761</v>
      </c>
      <c r="AA9" s="860">
        <v>37628</v>
      </c>
      <c r="AB9" s="861">
        <v>23570</v>
      </c>
      <c r="AC9" s="860">
        <v>59302</v>
      </c>
      <c r="AD9" s="861">
        <v>9455</v>
      </c>
      <c r="AE9" s="860" t="s">
        <v>390</v>
      </c>
    </row>
    <row r="10" spans="1:31" ht="14" thickBot="1">
      <c r="A10" s="825">
        <v>32</v>
      </c>
      <c r="B10" s="799" t="s">
        <v>1238</v>
      </c>
      <c r="C10" s="859">
        <v>40523</v>
      </c>
      <c r="D10" s="860">
        <v>11177</v>
      </c>
      <c r="E10" s="861">
        <v>486</v>
      </c>
      <c r="F10" s="860">
        <v>275</v>
      </c>
      <c r="G10" s="861">
        <v>15</v>
      </c>
      <c r="H10" s="860">
        <v>1501</v>
      </c>
      <c r="I10" s="859">
        <v>942</v>
      </c>
      <c r="J10" s="860">
        <v>809</v>
      </c>
      <c r="K10" s="859">
        <v>422</v>
      </c>
      <c r="L10" s="860">
        <v>242</v>
      </c>
      <c r="M10" s="861">
        <v>150</v>
      </c>
      <c r="N10" s="860">
        <v>292</v>
      </c>
      <c r="O10" s="861">
        <v>162</v>
      </c>
      <c r="P10" s="860">
        <v>276</v>
      </c>
      <c r="Q10" s="860" t="s">
        <v>390</v>
      </c>
      <c r="R10" s="861">
        <v>128</v>
      </c>
      <c r="S10" s="860">
        <v>38</v>
      </c>
      <c r="T10" s="862">
        <v>6</v>
      </c>
      <c r="U10" s="863">
        <v>311</v>
      </c>
      <c r="V10" s="862">
        <v>2246</v>
      </c>
      <c r="W10" s="860">
        <v>19544</v>
      </c>
      <c r="X10" s="861">
        <v>382</v>
      </c>
      <c r="Y10" s="863">
        <v>317</v>
      </c>
      <c r="Z10" s="861">
        <v>458</v>
      </c>
      <c r="AA10" s="860">
        <v>64</v>
      </c>
      <c r="AB10" s="862">
        <v>26</v>
      </c>
      <c r="AC10" s="863">
        <v>247</v>
      </c>
      <c r="AD10" s="862">
        <v>7</v>
      </c>
      <c r="AE10" s="863" t="s">
        <v>390</v>
      </c>
    </row>
    <row r="11" spans="1:31" ht="14" thickBot="1">
      <c r="A11" s="825">
        <v>57</v>
      </c>
      <c r="B11" s="799" t="s">
        <v>1239</v>
      </c>
      <c r="C11" s="859">
        <v>6449</v>
      </c>
      <c r="D11" s="860">
        <v>274</v>
      </c>
      <c r="E11" s="861">
        <v>303</v>
      </c>
      <c r="F11" s="860">
        <v>222</v>
      </c>
      <c r="G11" s="861">
        <v>6</v>
      </c>
      <c r="H11" s="860">
        <v>7</v>
      </c>
      <c r="I11" s="859">
        <v>33</v>
      </c>
      <c r="J11" s="860">
        <v>26</v>
      </c>
      <c r="K11" s="859">
        <v>5</v>
      </c>
      <c r="L11" s="860">
        <v>9</v>
      </c>
      <c r="M11" s="861">
        <v>96</v>
      </c>
      <c r="N11" s="860">
        <v>1042</v>
      </c>
      <c r="O11" s="861">
        <v>300</v>
      </c>
      <c r="P11" s="860">
        <v>588</v>
      </c>
      <c r="Q11" s="860" t="s">
        <v>390</v>
      </c>
      <c r="R11" s="861">
        <v>5</v>
      </c>
      <c r="S11" s="860">
        <v>3</v>
      </c>
      <c r="T11" s="862" t="s">
        <v>390</v>
      </c>
      <c r="U11" s="863">
        <v>39</v>
      </c>
      <c r="V11" s="862">
        <v>19</v>
      </c>
      <c r="W11" s="860">
        <v>713</v>
      </c>
      <c r="X11" s="861">
        <v>25</v>
      </c>
      <c r="Y11" s="863">
        <v>130</v>
      </c>
      <c r="Z11" s="861">
        <v>1045</v>
      </c>
      <c r="AA11" s="860">
        <v>528</v>
      </c>
      <c r="AB11" s="862">
        <v>29</v>
      </c>
      <c r="AC11" s="863">
        <v>996</v>
      </c>
      <c r="AD11" s="862">
        <v>6</v>
      </c>
      <c r="AE11" s="863" t="s">
        <v>390</v>
      </c>
    </row>
    <row r="12" spans="1:31" ht="14" thickBot="1">
      <c r="A12" s="825">
        <v>62</v>
      </c>
      <c r="B12" s="799" t="s">
        <v>1335</v>
      </c>
      <c r="C12" s="859">
        <v>59995</v>
      </c>
      <c r="D12" s="860">
        <v>1015</v>
      </c>
      <c r="E12" s="861">
        <v>12314</v>
      </c>
      <c r="F12" s="860">
        <v>158</v>
      </c>
      <c r="G12" s="861">
        <v>19</v>
      </c>
      <c r="H12" s="860">
        <v>73</v>
      </c>
      <c r="I12" s="859">
        <v>12</v>
      </c>
      <c r="J12" s="860">
        <v>20</v>
      </c>
      <c r="K12" s="859">
        <v>27</v>
      </c>
      <c r="L12" s="860">
        <v>42</v>
      </c>
      <c r="M12" s="861">
        <v>837</v>
      </c>
      <c r="N12" s="860">
        <v>166</v>
      </c>
      <c r="O12" s="861">
        <v>250</v>
      </c>
      <c r="P12" s="860">
        <v>5361</v>
      </c>
      <c r="Q12" s="860" t="s">
        <v>390</v>
      </c>
      <c r="R12" s="861">
        <v>45</v>
      </c>
      <c r="S12" s="860">
        <v>568</v>
      </c>
      <c r="T12" s="862">
        <v>5</v>
      </c>
      <c r="U12" s="863">
        <v>160</v>
      </c>
      <c r="V12" s="862">
        <v>133</v>
      </c>
      <c r="W12" s="860">
        <v>344</v>
      </c>
      <c r="X12" s="861">
        <v>102</v>
      </c>
      <c r="Y12" s="863">
        <v>6002</v>
      </c>
      <c r="Z12" s="861">
        <v>26991</v>
      </c>
      <c r="AA12" s="860">
        <v>1169</v>
      </c>
      <c r="AB12" s="862">
        <v>912</v>
      </c>
      <c r="AC12" s="863">
        <v>3117</v>
      </c>
      <c r="AD12" s="862">
        <v>153</v>
      </c>
      <c r="AE12" s="863" t="s">
        <v>390</v>
      </c>
    </row>
    <row r="13" spans="1:31" ht="14" thickBot="1">
      <c r="A13" s="825">
        <v>134</v>
      </c>
      <c r="B13" s="799" t="s">
        <v>1336</v>
      </c>
      <c r="C13" s="859">
        <v>3639</v>
      </c>
      <c r="D13" s="860">
        <v>126</v>
      </c>
      <c r="E13" s="861" t="s">
        <v>390</v>
      </c>
      <c r="F13" s="860">
        <v>13</v>
      </c>
      <c r="G13" s="861">
        <v>3</v>
      </c>
      <c r="H13" s="860">
        <v>3434</v>
      </c>
      <c r="I13" s="859" t="s">
        <v>390</v>
      </c>
      <c r="J13" s="860">
        <v>5</v>
      </c>
      <c r="K13" s="859">
        <v>10</v>
      </c>
      <c r="L13" s="860">
        <v>22</v>
      </c>
      <c r="M13" s="861" t="s">
        <v>390</v>
      </c>
      <c r="N13" s="860" t="s">
        <v>390</v>
      </c>
      <c r="O13" s="861" t="s">
        <v>390</v>
      </c>
      <c r="P13" s="860" t="s">
        <v>390</v>
      </c>
      <c r="Q13" s="860" t="s">
        <v>390</v>
      </c>
      <c r="R13" s="861" t="s">
        <v>390</v>
      </c>
      <c r="S13" s="860" t="s">
        <v>390</v>
      </c>
      <c r="T13" s="862" t="s">
        <v>390</v>
      </c>
      <c r="U13" s="863">
        <v>26</v>
      </c>
      <c r="V13" s="862" t="s">
        <v>390</v>
      </c>
      <c r="W13" s="860" t="s">
        <v>390</v>
      </c>
      <c r="X13" s="861" t="s">
        <v>390</v>
      </c>
      <c r="Y13" s="863" t="s">
        <v>390</v>
      </c>
      <c r="Z13" s="861" t="s">
        <v>390</v>
      </c>
      <c r="AA13" s="860" t="s">
        <v>390</v>
      </c>
      <c r="AB13" s="862" t="s">
        <v>390</v>
      </c>
      <c r="AC13" s="863" t="s">
        <v>390</v>
      </c>
      <c r="AD13" s="862" t="s">
        <v>390</v>
      </c>
      <c r="AE13" s="863" t="s">
        <v>390</v>
      </c>
    </row>
    <row r="14" spans="1:31" ht="14" thickBot="1">
      <c r="A14" s="825">
        <v>182</v>
      </c>
      <c r="B14" s="799" t="s">
        <v>1242</v>
      </c>
      <c r="C14" s="859">
        <v>61902</v>
      </c>
      <c r="D14" s="860">
        <v>31237</v>
      </c>
      <c r="E14" s="861">
        <v>1420</v>
      </c>
      <c r="F14" s="860">
        <v>1600</v>
      </c>
      <c r="G14" s="861">
        <v>154</v>
      </c>
      <c r="H14" s="860">
        <v>1571</v>
      </c>
      <c r="I14" s="859">
        <v>175</v>
      </c>
      <c r="J14" s="860">
        <v>196</v>
      </c>
      <c r="K14" s="859">
        <v>270</v>
      </c>
      <c r="L14" s="860">
        <v>345</v>
      </c>
      <c r="M14" s="861">
        <v>285</v>
      </c>
      <c r="N14" s="860">
        <v>3982</v>
      </c>
      <c r="O14" s="861">
        <v>146</v>
      </c>
      <c r="P14" s="860">
        <v>326</v>
      </c>
      <c r="Q14" s="860" t="s">
        <v>390</v>
      </c>
      <c r="R14" s="861">
        <v>1167</v>
      </c>
      <c r="S14" s="860">
        <v>412</v>
      </c>
      <c r="T14" s="862">
        <v>21</v>
      </c>
      <c r="U14" s="863">
        <v>9320</v>
      </c>
      <c r="V14" s="862">
        <v>213</v>
      </c>
      <c r="W14" s="860">
        <v>4032</v>
      </c>
      <c r="X14" s="861">
        <v>4004</v>
      </c>
      <c r="Y14" s="863">
        <v>65</v>
      </c>
      <c r="Z14" s="861">
        <v>279</v>
      </c>
      <c r="AA14" s="860">
        <v>125</v>
      </c>
      <c r="AB14" s="862">
        <v>63</v>
      </c>
      <c r="AC14" s="863">
        <v>477</v>
      </c>
      <c r="AD14" s="862">
        <v>17</v>
      </c>
      <c r="AE14" s="863" t="s">
        <v>390</v>
      </c>
    </row>
    <row r="15" spans="1:31" ht="14" thickBot="1">
      <c r="A15" s="825">
        <v>194</v>
      </c>
      <c r="B15" s="799" t="s">
        <v>1243</v>
      </c>
      <c r="C15" s="859">
        <v>19038</v>
      </c>
      <c r="D15" s="860">
        <v>562</v>
      </c>
      <c r="E15" s="861">
        <v>15846</v>
      </c>
      <c r="F15" s="860">
        <v>195</v>
      </c>
      <c r="G15" s="861">
        <v>18</v>
      </c>
      <c r="H15" s="860">
        <v>69</v>
      </c>
      <c r="I15" s="859">
        <v>22</v>
      </c>
      <c r="J15" s="860">
        <v>21</v>
      </c>
      <c r="K15" s="859">
        <v>18</v>
      </c>
      <c r="L15" s="860">
        <v>49</v>
      </c>
      <c r="M15" s="861">
        <v>238</v>
      </c>
      <c r="N15" s="860">
        <v>689</v>
      </c>
      <c r="O15" s="861">
        <v>56</v>
      </c>
      <c r="P15" s="860">
        <v>246</v>
      </c>
      <c r="Q15" s="860" t="s">
        <v>390</v>
      </c>
      <c r="R15" s="861">
        <v>60</v>
      </c>
      <c r="S15" s="860">
        <v>31</v>
      </c>
      <c r="T15" s="862">
        <v>3</v>
      </c>
      <c r="U15" s="863">
        <v>95</v>
      </c>
      <c r="V15" s="862">
        <v>90</v>
      </c>
      <c r="W15" s="860">
        <v>525</v>
      </c>
      <c r="X15" s="861">
        <v>139</v>
      </c>
      <c r="Y15" s="863" t="s">
        <v>390</v>
      </c>
      <c r="Z15" s="861" t="s">
        <v>390</v>
      </c>
      <c r="AA15" s="860">
        <v>66</v>
      </c>
      <c r="AB15" s="862" t="s">
        <v>390</v>
      </c>
      <c r="AC15" s="863" t="s">
        <v>390</v>
      </c>
      <c r="AD15" s="862" t="s">
        <v>390</v>
      </c>
      <c r="AE15" s="863" t="s">
        <v>390</v>
      </c>
    </row>
    <row r="16" spans="1:31" ht="14" thickBot="1">
      <c r="A16" s="825">
        <v>246</v>
      </c>
      <c r="B16" s="799" t="s">
        <v>1244</v>
      </c>
      <c r="C16" s="859">
        <v>3335</v>
      </c>
      <c r="D16" s="860">
        <v>383</v>
      </c>
      <c r="E16" s="861">
        <v>2613</v>
      </c>
      <c r="F16" s="860" t="s">
        <v>390</v>
      </c>
      <c r="G16" s="861" t="s">
        <v>390</v>
      </c>
      <c r="H16" s="860" t="s">
        <v>390</v>
      </c>
      <c r="I16" s="859" t="s">
        <v>390</v>
      </c>
      <c r="J16" s="860" t="s">
        <v>390</v>
      </c>
      <c r="K16" s="859" t="s">
        <v>390</v>
      </c>
      <c r="L16" s="860" t="s">
        <v>390</v>
      </c>
      <c r="M16" s="861" t="s">
        <v>390</v>
      </c>
      <c r="N16" s="860">
        <v>208</v>
      </c>
      <c r="O16" s="861" t="s">
        <v>390</v>
      </c>
      <c r="P16" s="860" t="s">
        <v>390</v>
      </c>
      <c r="Q16" s="860" t="s">
        <v>390</v>
      </c>
      <c r="R16" s="861" t="s">
        <v>390</v>
      </c>
      <c r="S16" s="860" t="s">
        <v>390</v>
      </c>
      <c r="T16" s="862" t="s">
        <v>390</v>
      </c>
      <c r="U16" s="863" t="s">
        <v>390</v>
      </c>
      <c r="V16" s="862" t="s">
        <v>390</v>
      </c>
      <c r="W16" s="860">
        <v>131</v>
      </c>
      <c r="X16" s="861" t="s">
        <v>390</v>
      </c>
      <c r="Y16" s="863" t="s">
        <v>390</v>
      </c>
      <c r="Z16" s="861" t="s">
        <v>390</v>
      </c>
      <c r="AA16" s="860" t="s">
        <v>390</v>
      </c>
      <c r="AB16" s="862" t="s">
        <v>390</v>
      </c>
      <c r="AC16" s="863" t="s">
        <v>390</v>
      </c>
      <c r="AD16" s="862" t="s">
        <v>390</v>
      </c>
      <c r="AE16" s="863" t="s">
        <v>390</v>
      </c>
    </row>
    <row r="17" spans="1:31" ht="14" thickBot="1">
      <c r="A17" s="825">
        <v>290</v>
      </c>
      <c r="B17" s="799" t="s">
        <v>1337</v>
      </c>
      <c r="C17" s="859">
        <v>544311</v>
      </c>
      <c r="D17" s="860">
        <v>67011</v>
      </c>
      <c r="E17" s="861">
        <v>25503</v>
      </c>
      <c r="F17" s="860">
        <v>95519</v>
      </c>
      <c r="G17" s="861">
        <v>8741</v>
      </c>
      <c r="H17" s="860">
        <v>24091</v>
      </c>
      <c r="I17" s="859">
        <v>9986</v>
      </c>
      <c r="J17" s="860">
        <v>12103</v>
      </c>
      <c r="K17" s="859">
        <v>2943</v>
      </c>
      <c r="L17" s="860">
        <v>19704</v>
      </c>
      <c r="M17" s="861">
        <v>17132</v>
      </c>
      <c r="N17" s="860">
        <v>11754</v>
      </c>
      <c r="O17" s="861">
        <v>6527</v>
      </c>
      <c r="P17" s="860">
        <v>16139</v>
      </c>
      <c r="Q17" s="860" t="s">
        <v>390</v>
      </c>
      <c r="R17" s="861">
        <v>4232</v>
      </c>
      <c r="S17" s="860">
        <v>1662</v>
      </c>
      <c r="T17" s="862">
        <v>1649</v>
      </c>
      <c r="U17" s="863">
        <v>36115</v>
      </c>
      <c r="V17" s="862">
        <v>6427</v>
      </c>
      <c r="W17" s="860">
        <v>90038</v>
      </c>
      <c r="X17" s="861">
        <v>14932</v>
      </c>
      <c r="Y17" s="863">
        <v>15576</v>
      </c>
      <c r="Z17" s="861">
        <v>24444</v>
      </c>
      <c r="AA17" s="860">
        <v>11438</v>
      </c>
      <c r="AB17" s="862">
        <v>6735</v>
      </c>
      <c r="AC17" s="863">
        <v>9761</v>
      </c>
      <c r="AD17" s="862">
        <v>4149</v>
      </c>
      <c r="AE17" s="863" t="s">
        <v>390</v>
      </c>
    </row>
    <row r="18" spans="1:31" ht="14" thickBot="1">
      <c r="A18" s="825">
        <v>294</v>
      </c>
      <c r="B18" s="799" t="s">
        <v>1246</v>
      </c>
      <c r="C18" s="859">
        <v>8625</v>
      </c>
      <c r="D18" s="860">
        <v>863</v>
      </c>
      <c r="E18" s="861">
        <v>215</v>
      </c>
      <c r="F18" s="860">
        <v>3505</v>
      </c>
      <c r="G18" s="861">
        <v>14</v>
      </c>
      <c r="H18" s="860">
        <v>36</v>
      </c>
      <c r="I18" s="859">
        <v>507</v>
      </c>
      <c r="J18" s="860">
        <v>361</v>
      </c>
      <c r="K18" s="859">
        <v>2</v>
      </c>
      <c r="L18" s="860">
        <v>86</v>
      </c>
      <c r="M18" s="861">
        <v>36</v>
      </c>
      <c r="N18" s="860">
        <v>40</v>
      </c>
      <c r="O18" s="861">
        <v>30</v>
      </c>
      <c r="P18" s="860">
        <v>129</v>
      </c>
      <c r="Q18" s="860" t="s">
        <v>390</v>
      </c>
      <c r="R18" s="861">
        <v>12</v>
      </c>
      <c r="S18" s="860">
        <v>6</v>
      </c>
      <c r="T18" s="862">
        <v>1</v>
      </c>
      <c r="U18" s="863">
        <v>25</v>
      </c>
      <c r="V18" s="862">
        <v>16</v>
      </c>
      <c r="W18" s="860">
        <v>1305</v>
      </c>
      <c r="X18" s="861">
        <v>294</v>
      </c>
      <c r="Y18" s="863">
        <v>6</v>
      </c>
      <c r="Z18" s="861">
        <v>51</v>
      </c>
      <c r="AA18" s="860">
        <v>877</v>
      </c>
      <c r="AB18" s="862">
        <v>159</v>
      </c>
      <c r="AC18" s="863">
        <v>5</v>
      </c>
      <c r="AD18" s="862">
        <v>44</v>
      </c>
      <c r="AE18" s="863" t="s">
        <v>390</v>
      </c>
    </row>
    <row r="19" spans="1:31" ht="14" thickBot="1">
      <c r="A19" s="825">
        <v>312</v>
      </c>
      <c r="B19" s="799" t="s">
        <v>1338</v>
      </c>
      <c r="C19" s="859">
        <v>168423</v>
      </c>
      <c r="D19" s="860">
        <v>60033</v>
      </c>
      <c r="E19" s="861">
        <v>23291</v>
      </c>
      <c r="F19" s="860">
        <v>7465</v>
      </c>
      <c r="G19" s="861">
        <v>1015</v>
      </c>
      <c r="H19" s="860">
        <v>1807</v>
      </c>
      <c r="I19" s="859">
        <v>337</v>
      </c>
      <c r="J19" s="860">
        <v>326</v>
      </c>
      <c r="K19" s="859">
        <v>399</v>
      </c>
      <c r="L19" s="860">
        <v>1043</v>
      </c>
      <c r="M19" s="861">
        <v>5901</v>
      </c>
      <c r="N19" s="860">
        <v>4870</v>
      </c>
      <c r="O19" s="861">
        <v>1495</v>
      </c>
      <c r="P19" s="860">
        <v>6414</v>
      </c>
      <c r="Q19" s="860" t="s">
        <v>390</v>
      </c>
      <c r="R19" s="861">
        <v>955</v>
      </c>
      <c r="S19" s="860">
        <v>384</v>
      </c>
      <c r="T19" s="862">
        <v>55</v>
      </c>
      <c r="U19" s="863">
        <v>10640</v>
      </c>
      <c r="V19" s="862">
        <v>3901</v>
      </c>
      <c r="W19" s="860">
        <v>11970</v>
      </c>
      <c r="X19" s="861">
        <v>3984</v>
      </c>
      <c r="Y19" s="863">
        <v>9743</v>
      </c>
      <c r="Z19" s="861">
        <v>5326</v>
      </c>
      <c r="AA19" s="860">
        <v>3672</v>
      </c>
      <c r="AB19" s="862">
        <v>1048</v>
      </c>
      <c r="AC19" s="863">
        <v>1221</v>
      </c>
      <c r="AD19" s="862">
        <v>1128</v>
      </c>
      <c r="AE19" s="863" t="s">
        <v>390</v>
      </c>
    </row>
    <row r="20" spans="1:31" ht="14" thickBot="1">
      <c r="A20" s="825">
        <v>343</v>
      </c>
      <c r="B20" s="799" t="s">
        <v>1248</v>
      </c>
      <c r="C20" s="859">
        <v>228237</v>
      </c>
      <c r="D20" s="860">
        <v>3671</v>
      </c>
      <c r="E20" s="861">
        <v>26588</v>
      </c>
      <c r="F20" s="860">
        <v>14238</v>
      </c>
      <c r="G20" s="861">
        <v>1942</v>
      </c>
      <c r="H20" s="860">
        <v>342</v>
      </c>
      <c r="I20" s="859">
        <v>142</v>
      </c>
      <c r="J20" s="860">
        <v>185</v>
      </c>
      <c r="K20" s="859">
        <v>2294</v>
      </c>
      <c r="L20" s="860">
        <v>6004</v>
      </c>
      <c r="M20" s="861">
        <v>8014</v>
      </c>
      <c r="N20" s="860">
        <v>1400</v>
      </c>
      <c r="O20" s="861">
        <v>14013</v>
      </c>
      <c r="P20" s="860">
        <v>11626</v>
      </c>
      <c r="Q20" s="860" t="s">
        <v>390</v>
      </c>
      <c r="R20" s="861">
        <v>476</v>
      </c>
      <c r="S20" s="860">
        <v>299</v>
      </c>
      <c r="T20" s="862">
        <v>19</v>
      </c>
      <c r="U20" s="863">
        <v>24157</v>
      </c>
      <c r="V20" s="862">
        <v>2365</v>
      </c>
      <c r="W20" s="860">
        <v>48956</v>
      </c>
      <c r="X20" s="861">
        <v>658</v>
      </c>
      <c r="Y20" s="863">
        <v>1379</v>
      </c>
      <c r="Z20" s="861">
        <v>35796</v>
      </c>
      <c r="AA20" s="860">
        <v>2349</v>
      </c>
      <c r="AB20" s="862">
        <v>544</v>
      </c>
      <c r="AC20" s="863">
        <v>20477</v>
      </c>
      <c r="AD20" s="862">
        <v>303</v>
      </c>
      <c r="AE20" s="863" t="s">
        <v>390</v>
      </c>
    </row>
    <row r="21" spans="1:31" ht="14" thickBot="1">
      <c r="A21" s="825">
        <v>360</v>
      </c>
      <c r="B21" s="799" t="s">
        <v>1249</v>
      </c>
      <c r="C21" s="859">
        <v>21056</v>
      </c>
      <c r="D21" s="860">
        <v>899</v>
      </c>
      <c r="E21" s="861">
        <v>1457</v>
      </c>
      <c r="F21" s="860">
        <v>15625</v>
      </c>
      <c r="G21" s="861">
        <v>18</v>
      </c>
      <c r="H21" s="860">
        <v>66</v>
      </c>
      <c r="I21" s="859">
        <v>42</v>
      </c>
      <c r="J21" s="860">
        <v>94</v>
      </c>
      <c r="K21" s="859" t="s">
        <v>390</v>
      </c>
      <c r="L21" s="860">
        <v>145</v>
      </c>
      <c r="M21" s="861" t="s">
        <v>390</v>
      </c>
      <c r="N21" s="860">
        <v>1050</v>
      </c>
      <c r="O21" s="861" t="s">
        <v>390</v>
      </c>
      <c r="P21" s="860">
        <v>4</v>
      </c>
      <c r="Q21" s="860" t="s">
        <v>390</v>
      </c>
      <c r="R21" s="861" t="s">
        <v>390</v>
      </c>
      <c r="S21" s="860" t="s">
        <v>390</v>
      </c>
      <c r="T21" s="862" t="s">
        <v>390</v>
      </c>
      <c r="U21" s="863" t="s">
        <v>390</v>
      </c>
      <c r="V21" s="862" t="s">
        <v>390</v>
      </c>
      <c r="W21" s="860">
        <v>1655</v>
      </c>
      <c r="X21" s="861">
        <v>1</v>
      </c>
      <c r="Y21" s="863" t="s">
        <v>390</v>
      </c>
      <c r="Z21" s="861" t="s">
        <v>390</v>
      </c>
      <c r="AA21" s="860" t="s">
        <v>390</v>
      </c>
      <c r="AB21" s="862" t="s">
        <v>390</v>
      </c>
      <c r="AC21" s="863" t="s">
        <v>390</v>
      </c>
      <c r="AD21" s="862" t="s">
        <v>390</v>
      </c>
      <c r="AE21" s="863" t="s">
        <v>390</v>
      </c>
    </row>
    <row r="22" spans="1:31" ht="14" thickBot="1">
      <c r="A22" s="825">
        <v>376</v>
      </c>
      <c r="B22" s="799" t="s">
        <v>1250</v>
      </c>
      <c r="C22" s="859">
        <v>390866</v>
      </c>
      <c r="D22" s="860">
        <v>36455</v>
      </c>
      <c r="E22" s="861">
        <v>137902</v>
      </c>
      <c r="F22" s="860">
        <v>9459</v>
      </c>
      <c r="G22" s="861">
        <v>1396</v>
      </c>
      <c r="H22" s="860">
        <v>3685</v>
      </c>
      <c r="I22" s="859">
        <v>256</v>
      </c>
      <c r="J22" s="860">
        <v>2338</v>
      </c>
      <c r="K22" s="859">
        <v>1470</v>
      </c>
      <c r="L22" s="860">
        <v>1735</v>
      </c>
      <c r="M22" s="861">
        <v>14442</v>
      </c>
      <c r="N22" s="860">
        <v>8483</v>
      </c>
      <c r="O22" s="861">
        <v>8924</v>
      </c>
      <c r="P22" s="860">
        <v>14300</v>
      </c>
      <c r="Q22" s="860" t="s">
        <v>390</v>
      </c>
      <c r="R22" s="861">
        <v>1321</v>
      </c>
      <c r="S22" s="860">
        <v>2264</v>
      </c>
      <c r="T22" s="862">
        <v>281</v>
      </c>
      <c r="U22" s="863">
        <v>27396</v>
      </c>
      <c r="V22" s="862">
        <v>7260</v>
      </c>
      <c r="W22" s="860">
        <v>13109</v>
      </c>
      <c r="X22" s="861">
        <v>5991</v>
      </c>
      <c r="Y22" s="863">
        <v>30245</v>
      </c>
      <c r="Z22" s="861">
        <v>35612</v>
      </c>
      <c r="AA22" s="860">
        <v>9021</v>
      </c>
      <c r="AB22" s="862">
        <v>1438</v>
      </c>
      <c r="AC22" s="863">
        <v>11521</v>
      </c>
      <c r="AD22" s="862">
        <v>1935</v>
      </c>
      <c r="AE22" s="863">
        <v>2627</v>
      </c>
    </row>
    <row r="23" spans="1:31" ht="14" thickBot="1">
      <c r="A23" s="825">
        <v>455</v>
      </c>
      <c r="B23" s="799" t="s">
        <v>1339</v>
      </c>
      <c r="C23" s="859">
        <v>152414</v>
      </c>
      <c r="D23" s="860">
        <v>21960</v>
      </c>
      <c r="E23" s="861">
        <v>3723</v>
      </c>
      <c r="F23" s="860">
        <v>5382</v>
      </c>
      <c r="G23" s="861">
        <v>451</v>
      </c>
      <c r="H23" s="860">
        <v>2012</v>
      </c>
      <c r="I23" s="859">
        <v>744</v>
      </c>
      <c r="J23" s="860">
        <v>197</v>
      </c>
      <c r="K23" s="859">
        <v>1837</v>
      </c>
      <c r="L23" s="860">
        <v>1770</v>
      </c>
      <c r="M23" s="861">
        <v>167</v>
      </c>
      <c r="N23" s="860">
        <v>341</v>
      </c>
      <c r="O23" s="861">
        <v>288</v>
      </c>
      <c r="P23" s="860">
        <v>396</v>
      </c>
      <c r="Q23" s="860" t="s">
        <v>390</v>
      </c>
      <c r="R23" s="861">
        <v>4185</v>
      </c>
      <c r="S23" s="860">
        <v>467</v>
      </c>
      <c r="T23" s="862">
        <v>120</v>
      </c>
      <c r="U23" s="863">
        <v>8016</v>
      </c>
      <c r="V23" s="862">
        <v>78716</v>
      </c>
      <c r="W23" s="860">
        <v>1320</v>
      </c>
      <c r="X23" s="861">
        <v>6813</v>
      </c>
      <c r="Y23" s="863">
        <v>11664</v>
      </c>
      <c r="Z23" s="861">
        <v>844</v>
      </c>
      <c r="AA23" s="860">
        <v>871</v>
      </c>
      <c r="AB23" s="862">
        <v>39</v>
      </c>
      <c r="AC23" s="863">
        <v>78</v>
      </c>
      <c r="AD23" s="862">
        <v>13</v>
      </c>
      <c r="AE23" s="863" t="s">
        <v>390</v>
      </c>
    </row>
    <row r="24" spans="1:31" ht="14" thickBot="1">
      <c r="A24" s="825">
        <v>509</v>
      </c>
      <c r="B24" s="799" t="s">
        <v>1252</v>
      </c>
      <c r="C24" s="859">
        <v>136204</v>
      </c>
      <c r="D24" s="860">
        <v>14492</v>
      </c>
      <c r="E24" s="861">
        <v>7906</v>
      </c>
      <c r="F24" s="860">
        <v>7152</v>
      </c>
      <c r="G24" s="861">
        <v>606</v>
      </c>
      <c r="H24" s="860">
        <v>2062</v>
      </c>
      <c r="I24" s="859">
        <v>587</v>
      </c>
      <c r="J24" s="860">
        <v>703</v>
      </c>
      <c r="K24" s="859">
        <v>233</v>
      </c>
      <c r="L24" s="860">
        <v>3775</v>
      </c>
      <c r="M24" s="861">
        <v>2108</v>
      </c>
      <c r="N24" s="860">
        <v>3457</v>
      </c>
      <c r="O24" s="861">
        <v>49375</v>
      </c>
      <c r="P24" s="860">
        <v>18707</v>
      </c>
      <c r="Q24" s="860" t="s">
        <v>390</v>
      </c>
      <c r="R24" s="861">
        <v>1429</v>
      </c>
      <c r="S24" s="860">
        <v>384</v>
      </c>
      <c r="T24" s="862">
        <v>85</v>
      </c>
      <c r="U24" s="863">
        <v>3772</v>
      </c>
      <c r="V24" s="862">
        <v>407</v>
      </c>
      <c r="W24" s="860">
        <v>8894</v>
      </c>
      <c r="X24" s="861">
        <v>3618</v>
      </c>
      <c r="Y24" s="863">
        <v>353</v>
      </c>
      <c r="Z24" s="861">
        <v>858</v>
      </c>
      <c r="AA24" s="860">
        <v>485</v>
      </c>
      <c r="AB24" s="862">
        <v>209</v>
      </c>
      <c r="AC24" s="863">
        <v>575</v>
      </c>
      <c r="AD24" s="862">
        <v>250</v>
      </c>
      <c r="AE24" s="863">
        <v>3722</v>
      </c>
    </row>
    <row r="25" spans="1:31" ht="14" thickBot="1">
      <c r="A25" s="825">
        <v>558</v>
      </c>
      <c r="B25" s="799" t="s">
        <v>1340</v>
      </c>
      <c r="C25" s="859">
        <v>3632</v>
      </c>
      <c r="D25" s="860">
        <v>3632</v>
      </c>
      <c r="E25" s="861" t="s">
        <v>390</v>
      </c>
      <c r="F25" s="860" t="s">
        <v>390</v>
      </c>
      <c r="G25" s="861" t="s">
        <v>390</v>
      </c>
      <c r="H25" s="860" t="s">
        <v>390</v>
      </c>
      <c r="I25" s="859" t="s">
        <v>390</v>
      </c>
      <c r="J25" s="860" t="s">
        <v>390</v>
      </c>
      <c r="K25" s="859" t="s">
        <v>390</v>
      </c>
      <c r="L25" s="860" t="s">
        <v>390</v>
      </c>
      <c r="M25" s="861" t="s">
        <v>390</v>
      </c>
      <c r="N25" s="860" t="s">
        <v>390</v>
      </c>
      <c r="O25" s="861" t="s">
        <v>390</v>
      </c>
      <c r="P25" s="860" t="s">
        <v>390</v>
      </c>
      <c r="Q25" s="860" t="s">
        <v>390</v>
      </c>
      <c r="R25" s="861" t="s">
        <v>390</v>
      </c>
      <c r="S25" s="860" t="s">
        <v>390</v>
      </c>
      <c r="T25" s="862" t="s">
        <v>390</v>
      </c>
      <c r="U25" s="863" t="s">
        <v>390</v>
      </c>
      <c r="V25" s="862" t="s">
        <v>390</v>
      </c>
      <c r="W25" s="860" t="s">
        <v>390</v>
      </c>
      <c r="X25" s="861" t="s">
        <v>390</v>
      </c>
      <c r="Y25" s="863" t="s">
        <v>390</v>
      </c>
      <c r="Z25" s="861" t="s">
        <v>390</v>
      </c>
      <c r="AA25" s="860" t="s">
        <v>390</v>
      </c>
      <c r="AB25" s="862" t="s">
        <v>390</v>
      </c>
      <c r="AC25" s="863" t="s">
        <v>390</v>
      </c>
      <c r="AD25" s="862" t="s">
        <v>390</v>
      </c>
      <c r="AE25" s="863" t="s">
        <v>390</v>
      </c>
    </row>
    <row r="26" spans="1:31" ht="14" thickBot="1">
      <c r="A26" s="825">
        <v>762</v>
      </c>
      <c r="B26" s="799" t="s">
        <v>1341</v>
      </c>
      <c r="C26" s="859">
        <v>19274</v>
      </c>
      <c r="D26" s="860">
        <v>4165</v>
      </c>
      <c r="E26" s="861">
        <v>1450</v>
      </c>
      <c r="F26" s="860">
        <v>1279</v>
      </c>
      <c r="G26" s="861">
        <v>290</v>
      </c>
      <c r="H26" s="860">
        <v>1353</v>
      </c>
      <c r="I26" s="859">
        <v>374</v>
      </c>
      <c r="J26" s="860">
        <v>782</v>
      </c>
      <c r="K26" s="859">
        <v>501</v>
      </c>
      <c r="L26" s="860">
        <v>378</v>
      </c>
      <c r="M26" s="861">
        <v>435</v>
      </c>
      <c r="N26" s="860">
        <v>1077</v>
      </c>
      <c r="O26" s="861">
        <v>335</v>
      </c>
      <c r="P26" s="860">
        <v>284</v>
      </c>
      <c r="Q26" s="860" t="s">
        <v>390</v>
      </c>
      <c r="R26" s="861">
        <v>162</v>
      </c>
      <c r="S26" s="860">
        <v>215</v>
      </c>
      <c r="T26" s="862">
        <v>183</v>
      </c>
      <c r="U26" s="863">
        <v>1264</v>
      </c>
      <c r="V26" s="862">
        <v>912</v>
      </c>
      <c r="W26" s="860">
        <v>887</v>
      </c>
      <c r="X26" s="861">
        <v>427</v>
      </c>
      <c r="Y26" s="863">
        <v>268</v>
      </c>
      <c r="Z26" s="861">
        <v>662</v>
      </c>
      <c r="AA26" s="860">
        <v>789</v>
      </c>
      <c r="AB26" s="862">
        <v>89</v>
      </c>
      <c r="AC26" s="863">
        <v>651</v>
      </c>
      <c r="AD26" s="862">
        <v>62</v>
      </c>
      <c r="AE26" s="863" t="s">
        <v>390</v>
      </c>
    </row>
    <row r="27" spans="1:31" ht="14" thickBot="1">
      <c r="A27" s="825">
        <v>774</v>
      </c>
      <c r="B27" s="799" t="s">
        <v>1255</v>
      </c>
      <c r="C27" s="859">
        <v>228249</v>
      </c>
      <c r="D27" s="860">
        <v>44827</v>
      </c>
      <c r="E27" s="861">
        <v>6781</v>
      </c>
      <c r="F27" s="860">
        <v>491</v>
      </c>
      <c r="G27" s="861">
        <v>63</v>
      </c>
      <c r="H27" s="860">
        <v>3776</v>
      </c>
      <c r="I27" s="859">
        <v>36</v>
      </c>
      <c r="J27" s="860">
        <v>49</v>
      </c>
      <c r="K27" s="859">
        <v>104</v>
      </c>
      <c r="L27" s="860">
        <v>238</v>
      </c>
      <c r="M27" s="861">
        <v>8320</v>
      </c>
      <c r="N27" s="860">
        <v>1018</v>
      </c>
      <c r="O27" s="861">
        <v>7793</v>
      </c>
      <c r="P27" s="860">
        <v>29718</v>
      </c>
      <c r="Q27" s="860" t="s">
        <v>390</v>
      </c>
      <c r="R27" s="861">
        <v>3283</v>
      </c>
      <c r="S27" s="860">
        <v>125</v>
      </c>
      <c r="T27" s="862">
        <v>13</v>
      </c>
      <c r="U27" s="863">
        <v>1325</v>
      </c>
      <c r="V27" s="862">
        <v>1609</v>
      </c>
      <c r="W27" s="860">
        <v>2823</v>
      </c>
      <c r="X27" s="861">
        <v>28437</v>
      </c>
      <c r="Y27" s="863">
        <v>21861</v>
      </c>
      <c r="Z27" s="861">
        <v>12310</v>
      </c>
      <c r="AA27" s="860">
        <v>32497</v>
      </c>
      <c r="AB27" s="862">
        <v>5997</v>
      </c>
      <c r="AC27" s="863">
        <v>6565</v>
      </c>
      <c r="AD27" s="862">
        <v>8190</v>
      </c>
      <c r="AE27" s="863" t="s">
        <v>390</v>
      </c>
    </row>
    <row r="28" spans="1:31" ht="14" thickBot="1">
      <c r="A28" s="825">
        <v>780</v>
      </c>
      <c r="B28" s="799" t="s">
        <v>1342</v>
      </c>
      <c r="C28" s="859">
        <v>6387</v>
      </c>
      <c r="D28" s="860" t="s">
        <v>390</v>
      </c>
      <c r="E28" s="861" t="s">
        <v>390</v>
      </c>
      <c r="F28" s="860" t="s">
        <v>390</v>
      </c>
      <c r="G28" s="861">
        <v>4</v>
      </c>
      <c r="H28" s="860">
        <v>107</v>
      </c>
      <c r="I28" s="859" t="s">
        <v>390</v>
      </c>
      <c r="J28" s="860" t="s">
        <v>390</v>
      </c>
      <c r="K28" s="859">
        <v>6058</v>
      </c>
      <c r="L28" s="860" t="s">
        <v>390</v>
      </c>
      <c r="M28" s="861" t="s">
        <v>390</v>
      </c>
      <c r="N28" s="860" t="s">
        <v>390</v>
      </c>
      <c r="O28" s="861" t="s">
        <v>390</v>
      </c>
      <c r="P28" s="860" t="s">
        <v>390</v>
      </c>
      <c r="Q28" s="860" t="s">
        <v>390</v>
      </c>
      <c r="R28" s="861" t="s">
        <v>390</v>
      </c>
      <c r="S28" s="860" t="s">
        <v>390</v>
      </c>
      <c r="T28" s="862" t="s">
        <v>390</v>
      </c>
      <c r="U28" s="863">
        <v>174</v>
      </c>
      <c r="V28" s="862">
        <v>44</v>
      </c>
      <c r="W28" s="860" t="s">
        <v>390</v>
      </c>
      <c r="X28" s="861" t="s">
        <v>390</v>
      </c>
      <c r="Y28" s="863" t="s">
        <v>390</v>
      </c>
      <c r="Z28" s="861" t="s">
        <v>390</v>
      </c>
      <c r="AA28" s="860" t="s">
        <v>390</v>
      </c>
      <c r="AB28" s="862" t="s">
        <v>390</v>
      </c>
      <c r="AC28" s="863" t="s">
        <v>390</v>
      </c>
      <c r="AD28" s="862" t="s">
        <v>390</v>
      </c>
      <c r="AE28" s="863" t="s">
        <v>390</v>
      </c>
    </row>
    <row r="29" spans="1:31" ht="14" thickBot="1">
      <c r="A29" s="825">
        <v>820</v>
      </c>
      <c r="B29" s="799" t="s">
        <v>1257</v>
      </c>
      <c r="C29" s="859">
        <v>2509</v>
      </c>
      <c r="D29" s="860" t="s">
        <v>390</v>
      </c>
      <c r="E29" s="861" t="s">
        <v>390</v>
      </c>
      <c r="F29" s="860" t="s">
        <v>390</v>
      </c>
      <c r="G29" s="861" t="s">
        <v>390</v>
      </c>
      <c r="H29" s="860" t="s">
        <v>390</v>
      </c>
      <c r="I29" s="859" t="s">
        <v>390</v>
      </c>
      <c r="J29" s="860" t="s">
        <v>390</v>
      </c>
      <c r="K29" s="859" t="s">
        <v>390</v>
      </c>
      <c r="L29" s="860" t="s">
        <v>390</v>
      </c>
      <c r="M29" s="861" t="s">
        <v>390</v>
      </c>
      <c r="N29" s="860" t="s">
        <v>390</v>
      </c>
      <c r="O29" s="861" t="s">
        <v>390</v>
      </c>
      <c r="P29" s="860" t="s">
        <v>390</v>
      </c>
      <c r="Q29" s="860" t="s">
        <v>390</v>
      </c>
      <c r="R29" s="861" t="s">
        <v>390</v>
      </c>
      <c r="S29" s="860" t="s">
        <v>390</v>
      </c>
      <c r="T29" s="862" t="s">
        <v>390</v>
      </c>
      <c r="U29" s="863" t="s">
        <v>390</v>
      </c>
      <c r="V29" s="862">
        <v>2509</v>
      </c>
      <c r="W29" s="860" t="s">
        <v>390</v>
      </c>
      <c r="X29" s="861" t="s">
        <v>390</v>
      </c>
      <c r="Y29" s="863" t="s">
        <v>390</v>
      </c>
      <c r="Z29" s="861" t="s">
        <v>390</v>
      </c>
      <c r="AA29" s="860" t="s">
        <v>390</v>
      </c>
      <c r="AB29" s="862" t="s">
        <v>390</v>
      </c>
      <c r="AC29" s="863" t="s">
        <v>390</v>
      </c>
      <c r="AD29" s="862" t="s">
        <v>390</v>
      </c>
      <c r="AE29" s="863" t="s">
        <v>390</v>
      </c>
    </row>
    <row r="30" spans="1:31" ht="14" thickBot="1">
      <c r="A30" s="825">
        <v>829</v>
      </c>
      <c r="B30" s="799" t="s">
        <v>1258</v>
      </c>
      <c r="C30" s="859">
        <v>15804</v>
      </c>
      <c r="D30" s="860">
        <v>4365</v>
      </c>
      <c r="E30" s="861">
        <v>105</v>
      </c>
      <c r="F30" s="860">
        <v>1581</v>
      </c>
      <c r="G30" s="861">
        <v>26</v>
      </c>
      <c r="H30" s="860">
        <v>4475</v>
      </c>
      <c r="I30" s="859">
        <v>29</v>
      </c>
      <c r="J30" s="860">
        <v>41</v>
      </c>
      <c r="K30" s="859">
        <v>26</v>
      </c>
      <c r="L30" s="860">
        <v>3086</v>
      </c>
      <c r="M30" s="861">
        <v>6</v>
      </c>
      <c r="N30" s="860">
        <v>24</v>
      </c>
      <c r="O30" s="861">
        <v>27</v>
      </c>
      <c r="P30" s="860">
        <v>34</v>
      </c>
      <c r="Q30" s="860" t="s">
        <v>390</v>
      </c>
      <c r="R30" s="861">
        <v>18</v>
      </c>
      <c r="S30" s="860">
        <v>1</v>
      </c>
      <c r="T30" s="862" t="s">
        <v>390</v>
      </c>
      <c r="U30" s="863">
        <v>101</v>
      </c>
      <c r="V30" s="862">
        <v>13</v>
      </c>
      <c r="W30" s="860">
        <v>1702</v>
      </c>
      <c r="X30" s="861">
        <v>30</v>
      </c>
      <c r="Y30" s="863">
        <v>62</v>
      </c>
      <c r="Z30" s="861">
        <v>24</v>
      </c>
      <c r="AA30" s="860">
        <v>17</v>
      </c>
      <c r="AB30" s="862">
        <v>2</v>
      </c>
      <c r="AC30" s="863">
        <v>9</v>
      </c>
      <c r="AD30" s="862" t="s">
        <v>390</v>
      </c>
      <c r="AE30" s="863" t="s">
        <v>390</v>
      </c>
    </row>
    <row r="31" spans="1:31" ht="14" thickBot="1">
      <c r="A31" s="825">
        <v>881</v>
      </c>
      <c r="B31" s="799" t="s">
        <v>1259</v>
      </c>
      <c r="C31" s="859">
        <v>127314</v>
      </c>
      <c r="D31" s="860">
        <v>27982</v>
      </c>
      <c r="E31" s="861">
        <v>12888</v>
      </c>
      <c r="F31" s="860">
        <v>10171</v>
      </c>
      <c r="G31" s="861">
        <v>154</v>
      </c>
      <c r="H31" s="860">
        <v>1893</v>
      </c>
      <c r="I31" s="859">
        <v>310</v>
      </c>
      <c r="J31" s="860">
        <v>519</v>
      </c>
      <c r="K31" s="859">
        <v>209</v>
      </c>
      <c r="L31" s="860">
        <v>4638</v>
      </c>
      <c r="M31" s="861">
        <v>2292</v>
      </c>
      <c r="N31" s="860">
        <v>7346</v>
      </c>
      <c r="O31" s="861">
        <v>1403</v>
      </c>
      <c r="P31" s="860">
        <v>5540</v>
      </c>
      <c r="Q31" s="860" t="s">
        <v>390</v>
      </c>
      <c r="R31" s="861">
        <v>1431</v>
      </c>
      <c r="S31" s="860">
        <v>1705</v>
      </c>
      <c r="T31" s="862">
        <v>116</v>
      </c>
      <c r="U31" s="863">
        <v>8048</v>
      </c>
      <c r="V31" s="862">
        <v>3595</v>
      </c>
      <c r="W31" s="860">
        <v>21924</v>
      </c>
      <c r="X31" s="861">
        <v>4916</v>
      </c>
      <c r="Y31" s="863">
        <v>3762</v>
      </c>
      <c r="Z31" s="861">
        <v>2698</v>
      </c>
      <c r="AA31" s="860">
        <v>1837</v>
      </c>
      <c r="AB31" s="862">
        <v>271</v>
      </c>
      <c r="AC31" s="863">
        <v>956</v>
      </c>
      <c r="AD31" s="862">
        <v>710</v>
      </c>
      <c r="AE31" s="863" t="s">
        <v>390</v>
      </c>
    </row>
    <row r="32" spans="1:31" ht="14" thickBot="1">
      <c r="A32" s="825">
        <v>901</v>
      </c>
      <c r="B32" s="799" t="s">
        <v>1343</v>
      </c>
      <c r="C32" s="859">
        <v>2481</v>
      </c>
      <c r="D32" s="860" t="s">
        <v>390</v>
      </c>
      <c r="E32" s="861" t="s">
        <v>390</v>
      </c>
      <c r="F32" s="860" t="s">
        <v>390</v>
      </c>
      <c r="G32" s="861" t="s">
        <v>390</v>
      </c>
      <c r="H32" s="860" t="s">
        <v>390</v>
      </c>
      <c r="I32" s="859" t="s">
        <v>390</v>
      </c>
      <c r="J32" s="860" t="s">
        <v>390</v>
      </c>
      <c r="K32" s="859" t="s">
        <v>390</v>
      </c>
      <c r="L32" s="860" t="s">
        <v>390</v>
      </c>
      <c r="M32" s="861" t="s">
        <v>390</v>
      </c>
      <c r="N32" s="860" t="s">
        <v>390</v>
      </c>
      <c r="O32" s="861" t="s">
        <v>390</v>
      </c>
      <c r="P32" s="860" t="s">
        <v>390</v>
      </c>
      <c r="Q32" s="860" t="s">
        <v>390</v>
      </c>
      <c r="R32" s="861" t="s">
        <v>390</v>
      </c>
      <c r="S32" s="860" t="s">
        <v>390</v>
      </c>
      <c r="T32" s="862" t="s">
        <v>390</v>
      </c>
      <c r="U32" s="863" t="s">
        <v>390</v>
      </c>
      <c r="V32" s="862">
        <v>2481</v>
      </c>
      <c r="W32" s="860" t="s">
        <v>390</v>
      </c>
      <c r="X32" s="861" t="s">
        <v>390</v>
      </c>
      <c r="Y32" s="863" t="s">
        <v>390</v>
      </c>
      <c r="Z32" s="861" t="s">
        <v>390</v>
      </c>
      <c r="AA32" s="860" t="s">
        <v>390</v>
      </c>
      <c r="AB32" s="862" t="s">
        <v>390</v>
      </c>
      <c r="AC32" s="863" t="s">
        <v>390</v>
      </c>
      <c r="AD32" s="862" t="s">
        <v>390</v>
      </c>
      <c r="AE32" s="863" t="s">
        <v>390</v>
      </c>
    </row>
    <row r="33" spans="1:31" ht="14" thickBot="1">
      <c r="A33" s="825">
        <v>923</v>
      </c>
      <c r="B33" s="799" t="s">
        <v>1344</v>
      </c>
      <c r="C33" s="859">
        <v>13918</v>
      </c>
      <c r="D33" s="860">
        <v>4466</v>
      </c>
      <c r="E33" s="861">
        <v>1540</v>
      </c>
      <c r="F33" s="860">
        <v>94</v>
      </c>
      <c r="G33" s="861">
        <v>12</v>
      </c>
      <c r="H33" s="860">
        <v>94</v>
      </c>
      <c r="I33" s="859">
        <v>21</v>
      </c>
      <c r="J33" s="860">
        <v>14</v>
      </c>
      <c r="K33" s="859">
        <v>68</v>
      </c>
      <c r="L33" s="860">
        <v>56</v>
      </c>
      <c r="M33" s="861">
        <v>219</v>
      </c>
      <c r="N33" s="860">
        <v>487</v>
      </c>
      <c r="O33" s="861">
        <v>192</v>
      </c>
      <c r="P33" s="860">
        <v>789</v>
      </c>
      <c r="Q33" s="860" t="s">
        <v>390</v>
      </c>
      <c r="R33" s="861">
        <v>140</v>
      </c>
      <c r="S33" s="860">
        <v>150</v>
      </c>
      <c r="T33" s="862">
        <v>8</v>
      </c>
      <c r="U33" s="863">
        <v>2335</v>
      </c>
      <c r="V33" s="862">
        <v>1604</v>
      </c>
      <c r="W33" s="860">
        <v>701</v>
      </c>
      <c r="X33" s="861">
        <v>877</v>
      </c>
      <c r="Y33" s="863" t="s">
        <v>390</v>
      </c>
      <c r="Z33" s="861" t="s">
        <v>390</v>
      </c>
      <c r="AA33" s="860">
        <v>51</v>
      </c>
      <c r="AB33" s="862" t="s">
        <v>390</v>
      </c>
      <c r="AC33" s="863" t="s">
        <v>390</v>
      </c>
      <c r="AD33" s="862" t="s">
        <v>390</v>
      </c>
      <c r="AE33" s="863" t="s">
        <v>390</v>
      </c>
    </row>
    <row r="34" spans="1:31" ht="14" thickBot="1">
      <c r="A34" s="825">
        <v>941</v>
      </c>
      <c r="B34" s="799" t="s">
        <v>1262</v>
      </c>
      <c r="C34" s="859">
        <v>34127</v>
      </c>
      <c r="D34" s="860" t="s">
        <v>390</v>
      </c>
      <c r="E34" s="861">
        <v>287</v>
      </c>
      <c r="F34" s="860" t="s">
        <v>390</v>
      </c>
      <c r="G34" s="861" t="s">
        <v>390</v>
      </c>
      <c r="H34" s="860" t="s">
        <v>390</v>
      </c>
      <c r="I34" s="859" t="s">
        <v>390</v>
      </c>
      <c r="J34" s="860" t="s">
        <v>390</v>
      </c>
      <c r="K34" s="859" t="s">
        <v>390</v>
      </c>
      <c r="L34" s="860" t="s">
        <v>390</v>
      </c>
      <c r="M34" s="861" t="s">
        <v>390</v>
      </c>
      <c r="N34" s="860" t="s">
        <v>390</v>
      </c>
      <c r="O34" s="861" t="s">
        <v>390</v>
      </c>
      <c r="P34" s="860" t="s">
        <v>390</v>
      </c>
      <c r="Q34" s="860" t="s">
        <v>390</v>
      </c>
      <c r="R34" s="861" t="s">
        <v>390</v>
      </c>
      <c r="S34" s="860" t="s">
        <v>390</v>
      </c>
      <c r="T34" s="862" t="s">
        <v>390</v>
      </c>
      <c r="U34" s="863" t="s">
        <v>390</v>
      </c>
      <c r="V34" s="862" t="s">
        <v>390</v>
      </c>
      <c r="W34" s="860" t="s">
        <v>390</v>
      </c>
      <c r="X34" s="861" t="s">
        <v>390</v>
      </c>
      <c r="Y34" s="863" t="s">
        <v>390</v>
      </c>
      <c r="Z34" s="861" t="s">
        <v>390</v>
      </c>
      <c r="AA34" s="860">
        <v>33840</v>
      </c>
      <c r="AB34" s="862" t="s">
        <v>390</v>
      </c>
      <c r="AC34" s="863" t="s">
        <v>390</v>
      </c>
      <c r="AD34" s="862" t="s">
        <v>390</v>
      </c>
      <c r="AE34" s="863" t="s">
        <v>390</v>
      </c>
    </row>
    <row r="35" spans="1:31" ht="14" thickBot="1">
      <c r="A35" s="825">
        <v>966</v>
      </c>
      <c r="B35" s="799" t="s">
        <v>1263</v>
      </c>
      <c r="C35" s="859">
        <v>3713</v>
      </c>
      <c r="D35" s="860">
        <v>52</v>
      </c>
      <c r="E35" s="861">
        <v>7</v>
      </c>
      <c r="F35" s="860">
        <v>27</v>
      </c>
      <c r="G35" s="861">
        <v>2</v>
      </c>
      <c r="H35" s="860">
        <v>8</v>
      </c>
      <c r="I35" s="859" t="s">
        <v>390</v>
      </c>
      <c r="J35" s="860" t="s">
        <v>390</v>
      </c>
      <c r="K35" s="859">
        <v>4</v>
      </c>
      <c r="L35" s="860">
        <v>6</v>
      </c>
      <c r="M35" s="861" t="s">
        <v>390</v>
      </c>
      <c r="N35" s="860">
        <v>5</v>
      </c>
      <c r="O35" s="861">
        <v>5</v>
      </c>
      <c r="P35" s="860" t="s">
        <v>390</v>
      </c>
      <c r="Q35" s="860" t="s">
        <v>390</v>
      </c>
      <c r="R35" s="861">
        <v>2</v>
      </c>
      <c r="S35" s="860">
        <v>4</v>
      </c>
      <c r="T35" s="862">
        <v>3</v>
      </c>
      <c r="U35" s="863">
        <v>71</v>
      </c>
      <c r="V35" s="862">
        <v>3495</v>
      </c>
      <c r="W35" s="860">
        <v>6</v>
      </c>
      <c r="X35" s="861">
        <v>11</v>
      </c>
      <c r="Y35" s="863">
        <v>4</v>
      </c>
      <c r="Z35" s="861">
        <v>1</v>
      </c>
      <c r="AA35" s="860" t="s">
        <v>390</v>
      </c>
      <c r="AB35" s="862" t="s">
        <v>390</v>
      </c>
      <c r="AC35" s="863" t="s">
        <v>390</v>
      </c>
      <c r="AD35" s="862" t="s">
        <v>390</v>
      </c>
      <c r="AE35" s="863" t="s">
        <v>390</v>
      </c>
    </row>
    <row r="36" spans="1:31" ht="14" thickBot="1">
      <c r="A36" s="825">
        <v>994</v>
      </c>
      <c r="B36" s="799" t="s">
        <v>1264</v>
      </c>
      <c r="C36" s="859">
        <v>182266</v>
      </c>
      <c r="D36" s="860">
        <v>30059</v>
      </c>
      <c r="E36" s="861">
        <v>28226</v>
      </c>
      <c r="F36" s="860">
        <v>7657</v>
      </c>
      <c r="G36" s="861">
        <v>7485</v>
      </c>
      <c r="H36" s="860">
        <v>901</v>
      </c>
      <c r="I36" s="859">
        <v>2960</v>
      </c>
      <c r="J36" s="860">
        <v>3044</v>
      </c>
      <c r="K36" s="859">
        <v>3887</v>
      </c>
      <c r="L36" s="860">
        <v>4349</v>
      </c>
      <c r="M36" s="861">
        <v>3869</v>
      </c>
      <c r="N36" s="860">
        <v>1206</v>
      </c>
      <c r="O36" s="861">
        <v>1498</v>
      </c>
      <c r="P36" s="860">
        <v>2284</v>
      </c>
      <c r="Q36" s="860" t="s">
        <v>390</v>
      </c>
      <c r="R36" s="861">
        <v>5914</v>
      </c>
      <c r="S36" s="860">
        <v>335</v>
      </c>
      <c r="T36" s="862">
        <v>363</v>
      </c>
      <c r="U36" s="863">
        <v>6645</v>
      </c>
      <c r="V36" s="862">
        <v>5324</v>
      </c>
      <c r="W36" s="860">
        <v>35428</v>
      </c>
      <c r="X36" s="861">
        <v>12696</v>
      </c>
      <c r="Y36" s="863">
        <v>2087</v>
      </c>
      <c r="Z36" s="861">
        <v>7634</v>
      </c>
      <c r="AA36" s="860">
        <v>4110</v>
      </c>
      <c r="AB36" s="862">
        <v>1984</v>
      </c>
      <c r="AC36" s="863">
        <v>2091</v>
      </c>
      <c r="AD36" s="862">
        <v>230</v>
      </c>
      <c r="AE36" s="863" t="s">
        <v>390</v>
      </c>
    </row>
    <row r="37" spans="1:31" ht="14" thickBot="1">
      <c r="A37" s="825">
        <v>1003</v>
      </c>
      <c r="B37" s="799" t="s">
        <v>1265</v>
      </c>
      <c r="C37" s="859">
        <v>162</v>
      </c>
      <c r="D37" s="860" t="s">
        <v>390</v>
      </c>
      <c r="E37" s="861" t="s">
        <v>390</v>
      </c>
      <c r="F37" s="860" t="s">
        <v>390</v>
      </c>
      <c r="G37" s="861" t="s">
        <v>390</v>
      </c>
      <c r="H37" s="860" t="s">
        <v>390</v>
      </c>
      <c r="I37" s="859" t="s">
        <v>390</v>
      </c>
      <c r="J37" s="860" t="s">
        <v>390</v>
      </c>
      <c r="K37" s="859" t="s">
        <v>390</v>
      </c>
      <c r="L37" s="860" t="s">
        <v>390</v>
      </c>
      <c r="M37" s="861" t="s">
        <v>390</v>
      </c>
      <c r="N37" s="860" t="s">
        <v>390</v>
      </c>
      <c r="O37" s="861" t="s">
        <v>390</v>
      </c>
      <c r="P37" s="860" t="s">
        <v>390</v>
      </c>
      <c r="Q37" s="860" t="s">
        <v>390</v>
      </c>
      <c r="R37" s="861" t="s">
        <v>390</v>
      </c>
      <c r="S37" s="860" t="s">
        <v>390</v>
      </c>
      <c r="T37" s="862" t="s">
        <v>390</v>
      </c>
      <c r="U37" s="863" t="s">
        <v>390</v>
      </c>
      <c r="V37" s="862" t="s">
        <v>390</v>
      </c>
      <c r="W37" s="860" t="s">
        <v>390</v>
      </c>
      <c r="X37" s="861" t="s">
        <v>390</v>
      </c>
      <c r="Y37" s="863" t="s">
        <v>390</v>
      </c>
      <c r="Z37" s="861" t="s">
        <v>390</v>
      </c>
      <c r="AA37" s="860">
        <v>162</v>
      </c>
      <c r="AB37" s="862" t="s">
        <v>390</v>
      </c>
      <c r="AC37" s="863" t="s">
        <v>390</v>
      </c>
      <c r="AD37" s="862" t="s">
        <v>390</v>
      </c>
      <c r="AE37" s="863" t="s">
        <v>390</v>
      </c>
    </row>
    <row r="38" spans="1:31" ht="14" thickBot="1">
      <c r="A38" s="825">
        <v>1040</v>
      </c>
      <c r="B38" s="799" t="s">
        <v>1266</v>
      </c>
      <c r="C38" s="859">
        <v>4125</v>
      </c>
      <c r="D38" s="860" t="s">
        <v>390</v>
      </c>
      <c r="E38" s="861" t="s">
        <v>390</v>
      </c>
      <c r="F38" s="860" t="s">
        <v>390</v>
      </c>
      <c r="G38" s="861" t="s">
        <v>390</v>
      </c>
      <c r="H38" s="860" t="s">
        <v>390</v>
      </c>
      <c r="I38" s="859" t="s">
        <v>390</v>
      </c>
      <c r="J38" s="860" t="s">
        <v>390</v>
      </c>
      <c r="K38" s="859" t="s">
        <v>390</v>
      </c>
      <c r="L38" s="860" t="s">
        <v>390</v>
      </c>
      <c r="M38" s="861" t="s">
        <v>390</v>
      </c>
      <c r="N38" s="860" t="s">
        <v>390</v>
      </c>
      <c r="O38" s="861" t="s">
        <v>390</v>
      </c>
      <c r="P38" s="860" t="s">
        <v>390</v>
      </c>
      <c r="Q38" s="860" t="s">
        <v>390</v>
      </c>
      <c r="R38" s="861" t="s">
        <v>390</v>
      </c>
      <c r="S38" s="860" t="s">
        <v>390</v>
      </c>
      <c r="T38" s="862" t="s">
        <v>390</v>
      </c>
      <c r="U38" s="863" t="s">
        <v>390</v>
      </c>
      <c r="V38" s="862" t="s">
        <v>390</v>
      </c>
      <c r="W38" s="860" t="s">
        <v>390</v>
      </c>
      <c r="X38" s="861" t="s">
        <v>390</v>
      </c>
      <c r="Y38" s="863" t="s">
        <v>390</v>
      </c>
      <c r="Z38" s="861" t="s">
        <v>390</v>
      </c>
      <c r="AA38" s="860">
        <v>4125</v>
      </c>
      <c r="AB38" s="862" t="s">
        <v>390</v>
      </c>
      <c r="AC38" s="863" t="s">
        <v>390</v>
      </c>
      <c r="AD38" s="862" t="s">
        <v>390</v>
      </c>
      <c r="AE38" s="863" t="s">
        <v>390</v>
      </c>
    </row>
    <row r="39" spans="1:31" ht="14" thickBot="1">
      <c r="A39" s="825">
        <v>1060</v>
      </c>
      <c r="B39" s="799" t="s">
        <v>1267</v>
      </c>
      <c r="C39" s="859">
        <v>159916</v>
      </c>
      <c r="D39" s="860">
        <v>76542</v>
      </c>
      <c r="E39" s="861">
        <v>9309</v>
      </c>
      <c r="F39" s="860">
        <v>1826</v>
      </c>
      <c r="G39" s="861">
        <v>303</v>
      </c>
      <c r="H39" s="860">
        <v>752</v>
      </c>
      <c r="I39" s="859">
        <v>303</v>
      </c>
      <c r="J39" s="860">
        <v>1991</v>
      </c>
      <c r="K39" s="859">
        <v>221</v>
      </c>
      <c r="L39" s="860">
        <v>1178</v>
      </c>
      <c r="M39" s="861">
        <v>457</v>
      </c>
      <c r="N39" s="860">
        <v>3244</v>
      </c>
      <c r="O39" s="861">
        <v>873</v>
      </c>
      <c r="P39" s="860">
        <v>9031</v>
      </c>
      <c r="Q39" s="860" t="s">
        <v>390</v>
      </c>
      <c r="R39" s="861">
        <v>4045</v>
      </c>
      <c r="S39" s="860">
        <v>1178</v>
      </c>
      <c r="T39" s="862">
        <v>499</v>
      </c>
      <c r="U39" s="863">
        <v>5007</v>
      </c>
      <c r="V39" s="862">
        <v>1398</v>
      </c>
      <c r="W39" s="860">
        <v>12443</v>
      </c>
      <c r="X39" s="861">
        <v>6553</v>
      </c>
      <c r="Y39" s="863">
        <v>11141</v>
      </c>
      <c r="Z39" s="861">
        <v>1548</v>
      </c>
      <c r="AA39" s="860">
        <v>1738</v>
      </c>
      <c r="AB39" s="862">
        <v>7752</v>
      </c>
      <c r="AC39" s="863">
        <v>414</v>
      </c>
      <c r="AD39" s="862">
        <v>170</v>
      </c>
      <c r="AE39" s="863" t="s">
        <v>390</v>
      </c>
    </row>
    <row r="40" spans="1:31" ht="14" thickBot="1">
      <c r="A40" s="825">
        <v>1113</v>
      </c>
      <c r="B40" s="799" t="s">
        <v>1345</v>
      </c>
      <c r="C40" s="859">
        <v>8703</v>
      </c>
      <c r="D40" s="860" t="s">
        <v>390</v>
      </c>
      <c r="E40" s="861" t="s">
        <v>390</v>
      </c>
      <c r="F40" s="860" t="s">
        <v>390</v>
      </c>
      <c r="G40" s="861" t="s">
        <v>390</v>
      </c>
      <c r="H40" s="860" t="s">
        <v>390</v>
      </c>
      <c r="I40" s="859" t="s">
        <v>390</v>
      </c>
      <c r="J40" s="860" t="s">
        <v>390</v>
      </c>
      <c r="K40" s="859" t="s">
        <v>390</v>
      </c>
      <c r="L40" s="860" t="s">
        <v>390</v>
      </c>
      <c r="M40" s="861" t="s">
        <v>390</v>
      </c>
      <c r="N40" s="860" t="s">
        <v>390</v>
      </c>
      <c r="O40" s="861" t="s">
        <v>390</v>
      </c>
      <c r="P40" s="860" t="s">
        <v>390</v>
      </c>
      <c r="Q40" s="860" t="s">
        <v>390</v>
      </c>
      <c r="R40" s="861" t="s">
        <v>390</v>
      </c>
      <c r="S40" s="860" t="s">
        <v>390</v>
      </c>
      <c r="T40" s="862" t="s">
        <v>390</v>
      </c>
      <c r="U40" s="863" t="s">
        <v>390</v>
      </c>
      <c r="V40" s="862" t="s">
        <v>390</v>
      </c>
      <c r="W40" s="860" t="s">
        <v>390</v>
      </c>
      <c r="X40" s="861" t="s">
        <v>390</v>
      </c>
      <c r="Y40" s="863" t="s">
        <v>390</v>
      </c>
      <c r="Z40" s="861" t="s">
        <v>390</v>
      </c>
      <c r="AA40" s="860">
        <v>8703</v>
      </c>
      <c r="AB40" s="862" t="s">
        <v>390</v>
      </c>
      <c r="AC40" s="863" t="s">
        <v>390</v>
      </c>
      <c r="AD40" s="862" t="s">
        <v>390</v>
      </c>
      <c r="AE40" s="863" t="s">
        <v>390</v>
      </c>
    </row>
    <row r="41" spans="1:31" ht="14" thickBot="1">
      <c r="A41" s="825">
        <v>1142</v>
      </c>
      <c r="B41" s="799" t="s">
        <v>1269</v>
      </c>
      <c r="C41" s="859">
        <v>756</v>
      </c>
      <c r="D41" s="860">
        <v>21</v>
      </c>
      <c r="E41" s="861">
        <v>15</v>
      </c>
      <c r="F41" s="860">
        <v>35</v>
      </c>
      <c r="G41" s="861">
        <v>1</v>
      </c>
      <c r="H41" s="860">
        <v>377</v>
      </c>
      <c r="I41" s="859" t="s">
        <v>390</v>
      </c>
      <c r="J41" s="860" t="s">
        <v>390</v>
      </c>
      <c r="K41" s="859" t="s">
        <v>390</v>
      </c>
      <c r="L41" s="860">
        <v>5</v>
      </c>
      <c r="M41" s="861">
        <v>74</v>
      </c>
      <c r="N41" s="860">
        <v>59</v>
      </c>
      <c r="O41" s="861">
        <v>10</v>
      </c>
      <c r="P41" s="860">
        <v>4</v>
      </c>
      <c r="Q41" s="860" t="s">
        <v>390</v>
      </c>
      <c r="R41" s="861" t="s">
        <v>390</v>
      </c>
      <c r="S41" s="860">
        <v>1</v>
      </c>
      <c r="T41" s="862" t="s">
        <v>390</v>
      </c>
      <c r="U41" s="863">
        <v>52</v>
      </c>
      <c r="V41" s="862">
        <v>4</v>
      </c>
      <c r="W41" s="860">
        <v>13</v>
      </c>
      <c r="X41" s="861">
        <v>1</v>
      </c>
      <c r="Y41" s="863">
        <v>47</v>
      </c>
      <c r="Z41" s="861" t="s">
        <v>390</v>
      </c>
      <c r="AA41" s="860">
        <v>30</v>
      </c>
      <c r="AB41" s="862" t="s">
        <v>390</v>
      </c>
      <c r="AC41" s="863" t="s">
        <v>390</v>
      </c>
      <c r="AD41" s="862">
        <v>7</v>
      </c>
      <c r="AE41" s="863" t="s">
        <v>390</v>
      </c>
    </row>
    <row r="42" spans="1:31" ht="14" thickBot="1">
      <c r="A42" s="825">
        <v>1147</v>
      </c>
      <c r="B42" s="799" t="s">
        <v>1270</v>
      </c>
      <c r="C42" s="859">
        <v>416</v>
      </c>
      <c r="D42" s="860">
        <v>416</v>
      </c>
      <c r="E42" s="861" t="s">
        <v>390</v>
      </c>
      <c r="F42" s="860" t="s">
        <v>390</v>
      </c>
      <c r="G42" s="861" t="s">
        <v>390</v>
      </c>
      <c r="H42" s="860" t="s">
        <v>390</v>
      </c>
      <c r="I42" s="859" t="s">
        <v>390</v>
      </c>
      <c r="J42" s="860" t="s">
        <v>390</v>
      </c>
      <c r="K42" s="859" t="s">
        <v>390</v>
      </c>
      <c r="L42" s="860" t="s">
        <v>390</v>
      </c>
      <c r="M42" s="861" t="s">
        <v>390</v>
      </c>
      <c r="N42" s="860" t="s">
        <v>390</v>
      </c>
      <c r="O42" s="861" t="s">
        <v>390</v>
      </c>
      <c r="P42" s="860" t="s">
        <v>390</v>
      </c>
      <c r="Q42" s="860" t="s">
        <v>390</v>
      </c>
      <c r="R42" s="861" t="s">
        <v>390</v>
      </c>
      <c r="S42" s="860" t="s">
        <v>390</v>
      </c>
      <c r="T42" s="862" t="s">
        <v>390</v>
      </c>
      <c r="U42" s="863" t="s">
        <v>390</v>
      </c>
      <c r="V42" s="862" t="s">
        <v>390</v>
      </c>
      <c r="W42" s="860" t="s">
        <v>390</v>
      </c>
      <c r="X42" s="861" t="s">
        <v>390</v>
      </c>
      <c r="Y42" s="863" t="s">
        <v>390</v>
      </c>
      <c r="Z42" s="861" t="s">
        <v>390</v>
      </c>
      <c r="AA42" s="860" t="s">
        <v>390</v>
      </c>
      <c r="AB42" s="862" t="s">
        <v>390</v>
      </c>
      <c r="AC42" s="863" t="s">
        <v>390</v>
      </c>
      <c r="AD42" s="862" t="s">
        <v>390</v>
      </c>
      <c r="AE42" s="863" t="s">
        <v>390</v>
      </c>
    </row>
    <row r="43" spans="1:31" ht="14" thickBot="1">
      <c r="A43" s="825">
        <v>1318</v>
      </c>
      <c r="B43" s="799" t="s">
        <v>1346</v>
      </c>
      <c r="C43" s="859">
        <v>9485</v>
      </c>
      <c r="D43" s="860">
        <v>9258</v>
      </c>
      <c r="E43" s="861" t="s">
        <v>390</v>
      </c>
      <c r="F43" s="860" t="s">
        <v>390</v>
      </c>
      <c r="G43" s="861" t="s">
        <v>390</v>
      </c>
      <c r="H43" s="860">
        <v>125</v>
      </c>
      <c r="I43" s="859" t="s">
        <v>390</v>
      </c>
      <c r="J43" s="860" t="s">
        <v>390</v>
      </c>
      <c r="K43" s="859" t="s">
        <v>390</v>
      </c>
      <c r="L43" s="860">
        <v>18</v>
      </c>
      <c r="M43" s="861" t="s">
        <v>390</v>
      </c>
      <c r="N43" s="860" t="s">
        <v>390</v>
      </c>
      <c r="O43" s="861" t="s">
        <v>390</v>
      </c>
      <c r="P43" s="860" t="s">
        <v>390</v>
      </c>
      <c r="Q43" s="860" t="s">
        <v>390</v>
      </c>
      <c r="R43" s="861" t="s">
        <v>390</v>
      </c>
      <c r="S43" s="860" t="s">
        <v>390</v>
      </c>
      <c r="T43" s="862" t="s">
        <v>390</v>
      </c>
      <c r="U43" s="863" t="s">
        <v>390</v>
      </c>
      <c r="V43" s="862" t="s">
        <v>390</v>
      </c>
      <c r="W43" s="860">
        <v>84</v>
      </c>
      <c r="X43" s="861" t="s">
        <v>390</v>
      </c>
      <c r="Y43" s="863" t="s">
        <v>390</v>
      </c>
      <c r="Z43" s="861" t="s">
        <v>390</v>
      </c>
      <c r="AA43" s="860" t="s">
        <v>390</v>
      </c>
      <c r="AB43" s="862" t="s">
        <v>390</v>
      </c>
      <c r="AC43" s="863" t="s">
        <v>390</v>
      </c>
      <c r="AD43" s="862" t="s">
        <v>390</v>
      </c>
      <c r="AE43" s="863" t="s">
        <v>390</v>
      </c>
    </row>
    <row r="44" spans="1:31" ht="14" thickBot="1">
      <c r="A44" s="825">
        <v>1322</v>
      </c>
      <c r="B44" s="799" t="s">
        <v>1273</v>
      </c>
      <c r="C44" s="859">
        <v>9039</v>
      </c>
      <c r="D44" s="860" t="s">
        <v>390</v>
      </c>
      <c r="E44" s="861" t="s">
        <v>390</v>
      </c>
      <c r="F44" s="860" t="s">
        <v>390</v>
      </c>
      <c r="G44" s="861" t="s">
        <v>390</v>
      </c>
      <c r="H44" s="860" t="s">
        <v>390</v>
      </c>
      <c r="I44" s="859" t="s">
        <v>390</v>
      </c>
      <c r="J44" s="860" t="s">
        <v>390</v>
      </c>
      <c r="K44" s="859" t="s">
        <v>390</v>
      </c>
      <c r="L44" s="860" t="s">
        <v>390</v>
      </c>
      <c r="M44" s="861" t="s">
        <v>390</v>
      </c>
      <c r="N44" s="860" t="s">
        <v>390</v>
      </c>
      <c r="O44" s="861" t="s">
        <v>390</v>
      </c>
      <c r="P44" s="860" t="s">
        <v>390</v>
      </c>
      <c r="Q44" s="860" t="s">
        <v>390</v>
      </c>
      <c r="R44" s="861" t="s">
        <v>390</v>
      </c>
      <c r="S44" s="860" t="s">
        <v>390</v>
      </c>
      <c r="T44" s="862" t="s">
        <v>390</v>
      </c>
      <c r="U44" s="863" t="s">
        <v>390</v>
      </c>
      <c r="V44" s="862" t="s">
        <v>390</v>
      </c>
      <c r="W44" s="860">
        <v>9039</v>
      </c>
      <c r="X44" s="861" t="s">
        <v>390</v>
      </c>
      <c r="Y44" s="863" t="s">
        <v>390</v>
      </c>
      <c r="Z44" s="861" t="s">
        <v>390</v>
      </c>
      <c r="AA44" s="860" t="s">
        <v>390</v>
      </c>
      <c r="AB44" s="862" t="s">
        <v>390</v>
      </c>
      <c r="AC44" s="863" t="s">
        <v>390</v>
      </c>
      <c r="AD44" s="862" t="s">
        <v>390</v>
      </c>
      <c r="AE44" s="863" t="s">
        <v>390</v>
      </c>
    </row>
    <row r="45" spans="1:31" ht="14" thickBot="1">
      <c r="A45" s="825">
        <v>1328</v>
      </c>
      <c r="B45" s="799" t="s">
        <v>1274</v>
      </c>
      <c r="C45" s="859">
        <v>5861</v>
      </c>
      <c r="D45" s="860">
        <v>5100</v>
      </c>
      <c r="E45" s="861">
        <v>39</v>
      </c>
      <c r="F45" s="860">
        <v>17</v>
      </c>
      <c r="G45" s="861">
        <v>3</v>
      </c>
      <c r="H45" s="860">
        <v>17</v>
      </c>
      <c r="I45" s="859">
        <v>1</v>
      </c>
      <c r="J45" s="860">
        <v>7</v>
      </c>
      <c r="K45" s="859">
        <v>3</v>
      </c>
      <c r="L45" s="860">
        <v>19</v>
      </c>
      <c r="M45" s="861" t="s">
        <v>390</v>
      </c>
      <c r="N45" s="860">
        <v>22</v>
      </c>
      <c r="O45" s="861">
        <v>15</v>
      </c>
      <c r="P45" s="860">
        <v>17</v>
      </c>
      <c r="Q45" s="860" t="s">
        <v>390</v>
      </c>
      <c r="R45" s="861">
        <v>43</v>
      </c>
      <c r="S45" s="860">
        <v>7</v>
      </c>
      <c r="T45" s="862">
        <v>1</v>
      </c>
      <c r="U45" s="863">
        <v>84</v>
      </c>
      <c r="V45" s="862">
        <v>19</v>
      </c>
      <c r="W45" s="860">
        <v>91</v>
      </c>
      <c r="X45" s="861">
        <v>356</v>
      </c>
      <c r="Y45" s="863" t="s">
        <v>390</v>
      </c>
      <c r="Z45" s="861" t="s">
        <v>390</v>
      </c>
      <c r="AA45" s="860" t="s">
        <v>390</v>
      </c>
      <c r="AB45" s="862" t="s">
        <v>390</v>
      </c>
      <c r="AC45" s="863" t="s">
        <v>390</v>
      </c>
      <c r="AD45" s="862" t="s">
        <v>390</v>
      </c>
      <c r="AE45" s="863" t="s">
        <v>390</v>
      </c>
    </row>
    <row r="46" spans="1:31" ht="14" thickBot="1">
      <c r="A46" s="825">
        <v>1331</v>
      </c>
      <c r="B46" s="799" t="s">
        <v>1347</v>
      </c>
      <c r="C46" s="859">
        <v>1635</v>
      </c>
      <c r="D46" s="860" t="s">
        <v>390</v>
      </c>
      <c r="E46" s="861" t="s">
        <v>390</v>
      </c>
      <c r="F46" s="860" t="s">
        <v>390</v>
      </c>
      <c r="G46" s="861" t="s">
        <v>390</v>
      </c>
      <c r="H46" s="860" t="s">
        <v>390</v>
      </c>
      <c r="I46" s="859" t="s">
        <v>390</v>
      </c>
      <c r="J46" s="860" t="s">
        <v>390</v>
      </c>
      <c r="K46" s="859">
        <v>5</v>
      </c>
      <c r="L46" s="860" t="s">
        <v>390</v>
      </c>
      <c r="M46" s="861" t="s">
        <v>390</v>
      </c>
      <c r="N46" s="860" t="s">
        <v>390</v>
      </c>
      <c r="O46" s="861" t="s">
        <v>390</v>
      </c>
      <c r="P46" s="860" t="s">
        <v>390</v>
      </c>
      <c r="Q46" s="860" t="s">
        <v>390</v>
      </c>
      <c r="R46" s="861" t="s">
        <v>390</v>
      </c>
      <c r="S46" s="860" t="s">
        <v>390</v>
      </c>
      <c r="T46" s="862" t="s">
        <v>390</v>
      </c>
      <c r="U46" s="863">
        <v>1620</v>
      </c>
      <c r="V46" s="862">
        <v>10</v>
      </c>
      <c r="W46" s="860" t="s">
        <v>390</v>
      </c>
      <c r="X46" s="861" t="s">
        <v>390</v>
      </c>
      <c r="Y46" s="863" t="s">
        <v>390</v>
      </c>
      <c r="Z46" s="861" t="s">
        <v>390</v>
      </c>
      <c r="AA46" s="860" t="s">
        <v>390</v>
      </c>
      <c r="AB46" s="862" t="s">
        <v>390</v>
      </c>
      <c r="AC46" s="863" t="s">
        <v>390</v>
      </c>
      <c r="AD46" s="862" t="s">
        <v>390</v>
      </c>
      <c r="AE46" s="863" t="s">
        <v>390</v>
      </c>
    </row>
    <row r="47" spans="1:31" ht="14" thickBot="1">
      <c r="A47" s="825">
        <v>1362</v>
      </c>
      <c r="B47" s="799" t="s">
        <v>1276</v>
      </c>
      <c r="C47" s="859">
        <v>958</v>
      </c>
      <c r="D47" s="860" t="s">
        <v>390</v>
      </c>
      <c r="E47" s="861" t="s">
        <v>390</v>
      </c>
      <c r="F47" s="860" t="s">
        <v>390</v>
      </c>
      <c r="G47" s="861" t="s">
        <v>390</v>
      </c>
      <c r="H47" s="860" t="s">
        <v>390</v>
      </c>
      <c r="I47" s="859" t="s">
        <v>390</v>
      </c>
      <c r="J47" s="860" t="s">
        <v>390</v>
      </c>
      <c r="K47" s="859" t="s">
        <v>390</v>
      </c>
      <c r="L47" s="860" t="s">
        <v>390</v>
      </c>
      <c r="M47" s="861" t="s">
        <v>390</v>
      </c>
      <c r="N47" s="860" t="s">
        <v>390</v>
      </c>
      <c r="O47" s="861" t="s">
        <v>390</v>
      </c>
      <c r="P47" s="860" t="s">
        <v>390</v>
      </c>
      <c r="Q47" s="860" t="s">
        <v>390</v>
      </c>
      <c r="R47" s="861" t="s">
        <v>390</v>
      </c>
      <c r="S47" s="860" t="s">
        <v>390</v>
      </c>
      <c r="T47" s="862" t="s">
        <v>390</v>
      </c>
      <c r="U47" s="863" t="s">
        <v>390</v>
      </c>
      <c r="V47" s="862" t="s">
        <v>390</v>
      </c>
      <c r="W47" s="860" t="s">
        <v>390</v>
      </c>
      <c r="X47" s="861" t="s">
        <v>390</v>
      </c>
      <c r="Y47" s="863" t="s">
        <v>390</v>
      </c>
      <c r="Z47" s="861" t="s">
        <v>390</v>
      </c>
      <c r="AA47" s="860">
        <v>958</v>
      </c>
      <c r="AB47" s="862" t="s">
        <v>390</v>
      </c>
      <c r="AC47" s="863" t="s">
        <v>390</v>
      </c>
      <c r="AD47" s="862" t="s">
        <v>390</v>
      </c>
      <c r="AE47" s="863" t="s">
        <v>390</v>
      </c>
    </row>
    <row r="48" spans="1:31" ht="14" thickBot="1">
      <c r="A48" s="825">
        <v>1384</v>
      </c>
      <c r="B48" s="799" t="s">
        <v>1277</v>
      </c>
      <c r="C48" s="859">
        <v>632884</v>
      </c>
      <c r="D48" s="860">
        <v>184207</v>
      </c>
      <c r="E48" s="861">
        <v>33994</v>
      </c>
      <c r="F48" s="860">
        <v>9452</v>
      </c>
      <c r="G48" s="861">
        <v>441</v>
      </c>
      <c r="H48" s="860">
        <v>9167</v>
      </c>
      <c r="I48" s="859">
        <v>702</v>
      </c>
      <c r="J48" s="860">
        <v>714</v>
      </c>
      <c r="K48" s="859">
        <v>2699</v>
      </c>
      <c r="L48" s="860">
        <v>8851</v>
      </c>
      <c r="M48" s="861">
        <v>9194</v>
      </c>
      <c r="N48" s="860">
        <v>14838</v>
      </c>
      <c r="O48" s="861">
        <v>17813</v>
      </c>
      <c r="P48" s="860">
        <v>29655</v>
      </c>
      <c r="Q48" s="860" t="s">
        <v>390</v>
      </c>
      <c r="R48" s="861">
        <v>8564</v>
      </c>
      <c r="S48" s="860">
        <v>17497</v>
      </c>
      <c r="T48" s="862">
        <v>4971</v>
      </c>
      <c r="U48" s="863">
        <v>124588</v>
      </c>
      <c r="V48" s="862">
        <v>13515</v>
      </c>
      <c r="W48" s="860">
        <v>27611</v>
      </c>
      <c r="X48" s="861">
        <v>54245</v>
      </c>
      <c r="Y48" s="863">
        <v>26407</v>
      </c>
      <c r="Z48" s="861">
        <v>13205</v>
      </c>
      <c r="AA48" s="860">
        <v>2236</v>
      </c>
      <c r="AB48" s="862">
        <v>2471</v>
      </c>
      <c r="AC48" s="863">
        <v>14673</v>
      </c>
      <c r="AD48" s="862">
        <v>1174</v>
      </c>
      <c r="AE48" s="863" t="s">
        <v>390</v>
      </c>
    </row>
    <row r="49" spans="1:31" ht="14" thickBot="1">
      <c r="A49" s="825">
        <v>1386</v>
      </c>
      <c r="B49" s="799" t="s">
        <v>1348</v>
      </c>
      <c r="C49" s="859">
        <v>11032</v>
      </c>
      <c r="D49" s="860">
        <v>3112</v>
      </c>
      <c r="E49" s="861">
        <v>1007</v>
      </c>
      <c r="F49" s="860">
        <v>322</v>
      </c>
      <c r="G49" s="861">
        <v>12</v>
      </c>
      <c r="H49" s="860">
        <v>90</v>
      </c>
      <c r="I49" s="859">
        <v>15</v>
      </c>
      <c r="J49" s="860">
        <v>27</v>
      </c>
      <c r="K49" s="859">
        <v>31</v>
      </c>
      <c r="L49" s="860">
        <v>112</v>
      </c>
      <c r="M49" s="861">
        <v>236</v>
      </c>
      <c r="N49" s="860">
        <v>425</v>
      </c>
      <c r="O49" s="861">
        <v>98</v>
      </c>
      <c r="P49" s="860">
        <v>254</v>
      </c>
      <c r="Q49" s="860" t="s">
        <v>390</v>
      </c>
      <c r="R49" s="861">
        <v>104</v>
      </c>
      <c r="S49" s="860">
        <v>36</v>
      </c>
      <c r="T49" s="862">
        <v>3</v>
      </c>
      <c r="U49" s="863">
        <v>1065</v>
      </c>
      <c r="V49" s="862">
        <v>136</v>
      </c>
      <c r="W49" s="860">
        <v>2124</v>
      </c>
      <c r="X49" s="861">
        <v>193</v>
      </c>
      <c r="Y49" s="863">
        <v>176</v>
      </c>
      <c r="Z49" s="861">
        <v>929</v>
      </c>
      <c r="AA49" s="860">
        <v>265</v>
      </c>
      <c r="AB49" s="862">
        <v>108</v>
      </c>
      <c r="AC49" s="863">
        <v>99</v>
      </c>
      <c r="AD49" s="862">
        <v>53</v>
      </c>
      <c r="AE49" s="863" t="s">
        <v>390</v>
      </c>
    </row>
    <row r="50" spans="1:31" ht="14" thickBot="1">
      <c r="A50" s="825">
        <v>1401</v>
      </c>
      <c r="B50" s="799" t="s">
        <v>1279</v>
      </c>
      <c r="C50" s="859">
        <v>9891</v>
      </c>
      <c r="D50" s="860">
        <v>1074</v>
      </c>
      <c r="E50" s="861">
        <v>133</v>
      </c>
      <c r="F50" s="860">
        <v>37</v>
      </c>
      <c r="G50" s="861" t="s">
        <v>390</v>
      </c>
      <c r="H50" s="860">
        <v>42</v>
      </c>
      <c r="I50" s="859">
        <v>5</v>
      </c>
      <c r="J50" s="860">
        <v>1</v>
      </c>
      <c r="K50" s="859">
        <v>6</v>
      </c>
      <c r="L50" s="860">
        <v>24</v>
      </c>
      <c r="M50" s="861">
        <v>13</v>
      </c>
      <c r="N50" s="860">
        <v>31</v>
      </c>
      <c r="O50" s="861">
        <v>11</v>
      </c>
      <c r="P50" s="860">
        <v>25</v>
      </c>
      <c r="Q50" s="860" t="s">
        <v>390</v>
      </c>
      <c r="R50" s="861">
        <v>17</v>
      </c>
      <c r="S50" s="860">
        <v>262</v>
      </c>
      <c r="T50" s="862">
        <v>90</v>
      </c>
      <c r="U50" s="863">
        <v>7592</v>
      </c>
      <c r="V50" s="862">
        <v>73</v>
      </c>
      <c r="W50" s="860">
        <v>182</v>
      </c>
      <c r="X50" s="861">
        <v>222</v>
      </c>
      <c r="Y50" s="863">
        <v>16</v>
      </c>
      <c r="Z50" s="861">
        <v>15</v>
      </c>
      <c r="AA50" s="860">
        <v>7</v>
      </c>
      <c r="AB50" s="862">
        <v>3</v>
      </c>
      <c r="AC50" s="863">
        <v>10</v>
      </c>
      <c r="AD50" s="862" t="s">
        <v>390</v>
      </c>
      <c r="AE50" s="863" t="s">
        <v>390</v>
      </c>
    </row>
    <row r="51" spans="1:31" ht="14" thickBot="1">
      <c r="A51" s="825">
        <v>1423</v>
      </c>
      <c r="B51" s="799" t="s">
        <v>1349</v>
      </c>
      <c r="C51" s="859">
        <v>3483</v>
      </c>
      <c r="D51" s="860">
        <v>88</v>
      </c>
      <c r="E51" s="861">
        <v>248</v>
      </c>
      <c r="F51" s="860">
        <v>33</v>
      </c>
      <c r="G51" s="861" t="s">
        <v>390</v>
      </c>
      <c r="H51" s="860">
        <v>19</v>
      </c>
      <c r="I51" s="859" t="s">
        <v>390</v>
      </c>
      <c r="J51" s="860" t="s">
        <v>390</v>
      </c>
      <c r="K51" s="859" t="s">
        <v>390</v>
      </c>
      <c r="L51" s="860">
        <v>41</v>
      </c>
      <c r="M51" s="861" t="s">
        <v>390</v>
      </c>
      <c r="N51" s="860">
        <v>313</v>
      </c>
      <c r="O51" s="861">
        <v>85</v>
      </c>
      <c r="P51" s="860">
        <v>81</v>
      </c>
      <c r="Q51" s="860" t="s">
        <v>390</v>
      </c>
      <c r="R51" s="861" t="s">
        <v>390</v>
      </c>
      <c r="S51" s="860" t="s">
        <v>390</v>
      </c>
      <c r="T51" s="862" t="s">
        <v>390</v>
      </c>
      <c r="U51" s="863" t="s">
        <v>390</v>
      </c>
      <c r="V51" s="862" t="s">
        <v>390</v>
      </c>
      <c r="W51" s="860">
        <v>2575</v>
      </c>
      <c r="X51" s="861" t="s">
        <v>390</v>
      </c>
      <c r="Y51" s="863" t="s">
        <v>390</v>
      </c>
      <c r="Z51" s="861" t="s">
        <v>390</v>
      </c>
      <c r="AA51" s="860" t="s">
        <v>390</v>
      </c>
      <c r="AB51" s="862" t="s">
        <v>390</v>
      </c>
      <c r="AC51" s="863" t="s">
        <v>390</v>
      </c>
      <c r="AD51" s="862" t="s">
        <v>390</v>
      </c>
      <c r="AE51" s="863" t="s">
        <v>390</v>
      </c>
    </row>
    <row r="52" spans="1:31" ht="14" thickBot="1">
      <c r="A52" s="825">
        <v>1479</v>
      </c>
      <c r="B52" s="799" t="s">
        <v>1350</v>
      </c>
      <c r="C52" s="859">
        <v>436291</v>
      </c>
      <c r="D52" s="860">
        <v>96205</v>
      </c>
      <c r="E52" s="861">
        <v>9491</v>
      </c>
      <c r="F52" s="860">
        <v>1553</v>
      </c>
      <c r="G52" s="861">
        <v>76</v>
      </c>
      <c r="H52" s="860">
        <v>2979</v>
      </c>
      <c r="I52" s="859">
        <v>1945</v>
      </c>
      <c r="J52" s="860">
        <v>101</v>
      </c>
      <c r="K52" s="859">
        <v>148</v>
      </c>
      <c r="L52" s="860">
        <v>742</v>
      </c>
      <c r="M52" s="861">
        <v>8454</v>
      </c>
      <c r="N52" s="860">
        <v>18992</v>
      </c>
      <c r="O52" s="861">
        <v>8650</v>
      </c>
      <c r="P52" s="860">
        <v>1350</v>
      </c>
      <c r="Q52" s="860" t="s">
        <v>390</v>
      </c>
      <c r="R52" s="861">
        <v>272</v>
      </c>
      <c r="S52" s="860">
        <v>113</v>
      </c>
      <c r="T52" s="862">
        <v>75</v>
      </c>
      <c r="U52" s="863">
        <v>2137</v>
      </c>
      <c r="V52" s="862">
        <v>5781</v>
      </c>
      <c r="W52" s="860">
        <v>13386</v>
      </c>
      <c r="X52" s="861">
        <v>2962</v>
      </c>
      <c r="Y52" s="863">
        <v>15917</v>
      </c>
      <c r="Z52" s="861">
        <v>109298</v>
      </c>
      <c r="AA52" s="860">
        <v>28468</v>
      </c>
      <c r="AB52" s="862">
        <v>9541</v>
      </c>
      <c r="AC52" s="863">
        <v>89410</v>
      </c>
      <c r="AD52" s="862">
        <v>8245</v>
      </c>
      <c r="AE52" s="863" t="s">
        <v>390</v>
      </c>
    </row>
    <row r="53" spans="1:31" ht="14" thickBot="1">
      <c r="A53" s="825">
        <v>1507</v>
      </c>
      <c r="B53" s="799" t="s">
        <v>1351</v>
      </c>
      <c r="C53" s="859">
        <v>11678</v>
      </c>
      <c r="D53" s="860">
        <v>8</v>
      </c>
      <c r="E53" s="861">
        <v>15</v>
      </c>
      <c r="F53" s="860">
        <v>1</v>
      </c>
      <c r="G53" s="861" t="s">
        <v>390</v>
      </c>
      <c r="H53" s="860" t="s">
        <v>390</v>
      </c>
      <c r="I53" s="859" t="s">
        <v>390</v>
      </c>
      <c r="J53" s="860" t="s">
        <v>390</v>
      </c>
      <c r="K53" s="859" t="s">
        <v>390</v>
      </c>
      <c r="L53" s="860" t="s">
        <v>390</v>
      </c>
      <c r="M53" s="861">
        <v>20</v>
      </c>
      <c r="N53" s="860" t="s">
        <v>390</v>
      </c>
      <c r="O53" s="861">
        <v>1</v>
      </c>
      <c r="P53" s="860" t="s">
        <v>390</v>
      </c>
      <c r="Q53" s="860" t="s">
        <v>390</v>
      </c>
      <c r="R53" s="861" t="s">
        <v>390</v>
      </c>
      <c r="S53" s="860" t="s">
        <v>390</v>
      </c>
      <c r="T53" s="864" t="s">
        <v>390</v>
      </c>
      <c r="U53" s="865" t="s">
        <v>390</v>
      </c>
      <c r="V53" s="864">
        <v>5</v>
      </c>
      <c r="W53" s="860" t="s">
        <v>390</v>
      </c>
      <c r="X53" s="861" t="s">
        <v>390</v>
      </c>
      <c r="Y53" s="865">
        <v>2</v>
      </c>
      <c r="Z53" s="861">
        <v>71</v>
      </c>
      <c r="AA53" s="860">
        <v>11533</v>
      </c>
      <c r="AB53" s="864">
        <v>7</v>
      </c>
      <c r="AC53" s="865">
        <v>15</v>
      </c>
      <c r="AD53" s="864" t="s">
        <v>390</v>
      </c>
      <c r="AE53" s="865" t="s">
        <v>390</v>
      </c>
    </row>
    <row r="54" spans="1:31" ht="14" thickBot="1">
      <c r="A54" s="825">
        <v>1509</v>
      </c>
      <c r="B54" s="799" t="s">
        <v>1352</v>
      </c>
      <c r="C54" s="859">
        <v>334435</v>
      </c>
      <c r="D54" s="860">
        <v>95308</v>
      </c>
      <c r="E54" s="861">
        <v>32835</v>
      </c>
      <c r="F54" s="860">
        <v>9947</v>
      </c>
      <c r="G54" s="861">
        <v>296</v>
      </c>
      <c r="H54" s="860">
        <v>8020</v>
      </c>
      <c r="I54" s="859">
        <v>848</v>
      </c>
      <c r="J54" s="860">
        <v>531</v>
      </c>
      <c r="K54" s="859">
        <v>1514</v>
      </c>
      <c r="L54" s="860">
        <v>7593</v>
      </c>
      <c r="M54" s="861">
        <v>4772</v>
      </c>
      <c r="N54" s="860">
        <v>11601</v>
      </c>
      <c r="O54" s="861">
        <v>6290</v>
      </c>
      <c r="P54" s="860">
        <v>18793</v>
      </c>
      <c r="Q54" s="860" t="s">
        <v>390</v>
      </c>
      <c r="R54" s="861">
        <v>5182</v>
      </c>
      <c r="S54" s="860">
        <v>2860</v>
      </c>
      <c r="T54" s="862">
        <v>670</v>
      </c>
      <c r="U54" s="863">
        <v>14672</v>
      </c>
      <c r="V54" s="862">
        <v>4930</v>
      </c>
      <c r="W54" s="860">
        <v>33614</v>
      </c>
      <c r="X54" s="861">
        <v>19763</v>
      </c>
      <c r="Y54" s="863">
        <v>15439</v>
      </c>
      <c r="Z54" s="861">
        <v>14518</v>
      </c>
      <c r="AA54" s="860">
        <v>1891</v>
      </c>
      <c r="AB54" s="862">
        <v>9398</v>
      </c>
      <c r="AC54" s="863">
        <v>11380</v>
      </c>
      <c r="AD54" s="862">
        <v>1770</v>
      </c>
      <c r="AE54" s="863" t="s">
        <v>390</v>
      </c>
    </row>
    <row r="55" spans="1:31" ht="14" thickBot="1">
      <c r="A55" s="825">
        <v>1529</v>
      </c>
      <c r="B55" s="799" t="s">
        <v>1353</v>
      </c>
      <c r="C55" s="859">
        <v>164995</v>
      </c>
      <c r="D55" s="860">
        <v>20906</v>
      </c>
      <c r="E55" s="861">
        <v>9770</v>
      </c>
      <c r="F55" s="860">
        <v>2450</v>
      </c>
      <c r="G55" s="861">
        <v>105</v>
      </c>
      <c r="H55" s="860">
        <v>878</v>
      </c>
      <c r="I55" s="859">
        <v>272</v>
      </c>
      <c r="J55" s="860">
        <v>299</v>
      </c>
      <c r="K55" s="859">
        <v>171</v>
      </c>
      <c r="L55" s="860">
        <v>863</v>
      </c>
      <c r="M55" s="861">
        <v>2931</v>
      </c>
      <c r="N55" s="860">
        <v>7571</v>
      </c>
      <c r="O55" s="861">
        <v>3268</v>
      </c>
      <c r="P55" s="860">
        <v>6018</v>
      </c>
      <c r="Q55" s="860" t="s">
        <v>390</v>
      </c>
      <c r="R55" s="861">
        <v>1502</v>
      </c>
      <c r="S55" s="860">
        <v>605</v>
      </c>
      <c r="T55" s="862">
        <v>227</v>
      </c>
      <c r="U55" s="863">
        <v>4754</v>
      </c>
      <c r="V55" s="862">
        <v>1551</v>
      </c>
      <c r="W55" s="860">
        <v>6512</v>
      </c>
      <c r="X55" s="861">
        <v>3704</v>
      </c>
      <c r="Y55" s="863">
        <v>31854</v>
      </c>
      <c r="Z55" s="861">
        <v>29330</v>
      </c>
      <c r="AA55" s="860">
        <v>3862</v>
      </c>
      <c r="AB55" s="862">
        <v>2120</v>
      </c>
      <c r="AC55" s="863">
        <v>20877</v>
      </c>
      <c r="AD55" s="862">
        <v>2595</v>
      </c>
      <c r="AE55" s="863" t="s">
        <v>390</v>
      </c>
    </row>
    <row r="56" spans="1:31" ht="14" thickBot="1">
      <c r="A56" s="825">
        <v>1535</v>
      </c>
      <c r="B56" s="799" t="s">
        <v>1289</v>
      </c>
      <c r="C56" s="859">
        <v>307472</v>
      </c>
      <c r="D56" s="860">
        <v>9983</v>
      </c>
      <c r="E56" s="861">
        <v>77370</v>
      </c>
      <c r="F56" s="860">
        <v>443</v>
      </c>
      <c r="G56" s="861">
        <v>34</v>
      </c>
      <c r="H56" s="860">
        <v>190</v>
      </c>
      <c r="I56" s="859">
        <v>64</v>
      </c>
      <c r="J56" s="860">
        <v>1084</v>
      </c>
      <c r="K56" s="859">
        <v>1888</v>
      </c>
      <c r="L56" s="860">
        <v>138</v>
      </c>
      <c r="M56" s="861">
        <v>43496</v>
      </c>
      <c r="N56" s="860">
        <v>10774</v>
      </c>
      <c r="O56" s="861">
        <v>288</v>
      </c>
      <c r="P56" s="860">
        <v>316</v>
      </c>
      <c r="Q56" s="860" t="s">
        <v>390</v>
      </c>
      <c r="R56" s="861">
        <v>79</v>
      </c>
      <c r="S56" s="860">
        <v>3302</v>
      </c>
      <c r="T56" s="862">
        <v>627</v>
      </c>
      <c r="U56" s="863">
        <v>2031</v>
      </c>
      <c r="V56" s="862">
        <v>223</v>
      </c>
      <c r="W56" s="860">
        <v>7334</v>
      </c>
      <c r="X56" s="861">
        <v>484</v>
      </c>
      <c r="Y56" s="863">
        <v>3023</v>
      </c>
      <c r="Z56" s="861">
        <v>85187</v>
      </c>
      <c r="AA56" s="860">
        <v>36824</v>
      </c>
      <c r="AB56" s="862">
        <v>17504</v>
      </c>
      <c r="AC56" s="863">
        <v>4364</v>
      </c>
      <c r="AD56" s="862">
        <v>422</v>
      </c>
      <c r="AE56" s="863" t="s">
        <v>390</v>
      </c>
    </row>
    <row r="57" spans="1:31" ht="14" thickBot="1">
      <c r="A57" s="825">
        <v>1542</v>
      </c>
      <c r="B57" s="799" t="s">
        <v>1354</v>
      </c>
      <c r="C57" s="859">
        <v>704034</v>
      </c>
      <c r="D57" s="860">
        <v>69501</v>
      </c>
      <c r="E57" s="861">
        <v>88843</v>
      </c>
      <c r="F57" s="860">
        <v>17114</v>
      </c>
      <c r="G57" s="861">
        <v>167</v>
      </c>
      <c r="H57" s="860">
        <v>2485</v>
      </c>
      <c r="I57" s="859">
        <v>504</v>
      </c>
      <c r="J57" s="860">
        <v>691</v>
      </c>
      <c r="K57" s="859">
        <v>244</v>
      </c>
      <c r="L57" s="860">
        <v>2050</v>
      </c>
      <c r="M57" s="861">
        <v>28415</v>
      </c>
      <c r="N57" s="860">
        <v>11432</v>
      </c>
      <c r="O57" s="861">
        <v>23671</v>
      </c>
      <c r="P57" s="860">
        <v>14911</v>
      </c>
      <c r="Q57" s="860" t="s">
        <v>390</v>
      </c>
      <c r="R57" s="861">
        <v>9658</v>
      </c>
      <c r="S57" s="860">
        <v>259</v>
      </c>
      <c r="T57" s="862">
        <v>126</v>
      </c>
      <c r="U57" s="863">
        <v>4710</v>
      </c>
      <c r="V57" s="862">
        <v>4106</v>
      </c>
      <c r="W57" s="860">
        <v>11358</v>
      </c>
      <c r="X57" s="861">
        <v>5545</v>
      </c>
      <c r="Y57" s="863">
        <v>26024</v>
      </c>
      <c r="Z57" s="861">
        <v>186129</v>
      </c>
      <c r="AA57" s="860">
        <v>17655</v>
      </c>
      <c r="AB57" s="862">
        <v>69866</v>
      </c>
      <c r="AC57" s="863">
        <v>86804</v>
      </c>
      <c r="AD57" s="862">
        <v>21766</v>
      </c>
      <c r="AE57" s="863" t="s">
        <v>390</v>
      </c>
    </row>
    <row r="58" spans="1:31" ht="14" thickBot="1">
      <c r="A58" s="825">
        <v>1555</v>
      </c>
      <c r="B58" s="799" t="s">
        <v>1292</v>
      </c>
      <c r="C58" s="859">
        <v>442417</v>
      </c>
      <c r="D58" s="860">
        <v>54551</v>
      </c>
      <c r="E58" s="861">
        <v>220301</v>
      </c>
      <c r="F58" s="860">
        <v>2341</v>
      </c>
      <c r="G58" s="861">
        <v>305</v>
      </c>
      <c r="H58" s="860">
        <v>1201</v>
      </c>
      <c r="I58" s="859">
        <v>1795</v>
      </c>
      <c r="J58" s="860">
        <v>1082</v>
      </c>
      <c r="K58" s="859">
        <v>274</v>
      </c>
      <c r="L58" s="860">
        <v>5360</v>
      </c>
      <c r="M58" s="861">
        <v>25665</v>
      </c>
      <c r="N58" s="860">
        <v>24269</v>
      </c>
      <c r="O58" s="861">
        <v>6695</v>
      </c>
      <c r="P58" s="860">
        <v>22053</v>
      </c>
      <c r="Q58" s="860" t="s">
        <v>390</v>
      </c>
      <c r="R58" s="861">
        <v>4203</v>
      </c>
      <c r="S58" s="860">
        <v>821</v>
      </c>
      <c r="T58" s="862">
        <v>87</v>
      </c>
      <c r="U58" s="863">
        <v>6554</v>
      </c>
      <c r="V58" s="862">
        <v>2223</v>
      </c>
      <c r="W58" s="860">
        <v>25543</v>
      </c>
      <c r="X58" s="861">
        <v>3345</v>
      </c>
      <c r="Y58" s="863">
        <v>8941</v>
      </c>
      <c r="Z58" s="861">
        <v>15025</v>
      </c>
      <c r="AA58" s="860">
        <v>3289</v>
      </c>
      <c r="AB58" s="862">
        <v>3214</v>
      </c>
      <c r="AC58" s="863">
        <v>2085</v>
      </c>
      <c r="AD58" s="862">
        <v>1195</v>
      </c>
      <c r="AE58" s="863" t="s">
        <v>390</v>
      </c>
    </row>
    <row r="59" spans="1:31" ht="14" thickBot="1">
      <c r="A59" s="825">
        <v>1560</v>
      </c>
      <c r="B59" s="799" t="s">
        <v>1293</v>
      </c>
      <c r="C59" s="859">
        <v>115175</v>
      </c>
      <c r="D59" s="860">
        <v>14354</v>
      </c>
      <c r="E59" s="861">
        <v>22723</v>
      </c>
      <c r="F59" s="860">
        <v>7669</v>
      </c>
      <c r="G59" s="861">
        <v>2337</v>
      </c>
      <c r="H59" s="860">
        <v>5593</v>
      </c>
      <c r="I59" s="859">
        <v>810</v>
      </c>
      <c r="J59" s="860">
        <v>947</v>
      </c>
      <c r="K59" s="859">
        <v>972</v>
      </c>
      <c r="L59" s="860">
        <v>2030</v>
      </c>
      <c r="M59" s="861">
        <v>2970</v>
      </c>
      <c r="N59" s="860">
        <v>3538</v>
      </c>
      <c r="O59" s="861">
        <v>58</v>
      </c>
      <c r="P59" s="860">
        <v>2776</v>
      </c>
      <c r="Q59" s="860" t="s">
        <v>390</v>
      </c>
      <c r="R59" s="861">
        <v>1593</v>
      </c>
      <c r="S59" s="860">
        <v>3666</v>
      </c>
      <c r="T59" s="862">
        <v>1348</v>
      </c>
      <c r="U59" s="863">
        <v>14108</v>
      </c>
      <c r="V59" s="862">
        <v>295</v>
      </c>
      <c r="W59" s="860">
        <v>13789</v>
      </c>
      <c r="X59" s="861">
        <v>9873</v>
      </c>
      <c r="Y59" s="863">
        <v>657</v>
      </c>
      <c r="Z59" s="861">
        <v>194</v>
      </c>
      <c r="AA59" s="860">
        <v>112</v>
      </c>
      <c r="AB59" s="862">
        <v>1537</v>
      </c>
      <c r="AC59" s="863">
        <v>36</v>
      </c>
      <c r="AD59" s="862">
        <v>1190</v>
      </c>
      <c r="AE59" s="863" t="s">
        <v>390</v>
      </c>
    </row>
    <row r="60" spans="1:31" ht="14" thickBot="1">
      <c r="A60" s="825">
        <v>1562</v>
      </c>
      <c r="B60" s="799" t="s">
        <v>1294</v>
      </c>
      <c r="C60" s="859">
        <v>564324</v>
      </c>
      <c r="D60" s="860">
        <v>137914</v>
      </c>
      <c r="E60" s="861">
        <v>48278</v>
      </c>
      <c r="F60" s="860">
        <v>9691</v>
      </c>
      <c r="G60" s="861">
        <v>1052</v>
      </c>
      <c r="H60" s="860">
        <v>5977</v>
      </c>
      <c r="I60" s="859">
        <v>1424</v>
      </c>
      <c r="J60" s="860">
        <v>1822</v>
      </c>
      <c r="K60" s="859">
        <v>3016</v>
      </c>
      <c r="L60" s="860">
        <v>5159</v>
      </c>
      <c r="M60" s="861">
        <v>9012</v>
      </c>
      <c r="N60" s="860">
        <v>45659</v>
      </c>
      <c r="O60" s="861">
        <v>5074</v>
      </c>
      <c r="P60" s="860">
        <v>13455</v>
      </c>
      <c r="Q60" s="860" t="s">
        <v>390</v>
      </c>
      <c r="R60" s="861">
        <v>3558</v>
      </c>
      <c r="S60" s="860">
        <v>3345</v>
      </c>
      <c r="T60" s="862">
        <v>841</v>
      </c>
      <c r="U60" s="863">
        <v>16350</v>
      </c>
      <c r="V60" s="862">
        <v>8379</v>
      </c>
      <c r="W60" s="860">
        <v>42610</v>
      </c>
      <c r="X60" s="861">
        <v>14503</v>
      </c>
      <c r="Y60" s="863">
        <v>39567</v>
      </c>
      <c r="Z60" s="861">
        <v>51306</v>
      </c>
      <c r="AA60" s="860">
        <v>9310</v>
      </c>
      <c r="AB60" s="862">
        <v>3913</v>
      </c>
      <c r="AC60" s="863">
        <v>82367</v>
      </c>
      <c r="AD60" s="862">
        <v>742</v>
      </c>
      <c r="AE60" s="863" t="s">
        <v>390</v>
      </c>
    </row>
    <row r="61" spans="1:31" ht="14" thickBot="1">
      <c r="A61" s="825">
        <v>1565</v>
      </c>
      <c r="B61" s="799" t="s">
        <v>1295</v>
      </c>
      <c r="C61" s="859">
        <v>209229</v>
      </c>
      <c r="D61" s="860">
        <v>93787</v>
      </c>
      <c r="E61" s="861">
        <v>9783</v>
      </c>
      <c r="F61" s="860">
        <v>532</v>
      </c>
      <c r="G61" s="861">
        <v>42</v>
      </c>
      <c r="H61" s="860">
        <v>485</v>
      </c>
      <c r="I61" s="859">
        <v>59</v>
      </c>
      <c r="J61" s="860">
        <v>45</v>
      </c>
      <c r="K61" s="859">
        <v>185</v>
      </c>
      <c r="L61" s="860">
        <v>403</v>
      </c>
      <c r="M61" s="861">
        <v>4954</v>
      </c>
      <c r="N61" s="860">
        <v>2852</v>
      </c>
      <c r="O61" s="861">
        <v>4636</v>
      </c>
      <c r="P61" s="860">
        <v>9108</v>
      </c>
      <c r="Q61" s="860" t="s">
        <v>390</v>
      </c>
      <c r="R61" s="861">
        <v>208</v>
      </c>
      <c r="S61" s="860">
        <v>267</v>
      </c>
      <c r="T61" s="862">
        <v>77</v>
      </c>
      <c r="U61" s="863">
        <v>29140</v>
      </c>
      <c r="V61" s="862">
        <v>11370</v>
      </c>
      <c r="W61" s="860">
        <v>2298</v>
      </c>
      <c r="X61" s="861">
        <v>665</v>
      </c>
      <c r="Y61" s="863">
        <v>34082</v>
      </c>
      <c r="Z61" s="861">
        <v>618</v>
      </c>
      <c r="AA61" s="860">
        <v>570</v>
      </c>
      <c r="AB61" s="862">
        <v>2580</v>
      </c>
      <c r="AC61" s="863">
        <v>379</v>
      </c>
      <c r="AD61" s="862">
        <v>104</v>
      </c>
      <c r="AE61" s="863" t="s">
        <v>390</v>
      </c>
    </row>
    <row r="62" spans="1:31" ht="14" thickBot="1">
      <c r="A62" s="825">
        <v>1566</v>
      </c>
      <c r="B62" s="799" t="s">
        <v>1296</v>
      </c>
      <c r="C62" s="859">
        <v>209477</v>
      </c>
      <c r="D62" s="860">
        <v>10085</v>
      </c>
      <c r="E62" s="861">
        <v>49100</v>
      </c>
      <c r="F62" s="860">
        <v>31104</v>
      </c>
      <c r="G62" s="861">
        <v>121</v>
      </c>
      <c r="H62" s="860">
        <v>12929</v>
      </c>
      <c r="I62" s="859">
        <v>257</v>
      </c>
      <c r="J62" s="860">
        <v>333</v>
      </c>
      <c r="K62" s="859">
        <v>410</v>
      </c>
      <c r="L62" s="860">
        <v>7248</v>
      </c>
      <c r="M62" s="861">
        <v>4217</v>
      </c>
      <c r="N62" s="860">
        <v>2941</v>
      </c>
      <c r="O62" s="861">
        <v>612</v>
      </c>
      <c r="P62" s="860">
        <v>1170</v>
      </c>
      <c r="Q62" s="860" t="s">
        <v>390</v>
      </c>
      <c r="R62" s="861">
        <v>5996</v>
      </c>
      <c r="S62" s="860">
        <v>4635</v>
      </c>
      <c r="T62" s="862">
        <v>188</v>
      </c>
      <c r="U62" s="863">
        <v>9987</v>
      </c>
      <c r="V62" s="862">
        <v>5909</v>
      </c>
      <c r="W62" s="860">
        <v>34261</v>
      </c>
      <c r="X62" s="861">
        <v>2407</v>
      </c>
      <c r="Y62" s="863">
        <v>1056</v>
      </c>
      <c r="Z62" s="861">
        <v>1279</v>
      </c>
      <c r="AA62" s="860">
        <v>20500</v>
      </c>
      <c r="AB62" s="862">
        <v>1006</v>
      </c>
      <c r="AC62" s="863">
        <v>227</v>
      </c>
      <c r="AD62" s="862">
        <v>1499</v>
      </c>
      <c r="AE62" s="863" t="s">
        <v>390</v>
      </c>
    </row>
    <row r="63" spans="1:31" ht="14" thickBot="1">
      <c r="A63" s="825">
        <v>1568</v>
      </c>
      <c r="B63" s="799" t="s">
        <v>1355</v>
      </c>
      <c r="C63" s="859">
        <v>84202</v>
      </c>
      <c r="D63" s="860">
        <v>15746</v>
      </c>
      <c r="E63" s="861">
        <v>3417</v>
      </c>
      <c r="F63" s="860">
        <v>14074</v>
      </c>
      <c r="G63" s="861">
        <v>458</v>
      </c>
      <c r="H63" s="860">
        <v>2385</v>
      </c>
      <c r="I63" s="859">
        <v>278</v>
      </c>
      <c r="J63" s="860">
        <v>518</v>
      </c>
      <c r="K63" s="859">
        <v>634</v>
      </c>
      <c r="L63" s="860">
        <v>417</v>
      </c>
      <c r="M63" s="861">
        <v>209</v>
      </c>
      <c r="N63" s="860">
        <v>3549</v>
      </c>
      <c r="O63" s="861">
        <v>1357</v>
      </c>
      <c r="P63" s="860">
        <v>349</v>
      </c>
      <c r="Q63" s="860" t="s">
        <v>390</v>
      </c>
      <c r="R63" s="861">
        <v>1167</v>
      </c>
      <c r="S63" s="860">
        <v>1109</v>
      </c>
      <c r="T63" s="862">
        <v>202</v>
      </c>
      <c r="U63" s="863">
        <v>14156</v>
      </c>
      <c r="V63" s="862">
        <v>1741</v>
      </c>
      <c r="W63" s="860">
        <v>8842</v>
      </c>
      <c r="X63" s="861">
        <v>3104</v>
      </c>
      <c r="Y63" s="863">
        <v>89</v>
      </c>
      <c r="Z63" s="861">
        <v>8896</v>
      </c>
      <c r="AA63" s="860">
        <v>93</v>
      </c>
      <c r="AB63" s="862">
        <v>1157</v>
      </c>
      <c r="AC63" s="863">
        <v>249</v>
      </c>
      <c r="AD63" s="862">
        <v>6</v>
      </c>
      <c r="AE63" s="863" t="s">
        <v>390</v>
      </c>
    </row>
    <row r="64" spans="1:31" ht="14" thickBot="1">
      <c r="A64" s="825">
        <v>1569</v>
      </c>
      <c r="B64" s="799" t="s">
        <v>1298</v>
      </c>
      <c r="C64" s="859">
        <v>157451</v>
      </c>
      <c r="D64" s="860">
        <v>20281</v>
      </c>
      <c r="E64" s="861">
        <v>19309</v>
      </c>
      <c r="F64" s="860">
        <v>6159</v>
      </c>
      <c r="G64" s="861">
        <v>4036</v>
      </c>
      <c r="H64" s="860">
        <v>1749</v>
      </c>
      <c r="I64" s="859">
        <v>1869</v>
      </c>
      <c r="J64" s="860">
        <v>177</v>
      </c>
      <c r="K64" s="859">
        <v>4688</v>
      </c>
      <c r="L64" s="860">
        <v>1087</v>
      </c>
      <c r="M64" s="861">
        <v>2320</v>
      </c>
      <c r="N64" s="860">
        <v>12860</v>
      </c>
      <c r="O64" s="861">
        <v>3492</v>
      </c>
      <c r="P64" s="860">
        <v>3847</v>
      </c>
      <c r="Q64" s="860" t="s">
        <v>390</v>
      </c>
      <c r="R64" s="861">
        <v>1048</v>
      </c>
      <c r="S64" s="860">
        <v>2633</v>
      </c>
      <c r="T64" s="862">
        <v>650</v>
      </c>
      <c r="U64" s="863">
        <v>9236</v>
      </c>
      <c r="V64" s="862">
        <v>8906</v>
      </c>
      <c r="W64" s="860">
        <v>5700</v>
      </c>
      <c r="X64" s="861">
        <v>3487</v>
      </c>
      <c r="Y64" s="863">
        <v>8433</v>
      </c>
      <c r="Z64" s="861">
        <v>1303</v>
      </c>
      <c r="AA64" s="860">
        <v>28136</v>
      </c>
      <c r="AB64" s="862">
        <v>459</v>
      </c>
      <c r="AC64" s="863">
        <v>1629</v>
      </c>
      <c r="AD64" s="862">
        <v>3957</v>
      </c>
      <c r="AE64" s="863" t="s">
        <v>390</v>
      </c>
    </row>
    <row r="65" spans="1:31" ht="14" thickBot="1">
      <c r="A65" s="825">
        <v>1570</v>
      </c>
      <c r="B65" s="799" t="s">
        <v>1356</v>
      </c>
      <c r="C65" s="859">
        <v>62083</v>
      </c>
      <c r="D65" s="860">
        <v>1632</v>
      </c>
      <c r="E65" s="861">
        <v>19117</v>
      </c>
      <c r="F65" s="860">
        <v>649</v>
      </c>
      <c r="G65" s="861">
        <v>31</v>
      </c>
      <c r="H65" s="860">
        <v>171</v>
      </c>
      <c r="I65" s="859">
        <v>60</v>
      </c>
      <c r="J65" s="860">
        <v>70</v>
      </c>
      <c r="K65" s="859">
        <v>481</v>
      </c>
      <c r="L65" s="860">
        <v>1061</v>
      </c>
      <c r="M65" s="861">
        <v>1341</v>
      </c>
      <c r="N65" s="860">
        <v>624</v>
      </c>
      <c r="O65" s="861">
        <v>668</v>
      </c>
      <c r="P65" s="860">
        <v>3872</v>
      </c>
      <c r="Q65" s="860" t="s">
        <v>390</v>
      </c>
      <c r="R65" s="861">
        <v>3729</v>
      </c>
      <c r="S65" s="860">
        <v>488</v>
      </c>
      <c r="T65" s="862">
        <v>35</v>
      </c>
      <c r="U65" s="863">
        <v>1892</v>
      </c>
      <c r="V65" s="862">
        <v>283</v>
      </c>
      <c r="W65" s="860">
        <v>3673</v>
      </c>
      <c r="X65" s="861">
        <v>13094</v>
      </c>
      <c r="Y65" s="863">
        <v>1019</v>
      </c>
      <c r="Z65" s="861">
        <v>2329</v>
      </c>
      <c r="AA65" s="860">
        <v>2789</v>
      </c>
      <c r="AB65" s="862">
        <v>532</v>
      </c>
      <c r="AC65" s="863">
        <v>2193</v>
      </c>
      <c r="AD65" s="862">
        <v>250</v>
      </c>
      <c r="AE65" s="863" t="s">
        <v>390</v>
      </c>
    </row>
    <row r="66" spans="1:31" ht="14" thickBot="1">
      <c r="A66" s="825">
        <v>1574</v>
      </c>
      <c r="B66" s="799" t="s">
        <v>1300</v>
      </c>
      <c r="C66" s="859">
        <v>1720</v>
      </c>
      <c r="D66" s="860">
        <v>797</v>
      </c>
      <c r="E66" s="861">
        <v>179</v>
      </c>
      <c r="F66" s="860">
        <v>4</v>
      </c>
      <c r="G66" s="861" t="s">
        <v>390</v>
      </c>
      <c r="H66" s="860">
        <v>5</v>
      </c>
      <c r="I66" s="859">
        <v>1</v>
      </c>
      <c r="J66" s="860" t="s">
        <v>390</v>
      </c>
      <c r="K66" s="859">
        <v>14</v>
      </c>
      <c r="L66" s="860">
        <v>7</v>
      </c>
      <c r="M66" s="861">
        <v>47</v>
      </c>
      <c r="N66" s="860">
        <v>16</v>
      </c>
      <c r="O66" s="861">
        <v>67</v>
      </c>
      <c r="P66" s="860">
        <v>39</v>
      </c>
      <c r="Q66" s="860" t="s">
        <v>390</v>
      </c>
      <c r="R66" s="861">
        <v>12</v>
      </c>
      <c r="S66" s="860">
        <v>3</v>
      </c>
      <c r="T66" s="862" t="s">
        <v>390</v>
      </c>
      <c r="U66" s="863">
        <v>9</v>
      </c>
      <c r="V66" s="862">
        <v>2</v>
      </c>
      <c r="W66" s="860">
        <v>26</v>
      </c>
      <c r="X66" s="861">
        <v>49</v>
      </c>
      <c r="Y66" s="863">
        <v>24</v>
      </c>
      <c r="Z66" s="861">
        <v>328</v>
      </c>
      <c r="AA66" s="860">
        <v>54</v>
      </c>
      <c r="AB66" s="862">
        <v>26</v>
      </c>
      <c r="AC66" s="863">
        <v>7</v>
      </c>
      <c r="AD66" s="862">
        <v>4</v>
      </c>
      <c r="AE66" s="863" t="s">
        <v>390</v>
      </c>
    </row>
    <row r="67" spans="1:31" ht="14" thickBot="1">
      <c r="A67" s="825">
        <v>1575</v>
      </c>
      <c r="B67" s="799" t="s">
        <v>1301</v>
      </c>
      <c r="C67" s="859">
        <v>28280</v>
      </c>
      <c r="D67" s="860">
        <v>7403</v>
      </c>
      <c r="E67" s="861">
        <v>10343</v>
      </c>
      <c r="F67" s="860">
        <v>599</v>
      </c>
      <c r="G67" s="861">
        <v>33</v>
      </c>
      <c r="H67" s="860">
        <v>305</v>
      </c>
      <c r="I67" s="859">
        <v>82</v>
      </c>
      <c r="J67" s="860">
        <v>78</v>
      </c>
      <c r="K67" s="859">
        <v>213</v>
      </c>
      <c r="L67" s="860">
        <v>376</v>
      </c>
      <c r="M67" s="861">
        <v>455</v>
      </c>
      <c r="N67" s="860">
        <v>1300</v>
      </c>
      <c r="O67" s="861">
        <v>734</v>
      </c>
      <c r="P67" s="860">
        <v>777</v>
      </c>
      <c r="Q67" s="860" t="s">
        <v>390</v>
      </c>
      <c r="R67" s="861">
        <v>84</v>
      </c>
      <c r="S67" s="860">
        <v>109</v>
      </c>
      <c r="T67" s="862">
        <v>7</v>
      </c>
      <c r="U67" s="863">
        <v>726</v>
      </c>
      <c r="V67" s="862">
        <v>496</v>
      </c>
      <c r="W67" s="860">
        <v>1421</v>
      </c>
      <c r="X67" s="861">
        <v>186</v>
      </c>
      <c r="Y67" s="863">
        <v>113</v>
      </c>
      <c r="Z67" s="861">
        <v>1440</v>
      </c>
      <c r="AA67" s="860">
        <v>162</v>
      </c>
      <c r="AB67" s="862">
        <v>452</v>
      </c>
      <c r="AC67" s="863">
        <v>255</v>
      </c>
      <c r="AD67" s="862">
        <v>131</v>
      </c>
      <c r="AE67" s="863" t="s">
        <v>390</v>
      </c>
    </row>
    <row r="68" spans="1:31" ht="14" thickBot="1">
      <c r="A68" s="825">
        <v>1577</v>
      </c>
      <c r="B68" s="799" t="s">
        <v>1302</v>
      </c>
      <c r="C68" s="859">
        <v>63823</v>
      </c>
      <c r="D68" s="860">
        <v>7357</v>
      </c>
      <c r="E68" s="861">
        <v>1357</v>
      </c>
      <c r="F68" s="860">
        <v>248</v>
      </c>
      <c r="G68" s="861">
        <v>7</v>
      </c>
      <c r="H68" s="860">
        <v>130</v>
      </c>
      <c r="I68" s="859">
        <v>17</v>
      </c>
      <c r="J68" s="860">
        <v>20</v>
      </c>
      <c r="K68" s="859">
        <v>55</v>
      </c>
      <c r="L68" s="860">
        <v>87</v>
      </c>
      <c r="M68" s="861">
        <v>2931</v>
      </c>
      <c r="N68" s="860">
        <v>11636</v>
      </c>
      <c r="O68" s="861">
        <v>97</v>
      </c>
      <c r="P68" s="860">
        <v>2596</v>
      </c>
      <c r="Q68" s="860" t="s">
        <v>390</v>
      </c>
      <c r="R68" s="861">
        <v>88</v>
      </c>
      <c r="S68" s="860">
        <v>78</v>
      </c>
      <c r="T68" s="862">
        <v>5</v>
      </c>
      <c r="U68" s="863">
        <v>10101</v>
      </c>
      <c r="V68" s="862">
        <v>123</v>
      </c>
      <c r="W68" s="860">
        <v>15244</v>
      </c>
      <c r="X68" s="861">
        <v>3814</v>
      </c>
      <c r="Y68" s="863">
        <v>15</v>
      </c>
      <c r="Z68" s="861">
        <v>858</v>
      </c>
      <c r="AA68" s="860">
        <v>6038</v>
      </c>
      <c r="AB68" s="862">
        <v>536</v>
      </c>
      <c r="AC68" s="863">
        <v>263</v>
      </c>
      <c r="AD68" s="862">
        <v>122</v>
      </c>
      <c r="AE68" s="863" t="s">
        <v>390</v>
      </c>
    </row>
    <row r="69" spans="1:31" ht="14" thickBot="1">
      <c r="A69" s="860" t="s">
        <v>390</v>
      </c>
      <c r="B69" s="860" t="s">
        <v>390</v>
      </c>
      <c r="C69" s="859" t="s">
        <v>390</v>
      </c>
      <c r="D69" s="860" t="s">
        <v>390</v>
      </c>
      <c r="E69" s="861" t="s">
        <v>390</v>
      </c>
      <c r="F69" s="860" t="s">
        <v>390</v>
      </c>
      <c r="G69" s="861" t="s">
        <v>390</v>
      </c>
      <c r="H69" s="860" t="s">
        <v>390</v>
      </c>
      <c r="I69" s="859" t="s">
        <v>390</v>
      </c>
      <c r="J69" s="860" t="s">
        <v>390</v>
      </c>
      <c r="K69" s="859" t="s">
        <v>390</v>
      </c>
      <c r="L69" s="860" t="s">
        <v>390</v>
      </c>
      <c r="M69" s="861" t="s">
        <v>390</v>
      </c>
      <c r="N69" s="860" t="s">
        <v>390</v>
      </c>
      <c r="O69" s="861" t="s">
        <v>390</v>
      </c>
      <c r="P69" s="860" t="s">
        <v>390</v>
      </c>
      <c r="Q69" s="860" t="s">
        <v>390</v>
      </c>
      <c r="R69" s="861" t="s">
        <v>390</v>
      </c>
      <c r="S69" s="860" t="s">
        <v>390</v>
      </c>
      <c r="T69" s="862" t="s">
        <v>390</v>
      </c>
      <c r="U69" s="863" t="s">
        <v>390</v>
      </c>
      <c r="V69" s="862" t="s">
        <v>390</v>
      </c>
      <c r="W69" s="860" t="s">
        <v>390</v>
      </c>
      <c r="X69" s="861" t="s">
        <v>390</v>
      </c>
      <c r="Y69" s="863" t="s">
        <v>390</v>
      </c>
      <c r="Z69" s="861" t="s">
        <v>390</v>
      </c>
      <c r="AA69" s="860" t="s">
        <v>390</v>
      </c>
      <c r="AB69" s="862" t="s">
        <v>390</v>
      </c>
      <c r="AC69" s="863" t="s">
        <v>390</v>
      </c>
      <c r="AD69" s="862" t="s">
        <v>390</v>
      </c>
      <c r="AE69" s="863" t="s">
        <v>390</v>
      </c>
    </row>
    <row r="70" spans="1:31" ht="14" thickBot="1">
      <c r="A70" s="860" t="s">
        <v>390</v>
      </c>
      <c r="B70" s="860" t="s">
        <v>390</v>
      </c>
      <c r="C70" s="859" t="s">
        <v>390</v>
      </c>
      <c r="D70" s="860" t="s">
        <v>390</v>
      </c>
      <c r="E70" s="861" t="s">
        <v>390</v>
      </c>
      <c r="F70" s="860" t="s">
        <v>390</v>
      </c>
      <c r="G70" s="861" t="s">
        <v>390</v>
      </c>
      <c r="H70" s="860" t="s">
        <v>390</v>
      </c>
      <c r="I70" s="859" t="s">
        <v>390</v>
      </c>
      <c r="J70" s="860" t="s">
        <v>390</v>
      </c>
      <c r="K70" s="859" t="s">
        <v>390</v>
      </c>
      <c r="L70" s="860" t="s">
        <v>390</v>
      </c>
      <c r="M70" s="861" t="s">
        <v>390</v>
      </c>
      <c r="N70" s="860" t="s">
        <v>390</v>
      </c>
      <c r="O70" s="861" t="s">
        <v>390</v>
      </c>
      <c r="P70" s="860" t="s">
        <v>390</v>
      </c>
      <c r="Q70" s="860" t="s">
        <v>390</v>
      </c>
      <c r="R70" s="861" t="s">
        <v>390</v>
      </c>
      <c r="S70" s="860" t="s">
        <v>390</v>
      </c>
      <c r="T70" s="862" t="s">
        <v>390</v>
      </c>
      <c r="U70" s="863" t="s">
        <v>390</v>
      </c>
      <c r="V70" s="862" t="s">
        <v>390</v>
      </c>
      <c r="W70" s="860" t="s">
        <v>390</v>
      </c>
      <c r="X70" s="861" t="s">
        <v>390</v>
      </c>
      <c r="Y70" s="863" t="s">
        <v>390</v>
      </c>
      <c r="Z70" s="861" t="s">
        <v>390</v>
      </c>
      <c r="AA70" s="860" t="s">
        <v>390</v>
      </c>
      <c r="AB70" s="862" t="s">
        <v>390</v>
      </c>
      <c r="AC70" s="863" t="s">
        <v>390</v>
      </c>
      <c r="AD70" s="862" t="s">
        <v>390</v>
      </c>
      <c r="AE70" s="863" t="s">
        <v>390</v>
      </c>
    </row>
    <row r="71" spans="1:31" ht="14" thickBot="1">
      <c r="A71" s="860" t="s">
        <v>390</v>
      </c>
      <c r="B71" s="860" t="s">
        <v>390</v>
      </c>
      <c r="C71" s="859" t="s">
        <v>390</v>
      </c>
      <c r="D71" s="860" t="s">
        <v>390</v>
      </c>
      <c r="E71" s="861" t="s">
        <v>390</v>
      </c>
      <c r="F71" s="860" t="s">
        <v>390</v>
      </c>
      <c r="G71" s="861" t="s">
        <v>390</v>
      </c>
      <c r="H71" s="860" t="s">
        <v>390</v>
      </c>
      <c r="I71" s="859" t="s">
        <v>390</v>
      </c>
      <c r="J71" s="860" t="s">
        <v>390</v>
      </c>
      <c r="K71" s="859" t="s">
        <v>390</v>
      </c>
      <c r="L71" s="860" t="s">
        <v>390</v>
      </c>
      <c r="M71" s="861" t="s">
        <v>390</v>
      </c>
      <c r="N71" s="860" t="s">
        <v>390</v>
      </c>
      <c r="O71" s="861" t="s">
        <v>390</v>
      </c>
      <c r="P71" s="860" t="s">
        <v>390</v>
      </c>
      <c r="Q71" s="860" t="s">
        <v>390</v>
      </c>
      <c r="R71" s="861" t="s">
        <v>390</v>
      </c>
      <c r="S71" s="860" t="s">
        <v>390</v>
      </c>
      <c r="T71" s="862" t="s">
        <v>390</v>
      </c>
      <c r="U71" s="863" t="s">
        <v>390</v>
      </c>
      <c r="V71" s="862" t="s">
        <v>390</v>
      </c>
      <c r="W71" s="860" t="s">
        <v>390</v>
      </c>
      <c r="X71" s="861" t="s">
        <v>390</v>
      </c>
      <c r="Y71" s="863" t="s">
        <v>390</v>
      </c>
      <c r="Z71" s="861" t="s">
        <v>390</v>
      </c>
      <c r="AA71" s="860" t="s">
        <v>390</v>
      </c>
      <c r="AB71" s="862" t="s">
        <v>390</v>
      </c>
      <c r="AC71" s="863" t="s">
        <v>390</v>
      </c>
      <c r="AD71" s="862" t="s">
        <v>390</v>
      </c>
      <c r="AE71" s="863" t="s">
        <v>390</v>
      </c>
    </row>
    <row r="72" spans="1:31" ht="14" thickBot="1">
      <c r="A72" s="860" t="s">
        <v>390</v>
      </c>
      <c r="B72" s="860" t="s">
        <v>390</v>
      </c>
      <c r="C72" s="859" t="s">
        <v>390</v>
      </c>
      <c r="D72" s="860" t="s">
        <v>390</v>
      </c>
      <c r="E72" s="861" t="s">
        <v>390</v>
      </c>
      <c r="F72" s="860" t="s">
        <v>390</v>
      </c>
      <c r="G72" s="861" t="s">
        <v>390</v>
      </c>
      <c r="H72" s="860" t="s">
        <v>390</v>
      </c>
      <c r="I72" s="859" t="s">
        <v>390</v>
      </c>
      <c r="J72" s="860" t="s">
        <v>390</v>
      </c>
      <c r="K72" s="859" t="s">
        <v>390</v>
      </c>
      <c r="L72" s="860" t="s">
        <v>390</v>
      </c>
      <c r="M72" s="861" t="s">
        <v>390</v>
      </c>
      <c r="N72" s="860" t="s">
        <v>390</v>
      </c>
      <c r="O72" s="861" t="s">
        <v>390</v>
      </c>
      <c r="P72" s="860" t="s">
        <v>390</v>
      </c>
      <c r="Q72" s="860" t="s">
        <v>390</v>
      </c>
      <c r="R72" s="861" t="s">
        <v>390</v>
      </c>
      <c r="S72" s="860" t="s">
        <v>390</v>
      </c>
      <c r="T72" s="862" t="s">
        <v>390</v>
      </c>
      <c r="U72" s="863" t="s">
        <v>390</v>
      </c>
      <c r="V72" s="862" t="s">
        <v>390</v>
      </c>
      <c r="W72" s="860" t="s">
        <v>390</v>
      </c>
      <c r="X72" s="861" t="s">
        <v>390</v>
      </c>
      <c r="Y72" s="863" t="s">
        <v>390</v>
      </c>
      <c r="Z72" s="861" t="s">
        <v>390</v>
      </c>
      <c r="AA72" s="860" t="s">
        <v>390</v>
      </c>
      <c r="AB72" s="862" t="s">
        <v>390</v>
      </c>
      <c r="AC72" s="863" t="s">
        <v>390</v>
      </c>
      <c r="AD72" s="862" t="s">
        <v>390</v>
      </c>
      <c r="AE72" s="863" t="s">
        <v>390</v>
      </c>
    </row>
    <row r="73" spans="1:31" ht="14" thickBot="1">
      <c r="A73" s="860" t="s">
        <v>390</v>
      </c>
      <c r="B73" s="860" t="s">
        <v>390</v>
      </c>
      <c r="C73" s="859" t="s">
        <v>390</v>
      </c>
      <c r="D73" s="860" t="s">
        <v>390</v>
      </c>
      <c r="E73" s="861" t="s">
        <v>390</v>
      </c>
      <c r="F73" s="860" t="s">
        <v>390</v>
      </c>
      <c r="G73" s="861" t="s">
        <v>390</v>
      </c>
      <c r="H73" s="860" t="s">
        <v>390</v>
      </c>
      <c r="I73" s="859" t="s">
        <v>390</v>
      </c>
      <c r="J73" s="860" t="s">
        <v>390</v>
      </c>
      <c r="K73" s="859" t="s">
        <v>390</v>
      </c>
      <c r="L73" s="860" t="s">
        <v>390</v>
      </c>
      <c r="M73" s="861" t="s">
        <v>390</v>
      </c>
      <c r="N73" s="860" t="s">
        <v>390</v>
      </c>
      <c r="O73" s="861" t="s">
        <v>390</v>
      </c>
      <c r="P73" s="860" t="s">
        <v>390</v>
      </c>
      <c r="Q73" s="860" t="s">
        <v>390</v>
      </c>
      <c r="R73" s="861" t="s">
        <v>390</v>
      </c>
      <c r="S73" s="860" t="s">
        <v>390</v>
      </c>
      <c r="T73" s="862" t="s">
        <v>390</v>
      </c>
      <c r="U73" s="863" t="s">
        <v>390</v>
      </c>
      <c r="V73" s="862" t="s">
        <v>390</v>
      </c>
      <c r="W73" s="860" t="s">
        <v>390</v>
      </c>
      <c r="X73" s="861" t="s">
        <v>390</v>
      </c>
      <c r="Y73" s="863" t="s">
        <v>390</v>
      </c>
      <c r="Z73" s="861" t="s">
        <v>390</v>
      </c>
      <c r="AA73" s="860" t="s">
        <v>390</v>
      </c>
      <c r="AB73" s="862" t="s">
        <v>390</v>
      </c>
      <c r="AC73" s="863" t="s">
        <v>390</v>
      </c>
      <c r="AD73" s="862" t="s">
        <v>390</v>
      </c>
      <c r="AE73" s="863" t="s">
        <v>390</v>
      </c>
    </row>
    <row r="74" spans="1:31" ht="14" thickBot="1">
      <c r="A74" s="860" t="s">
        <v>390</v>
      </c>
      <c r="B74" s="860" t="s">
        <v>390</v>
      </c>
      <c r="C74" s="859" t="s">
        <v>390</v>
      </c>
      <c r="D74" s="860" t="s">
        <v>390</v>
      </c>
      <c r="E74" s="861" t="s">
        <v>390</v>
      </c>
      <c r="F74" s="860" t="s">
        <v>390</v>
      </c>
      <c r="G74" s="861" t="s">
        <v>390</v>
      </c>
      <c r="H74" s="860" t="s">
        <v>390</v>
      </c>
      <c r="I74" s="859" t="s">
        <v>390</v>
      </c>
      <c r="J74" s="860" t="s">
        <v>390</v>
      </c>
      <c r="K74" s="859" t="s">
        <v>390</v>
      </c>
      <c r="L74" s="860" t="s">
        <v>390</v>
      </c>
      <c r="M74" s="861" t="s">
        <v>390</v>
      </c>
      <c r="N74" s="860" t="s">
        <v>390</v>
      </c>
      <c r="O74" s="861" t="s">
        <v>390</v>
      </c>
      <c r="P74" s="860" t="s">
        <v>390</v>
      </c>
      <c r="Q74" s="860" t="s">
        <v>390</v>
      </c>
      <c r="R74" s="861" t="s">
        <v>390</v>
      </c>
      <c r="S74" s="860" t="s">
        <v>390</v>
      </c>
      <c r="T74" s="862" t="s">
        <v>390</v>
      </c>
      <c r="U74" s="863" t="s">
        <v>390</v>
      </c>
      <c r="V74" s="862" t="s">
        <v>390</v>
      </c>
      <c r="W74" s="860" t="s">
        <v>390</v>
      </c>
      <c r="X74" s="861" t="s">
        <v>390</v>
      </c>
      <c r="Y74" s="863" t="s">
        <v>390</v>
      </c>
      <c r="Z74" s="861" t="s">
        <v>390</v>
      </c>
      <c r="AA74" s="860" t="s">
        <v>390</v>
      </c>
      <c r="AB74" s="862" t="s">
        <v>390</v>
      </c>
      <c r="AC74" s="863" t="s">
        <v>390</v>
      </c>
      <c r="AD74" s="862" t="s">
        <v>390</v>
      </c>
      <c r="AE74" s="863" t="s">
        <v>390</v>
      </c>
    </row>
    <row r="75" spans="1:31" s="200" customFormat="1" ht="14" thickBot="1">
      <c r="A75" s="866" t="s">
        <v>1357</v>
      </c>
      <c r="B75" s="867">
        <v>60</v>
      </c>
      <c r="C75" s="868">
        <v>8091590</v>
      </c>
      <c r="D75" s="869">
        <v>1417362</v>
      </c>
      <c r="E75" s="870">
        <v>997010</v>
      </c>
      <c r="F75" s="869">
        <v>390661</v>
      </c>
      <c r="G75" s="870">
        <v>35918</v>
      </c>
      <c r="H75" s="871">
        <v>151961</v>
      </c>
      <c r="I75" s="868">
        <v>37131</v>
      </c>
      <c r="J75" s="869">
        <v>41540</v>
      </c>
      <c r="K75" s="868">
        <v>39863</v>
      </c>
      <c r="L75" s="869">
        <v>118473</v>
      </c>
      <c r="M75" s="870">
        <v>297809</v>
      </c>
      <c r="N75" s="869">
        <v>263370</v>
      </c>
      <c r="O75" s="870">
        <v>182683</v>
      </c>
      <c r="P75" s="869">
        <v>277352</v>
      </c>
      <c r="Q75" s="869"/>
      <c r="R75" s="870">
        <v>78369</v>
      </c>
      <c r="S75" s="869">
        <v>54524</v>
      </c>
      <c r="T75" s="870">
        <v>15810</v>
      </c>
      <c r="U75" s="869">
        <v>492086</v>
      </c>
      <c r="V75" s="870">
        <v>199860</v>
      </c>
      <c r="W75" s="869">
        <v>638892</v>
      </c>
      <c r="X75" s="870">
        <v>260102</v>
      </c>
      <c r="Y75" s="869">
        <v>343785</v>
      </c>
      <c r="Z75" s="870">
        <v>734600</v>
      </c>
      <c r="AA75" s="869">
        <v>330944</v>
      </c>
      <c r="AB75" s="870">
        <v>177297</v>
      </c>
      <c r="AC75" s="869">
        <v>435785</v>
      </c>
      <c r="AD75" s="870">
        <v>72054</v>
      </c>
      <c r="AE75" s="869">
        <v>6349</v>
      </c>
    </row>
    <row r="76" spans="1:31" ht="15.75" customHeight="1" thickBot="1">
      <c r="A76" s="872"/>
      <c r="C76" s="872" t="s">
        <v>346</v>
      </c>
      <c r="E76" s="833"/>
      <c r="F76" s="833"/>
      <c r="G76" s="833"/>
      <c r="H76" s="873"/>
      <c r="I76" s="833"/>
      <c r="J76" s="874"/>
      <c r="K76" s="875"/>
      <c r="L76" s="876"/>
      <c r="M76" s="876"/>
      <c r="N76" s="833"/>
      <c r="O76" s="876"/>
      <c r="P76" s="833"/>
      <c r="Q76" s="876"/>
      <c r="R76" s="872" t="s">
        <v>346</v>
      </c>
      <c r="S76" s="245"/>
      <c r="T76" s="833"/>
      <c r="U76" s="833"/>
      <c r="V76" s="833"/>
      <c r="W76" s="873"/>
      <c r="X76" s="833"/>
      <c r="Y76" s="874"/>
      <c r="Z76" s="875"/>
      <c r="AA76" s="876"/>
      <c r="AB76" s="876"/>
      <c r="AC76" s="833"/>
    </row>
    <row r="77" spans="1:31" ht="15.75" customHeight="1">
      <c r="A77" s="872"/>
      <c r="C77" s="872"/>
      <c r="E77" s="877"/>
      <c r="F77" s="877"/>
      <c r="G77" s="877"/>
      <c r="H77" s="878"/>
      <c r="I77" s="877"/>
      <c r="J77" s="879"/>
      <c r="K77" s="880"/>
      <c r="L77" s="368"/>
      <c r="M77" s="368"/>
      <c r="N77" s="877"/>
      <c r="O77" s="368"/>
      <c r="P77" s="877"/>
      <c r="Q77" s="368"/>
      <c r="R77" s="872"/>
      <c r="S77" s="245"/>
      <c r="T77" s="877"/>
      <c r="U77" s="877"/>
      <c r="V77" s="877"/>
      <c r="W77" s="878"/>
      <c r="X77" s="877"/>
      <c r="Y77" s="879"/>
      <c r="Z77" s="880"/>
      <c r="AA77" s="368"/>
      <c r="AB77" s="368"/>
      <c r="AC77" s="877"/>
    </row>
    <row r="78" spans="1:31" ht="38.5" hidden="1" customHeight="1">
      <c r="A78" s="80"/>
      <c r="B78" s="679"/>
      <c r="C78" s="2024" t="s">
        <v>1330</v>
      </c>
      <c r="D78" s="2018"/>
      <c r="E78" s="2018"/>
      <c r="F78" s="2018"/>
      <c r="G78" s="2018"/>
      <c r="H78" s="2018"/>
      <c r="I78" s="2018"/>
      <c r="J78" s="2018"/>
      <c r="K78" s="2018"/>
      <c r="L78" s="2018"/>
      <c r="M78" s="2018"/>
      <c r="N78" s="2018"/>
      <c r="R78" s="2024" t="s">
        <v>1330</v>
      </c>
      <c r="S78" s="2018"/>
      <c r="T78" s="2018"/>
      <c r="U78" s="2018"/>
      <c r="V78" s="2018"/>
      <c r="W78" s="2018"/>
      <c r="X78" s="2018"/>
      <c r="Y78" s="2018"/>
      <c r="Z78" s="2018"/>
      <c r="AA78" s="2018"/>
      <c r="AB78" s="2018"/>
      <c r="AC78" s="2018"/>
    </row>
    <row r="79" spans="1:31" ht="16.25" customHeight="1">
      <c r="A79" s="2024"/>
      <c r="B79" s="2018"/>
      <c r="C79" s="80" t="s">
        <v>1899</v>
      </c>
      <c r="D79" s="679"/>
      <c r="R79" s="80" t="s">
        <v>1899</v>
      </c>
      <c r="S79" s="679"/>
      <c r="W79" s="6"/>
      <c r="X79" s="6"/>
    </row>
    <row r="80" spans="1:31" ht="41.5" customHeight="1">
      <c r="A80" s="80"/>
      <c r="B80" s="679"/>
      <c r="C80" s="2027" t="s">
        <v>1332</v>
      </c>
      <c r="D80" s="2028"/>
      <c r="E80" s="2028"/>
      <c r="F80" s="2028"/>
      <c r="G80" s="2028"/>
      <c r="H80" s="2028"/>
      <c r="I80" s="2028"/>
      <c r="J80" s="2028"/>
      <c r="K80" s="2028"/>
      <c r="L80" s="2028"/>
      <c r="M80" s="2028"/>
      <c r="N80" s="2028"/>
      <c r="R80" s="2024" t="s">
        <v>1903</v>
      </c>
      <c r="S80" s="2018"/>
      <c r="T80" s="2018"/>
      <c r="U80" s="2018"/>
      <c r="V80" s="2018"/>
      <c r="W80" s="2018"/>
      <c r="X80" s="2018"/>
      <c r="Y80" s="2018"/>
      <c r="Z80" s="2018"/>
      <c r="AA80" s="2018"/>
      <c r="AB80" s="2018"/>
      <c r="AC80" s="2018"/>
    </row>
    <row r="81" spans="1:24">
      <c r="R81" s="245"/>
      <c r="S81" s="245"/>
      <c r="W81" s="6"/>
      <c r="X81" s="6"/>
    </row>
    <row r="82" spans="1:24">
      <c r="A82" s="80"/>
      <c r="C82" s="80" t="s">
        <v>1900</v>
      </c>
      <c r="R82" s="80" t="s">
        <v>1900</v>
      </c>
      <c r="S82" s="245"/>
      <c r="W82" s="6"/>
      <c r="X82" s="6"/>
    </row>
    <row r="83" spans="1:24">
      <c r="R83" s="245"/>
      <c r="S83" s="245"/>
      <c r="W83" s="6"/>
      <c r="X83" s="6"/>
    </row>
    <row r="84" spans="1:24" ht="7.5" customHeight="1">
      <c r="R84" s="245"/>
      <c r="S84" s="245"/>
      <c r="W84" s="6"/>
      <c r="X84" s="6"/>
    </row>
    <row r="85" spans="1:24" ht="18.5" customHeight="1">
      <c r="A85" s="80"/>
      <c r="B85" s="679"/>
      <c r="C85" s="80" t="s">
        <v>302</v>
      </c>
      <c r="D85" s="679"/>
      <c r="R85" s="80" t="s">
        <v>302</v>
      </c>
      <c r="S85" s="679"/>
      <c r="W85" s="6"/>
      <c r="X85" s="6"/>
    </row>
  </sheetData>
  <mergeCells count="6">
    <mergeCell ref="A2:B2"/>
    <mergeCell ref="C78:N78"/>
    <mergeCell ref="R78:AC78"/>
    <mergeCell ref="A79:B79"/>
    <mergeCell ref="C80:N80"/>
    <mergeCell ref="R80:AC80"/>
  </mergeCells>
  <pageMargins left="0.35433070866141736" right="0.27559055118110237" top="0.23622047244094491" bottom="0.23622047244094491" header="0.19685039370078741" footer="0.19685039370078741"/>
  <pageSetup paperSize="9" scale="47" fitToWidth="2" pageOrder="overThenDown" orientation="landscape"/>
  <headerFooter alignWithMargins="0">
    <oddFooter>&amp;R&amp;P/&amp;N</oddFooter>
  </headerFooter>
  <colBreaks count="1" manualBreakCount="1">
    <brk id="17" max="1048575" man="1"/>
  </colBreak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BD3E4-3AC5-7E46-B0F8-3407387EFEFC}">
  <dimension ref="A1:F84"/>
  <sheetViews>
    <sheetView zoomScaleNormal="100" workbookViewId="0"/>
  </sheetViews>
  <sheetFormatPr baseColWidth="10" defaultColWidth="11.3984375" defaultRowHeight="13"/>
  <cols>
    <col min="1" max="1" width="7.59765625" style="245" customWidth="1"/>
    <col min="2" max="2" width="53.19921875" style="245" customWidth="1"/>
    <col min="3" max="4" width="19.19921875" style="245" customWidth="1"/>
    <col min="5" max="6" width="19.19921875" style="3" customWidth="1"/>
    <col min="7" max="16384" width="11.3984375" style="3"/>
  </cols>
  <sheetData>
    <row r="1" spans="1:6" s="1" customFormat="1" ht="8.5" customHeight="1">
      <c r="A1" s="221"/>
      <c r="B1" s="221"/>
      <c r="C1" s="221"/>
      <c r="D1" s="221"/>
    </row>
    <row r="2" spans="1:6" s="1" customFormat="1" ht="16.75" customHeight="1">
      <c r="A2" s="1295" t="s">
        <v>1901</v>
      </c>
      <c r="B2" s="679"/>
      <c r="C2" s="839"/>
      <c r="D2" s="839"/>
      <c r="E2" s="1299"/>
      <c r="F2" s="1298">
        <v>2013</v>
      </c>
    </row>
    <row r="3" spans="1:6" s="1" customFormat="1" ht="12" customHeight="1">
      <c r="A3" s="221"/>
      <c r="B3" s="221"/>
      <c r="C3" s="221"/>
      <c r="D3" s="221"/>
    </row>
    <row r="4" spans="1:6" ht="18" customHeight="1">
      <c r="A4" s="845" t="s">
        <v>1218</v>
      </c>
      <c r="B4" s="845" t="s">
        <v>1303</v>
      </c>
      <c r="C4" s="846"/>
      <c r="D4" s="847"/>
      <c r="E4" s="846"/>
      <c r="F4" s="847"/>
    </row>
    <row r="5" spans="1:6" ht="15" customHeight="1">
      <c r="A5" s="789" t="s">
        <v>1223</v>
      </c>
      <c r="B5" s="789"/>
      <c r="C5" s="790" t="s">
        <v>530</v>
      </c>
      <c r="D5" s="791"/>
      <c r="E5" s="790"/>
      <c r="F5" s="791"/>
    </row>
    <row r="6" spans="1:6" ht="15" customHeight="1">
      <c r="A6" s="789"/>
      <c r="B6" s="789"/>
      <c r="C6" s="790" t="s">
        <v>498</v>
      </c>
      <c r="D6" s="791" t="s">
        <v>495</v>
      </c>
      <c r="E6" s="790" t="s">
        <v>496</v>
      </c>
      <c r="F6" s="791" t="s">
        <v>497</v>
      </c>
    </row>
    <row r="7" spans="1:6" ht="15" customHeight="1">
      <c r="A7" s="789"/>
      <c r="B7" s="789"/>
      <c r="C7" s="790"/>
      <c r="D7" s="791" t="s">
        <v>499</v>
      </c>
      <c r="E7" s="790" t="s">
        <v>500</v>
      </c>
      <c r="F7" s="791" t="s">
        <v>501</v>
      </c>
    </row>
    <row r="8" spans="1:6" ht="21" customHeight="1">
      <c r="A8" s="854"/>
      <c r="B8" s="854"/>
      <c r="C8" s="855"/>
      <c r="D8" s="856"/>
      <c r="E8" s="855"/>
      <c r="F8" s="856"/>
    </row>
    <row r="9" spans="1:6" ht="14" thickBot="1">
      <c r="A9" s="825">
        <v>8</v>
      </c>
      <c r="B9" s="799" t="s">
        <v>1334</v>
      </c>
      <c r="C9" s="859">
        <v>847317.08</v>
      </c>
      <c r="D9" s="860">
        <v>161006.76</v>
      </c>
      <c r="E9" s="861">
        <v>81629.850000000006</v>
      </c>
      <c r="F9" s="860">
        <v>604680.47</v>
      </c>
    </row>
    <row r="10" spans="1:6" ht="14" thickBot="1">
      <c r="A10" s="825">
        <v>32</v>
      </c>
      <c r="B10" s="799" t="s">
        <v>1238</v>
      </c>
      <c r="C10" s="859">
        <v>40023.17</v>
      </c>
      <c r="D10" s="860">
        <v>6012.17</v>
      </c>
      <c r="E10" s="861">
        <v>3622.59</v>
      </c>
      <c r="F10" s="860">
        <v>30388.41</v>
      </c>
    </row>
    <row r="11" spans="1:6" ht="14" thickBot="1">
      <c r="A11" s="825">
        <v>57</v>
      </c>
      <c r="B11" s="799" t="s">
        <v>1239</v>
      </c>
      <c r="C11" s="859">
        <v>6488.5</v>
      </c>
      <c r="D11" s="860">
        <v>1183.25</v>
      </c>
      <c r="E11" s="861">
        <v>493</v>
      </c>
      <c r="F11" s="860">
        <v>4812.25</v>
      </c>
    </row>
    <row r="12" spans="1:6" ht="14" thickBot="1">
      <c r="A12" s="825">
        <v>62</v>
      </c>
      <c r="B12" s="799" t="s">
        <v>1335</v>
      </c>
      <c r="C12" s="859">
        <v>60043.17</v>
      </c>
      <c r="D12" s="860">
        <v>7845.83</v>
      </c>
      <c r="E12" s="861">
        <v>3231.58</v>
      </c>
      <c r="F12" s="860">
        <v>48965.75</v>
      </c>
    </row>
    <row r="13" spans="1:6" ht="14" thickBot="1">
      <c r="A13" s="825">
        <v>134</v>
      </c>
      <c r="B13" s="799" t="s">
        <v>1336</v>
      </c>
      <c r="C13" s="859">
        <v>3627.48</v>
      </c>
      <c r="D13" s="860">
        <v>569.49</v>
      </c>
      <c r="E13" s="861">
        <v>387.16</v>
      </c>
      <c r="F13" s="860">
        <v>2670.83</v>
      </c>
    </row>
    <row r="14" spans="1:6" ht="14" thickBot="1">
      <c r="A14" s="825">
        <v>182</v>
      </c>
      <c r="B14" s="799" t="s">
        <v>1242</v>
      </c>
      <c r="C14" s="859">
        <v>61948.25</v>
      </c>
      <c r="D14" s="860">
        <v>11055.67</v>
      </c>
      <c r="E14" s="861">
        <v>4607.92</v>
      </c>
      <c r="F14" s="860">
        <v>46284.67</v>
      </c>
    </row>
    <row r="15" spans="1:6" ht="14" thickBot="1">
      <c r="A15" s="825">
        <v>194</v>
      </c>
      <c r="B15" s="799" t="s">
        <v>1243</v>
      </c>
      <c r="C15" s="859">
        <v>18961.36</v>
      </c>
      <c r="D15" s="860">
        <v>5117.51</v>
      </c>
      <c r="E15" s="861">
        <v>1390.33</v>
      </c>
      <c r="F15" s="860">
        <v>12453.52</v>
      </c>
    </row>
    <row r="16" spans="1:6" ht="14" thickBot="1">
      <c r="A16" s="825">
        <v>246</v>
      </c>
      <c r="B16" s="799" t="s">
        <v>1244</v>
      </c>
      <c r="C16" s="859">
        <v>3337.58</v>
      </c>
      <c r="D16" s="860">
        <v>803.84</v>
      </c>
      <c r="E16" s="861">
        <v>232.08</v>
      </c>
      <c r="F16" s="860">
        <v>2301.66</v>
      </c>
    </row>
    <row r="17" spans="1:6" ht="14" thickBot="1">
      <c r="A17" s="825">
        <v>290</v>
      </c>
      <c r="B17" s="799" t="s">
        <v>1337</v>
      </c>
      <c r="C17" s="859">
        <v>542287.4</v>
      </c>
      <c r="D17" s="860">
        <v>124719.59</v>
      </c>
      <c r="E17" s="861">
        <v>44154.66</v>
      </c>
      <c r="F17" s="860">
        <v>373413.15</v>
      </c>
    </row>
    <row r="18" spans="1:6" ht="14" thickBot="1">
      <c r="A18" s="825">
        <v>294</v>
      </c>
      <c r="B18" s="799" t="s">
        <v>1246</v>
      </c>
      <c r="C18" s="859">
        <v>8608.35</v>
      </c>
      <c r="D18" s="860">
        <v>955.34</v>
      </c>
      <c r="E18" s="861">
        <v>1562.26</v>
      </c>
      <c r="F18" s="860">
        <v>6090.75</v>
      </c>
    </row>
    <row r="19" spans="1:6" ht="14" thickBot="1">
      <c r="A19" s="825">
        <v>312</v>
      </c>
      <c r="B19" s="799" t="s">
        <v>1338</v>
      </c>
      <c r="C19" s="859">
        <v>168330.33</v>
      </c>
      <c r="D19" s="860">
        <v>23984.92</v>
      </c>
      <c r="E19" s="861">
        <v>13121.33</v>
      </c>
      <c r="F19" s="860">
        <v>131224.07999999999</v>
      </c>
    </row>
    <row r="20" spans="1:6" ht="14" thickBot="1">
      <c r="A20" s="825">
        <v>343</v>
      </c>
      <c r="B20" s="799" t="s">
        <v>1248</v>
      </c>
      <c r="C20" s="859">
        <v>225831.93</v>
      </c>
      <c r="D20" s="860">
        <v>44648.86</v>
      </c>
      <c r="E20" s="861">
        <v>17952.46</v>
      </c>
      <c r="F20" s="860">
        <v>163230.60999999999</v>
      </c>
    </row>
    <row r="21" spans="1:6" ht="14" thickBot="1">
      <c r="A21" s="825">
        <v>360</v>
      </c>
      <c r="B21" s="799" t="s">
        <v>1249</v>
      </c>
      <c r="C21" s="859">
        <v>20979.4</v>
      </c>
      <c r="D21" s="860">
        <v>3626.24</v>
      </c>
      <c r="E21" s="861">
        <v>2803.42</v>
      </c>
      <c r="F21" s="860">
        <v>14549.74</v>
      </c>
    </row>
    <row r="22" spans="1:6" ht="14" thickBot="1">
      <c r="A22" s="825">
        <v>376</v>
      </c>
      <c r="B22" s="799" t="s">
        <v>1250</v>
      </c>
      <c r="C22" s="859">
        <v>388523</v>
      </c>
      <c r="D22" s="860">
        <v>51056</v>
      </c>
      <c r="E22" s="861">
        <v>36240</v>
      </c>
      <c r="F22" s="860">
        <v>301227</v>
      </c>
    </row>
    <row r="23" spans="1:6" ht="14" thickBot="1">
      <c r="A23" s="825">
        <v>455</v>
      </c>
      <c r="B23" s="799" t="s">
        <v>1339</v>
      </c>
      <c r="C23" s="859">
        <v>149943.51999999999</v>
      </c>
      <c r="D23" s="860">
        <v>28795.93</v>
      </c>
      <c r="E23" s="861">
        <v>13521.15</v>
      </c>
      <c r="F23" s="860">
        <v>107626.44</v>
      </c>
    </row>
    <row r="24" spans="1:6" ht="14" thickBot="1">
      <c r="A24" s="825">
        <v>509</v>
      </c>
      <c r="B24" s="799" t="s">
        <v>1252</v>
      </c>
      <c r="C24" s="859">
        <v>135907</v>
      </c>
      <c r="D24" s="860">
        <v>24732.33</v>
      </c>
      <c r="E24" s="861">
        <v>10840.33</v>
      </c>
      <c r="F24" s="860">
        <v>100334.33</v>
      </c>
    </row>
    <row r="25" spans="1:6" ht="14" thickBot="1">
      <c r="A25" s="825">
        <v>558</v>
      </c>
      <c r="B25" s="799" t="s">
        <v>1340</v>
      </c>
      <c r="C25" s="859">
        <v>3555.51</v>
      </c>
      <c r="D25" s="860">
        <v>848.67</v>
      </c>
      <c r="E25" s="861">
        <v>291.67</v>
      </c>
      <c r="F25" s="860">
        <v>2415.17</v>
      </c>
    </row>
    <row r="26" spans="1:6" ht="14" thickBot="1">
      <c r="A26" s="825">
        <v>762</v>
      </c>
      <c r="B26" s="799" t="s">
        <v>1341</v>
      </c>
      <c r="C26" s="859">
        <v>19210.169999999998</v>
      </c>
      <c r="D26" s="860">
        <v>3960</v>
      </c>
      <c r="E26" s="861">
        <v>1604.33</v>
      </c>
      <c r="F26" s="860">
        <v>13645.83</v>
      </c>
    </row>
    <row r="27" spans="1:6" ht="14" thickBot="1">
      <c r="A27" s="825">
        <v>774</v>
      </c>
      <c r="B27" s="799" t="s">
        <v>1255</v>
      </c>
      <c r="C27" s="859">
        <v>225010.83</v>
      </c>
      <c r="D27" s="860">
        <v>47174.17</v>
      </c>
      <c r="E27" s="861">
        <v>18924.5</v>
      </c>
      <c r="F27" s="860">
        <v>158912.17000000001</v>
      </c>
    </row>
    <row r="28" spans="1:6" ht="14" thickBot="1">
      <c r="A28" s="825">
        <v>780</v>
      </c>
      <c r="B28" s="799" t="s">
        <v>1342</v>
      </c>
      <c r="C28" s="859">
        <v>6350.13</v>
      </c>
      <c r="D28" s="860">
        <v>1216.4000000000001</v>
      </c>
      <c r="E28" s="861">
        <v>681.14</v>
      </c>
      <c r="F28" s="860">
        <v>4452.59</v>
      </c>
    </row>
    <row r="29" spans="1:6" ht="14" thickBot="1">
      <c r="A29" s="825">
        <v>820</v>
      </c>
      <c r="B29" s="799" t="s">
        <v>1257</v>
      </c>
      <c r="C29" s="859">
        <v>2532.5</v>
      </c>
      <c r="D29" s="860">
        <v>375.33</v>
      </c>
      <c r="E29" s="861">
        <v>274.79000000000002</v>
      </c>
      <c r="F29" s="860">
        <v>1882.38</v>
      </c>
    </row>
    <row r="30" spans="1:6" ht="14" thickBot="1">
      <c r="A30" s="825">
        <v>829</v>
      </c>
      <c r="B30" s="799" t="s">
        <v>1258</v>
      </c>
      <c r="C30" s="859">
        <v>15718.09</v>
      </c>
      <c r="D30" s="860">
        <v>5656.17</v>
      </c>
      <c r="E30" s="861">
        <v>649.41999999999996</v>
      </c>
      <c r="F30" s="860">
        <v>9412.5</v>
      </c>
    </row>
    <row r="31" spans="1:6" ht="14" thickBot="1">
      <c r="A31" s="825">
        <v>881</v>
      </c>
      <c r="B31" s="799" t="s">
        <v>1259</v>
      </c>
      <c r="C31" s="859">
        <v>127325.86</v>
      </c>
      <c r="D31" s="860">
        <v>29515.53</v>
      </c>
      <c r="E31" s="861">
        <v>7893.25</v>
      </c>
      <c r="F31" s="860">
        <v>89917.08</v>
      </c>
    </row>
    <row r="32" spans="1:6" ht="14" thickBot="1">
      <c r="A32" s="825">
        <v>901</v>
      </c>
      <c r="B32" s="799" t="s">
        <v>1343</v>
      </c>
      <c r="C32" s="859">
        <v>2493.58</v>
      </c>
      <c r="D32" s="860">
        <v>417.75</v>
      </c>
      <c r="E32" s="861">
        <v>270.25</v>
      </c>
      <c r="F32" s="860">
        <v>1805.58</v>
      </c>
    </row>
    <row r="33" spans="1:6" ht="14" thickBot="1">
      <c r="A33" s="825">
        <v>923</v>
      </c>
      <c r="B33" s="799" t="s">
        <v>1344</v>
      </c>
      <c r="C33" s="859">
        <v>13925.56</v>
      </c>
      <c r="D33" s="860">
        <v>2983</v>
      </c>
      <c r="E33" s="861">
        <v>1156.1500000000001</v>
      </c>
      <c r="F33" s="860">
        <v>9786.41</v>
      </c>
    </row>
    <row r="34" spans="1:6" ht="14" thickBot="1">
      <c r="A34" s="825">
        <v>941</v>
      </c>
      <c r="B34" s="799" t="s">
        <v>1262</v>
      </c>
      <c r="C34" s="859">
        <v>33961.94</v>
      </c>
      <c r="D34" s="860">
        <v>5466.07</v>
      </c>
      <c r="E34" s="861">
        <v>3598.44</v>
      </c>
      <c r="F34" s="860">
        <v>24897.43</v>
      </c>
    </row>
    <row r="35" spans="1:6" ht="14" thickBot="1">
      <c r="A35" s="825">
        <v>966</v>
      </c>
      <c r="B35" s="799" t="s">
        <v>1263</v>
      </c>
      <c r="C35" s="859">
        <v>3744.63</v>
      </c>
      <c r="D35" s="860">
        <v>696.96</v>
      </c>
      <c r="E35" s="861">
        <v>355</v>
      </c>
      <c r="F35" s="860">
        <v>2692.67</v>
      </c>
    </row>
    <row r="36" spans="1:6" ht="14" thickBot="1">
      <c r="A36" s="825">
        <v>994</v>
      </c>
      <c r="B36" s="799" t="s">
        <v>1264</v>
      </c>
      <c r="C36" s="859">
        <v>180908.25</v>
      </c>
      <c r="D36" s="860">
        <v>30780.75</v>
      </c>
      <c r="E36" s="861">
        <v>18089.169999999998</v>
      </c>
      <c r="F36" s="860">
        <v>132038.32999999999</v>
      </c>
    </row>
    <row r="37" spans="1:6" ht="14" thickBot="1">
      <c r="A37" s="825">
        <v>1003</v>
      </c>
      <c r="B37" s="799" t="s">
        <v>1265</v>
      </c>
      <c r="C37" s="859">
        <v>162.91999999999999</v>
      </c>
      <c r="D37" s="860">
        <v>27</v>
      </c>
      <c r="E37" s="861">
        <v>12</v>
      </c>
      <c r="F37" s="860">
        <v>123.92</v>
      </c>
    </row>
    <row r="38" spans="1:6" ht="14" thickBot="1">
      <c r="A38" s="825">
        <v>1040</v>
      </c>
      <c r="B38" s="799" t="s">
        <v>1266</v>
      </c>
      <c r="C38" s="859">
        <v>4132.75</v>
      </c>
      <c r="D38" s="860">
        <v>913.25</v>
      </c>
      <c r="E38" s="861">
        <v>466.5</v>
      </c>
      <c r="F38" s="860">
        <v>2753</v>
      </c>
    </row>
    <row r="39" spans="1:6" ht="14" thickBot="1">
      <c r="A39" s="825">
        <v>1060</v>
      </c>
      <c r="B39" s="799" t="s">
        <v>1267</v>
      </c>
      <c r="C39" s="859">
        <v>161376.23000000001</v>
      </c>
      <c r="D39" s="860">
        <v>17724.48</v>
      </c>
      <c r="E39" s="861">
        <v>9753.3799999999992</v>
      </c>
      <c r="F39" s="860">
        <v>133898.37</v>
      </c>
    </row>
    <row r="40" spans="1:6" ht="14" thickBot="1">
      <c r="A40" s="825">
        <v>1113</v>
      </c>
      <c r="B40" s="799" t="s">
        <v>1345</v>
      </c>
      <c r="C40" s="859">
        <v>8662.58</v>
      </c>
      <c r="D40" s="860">
        <v>2127</v>
      </c>
      <c r="E40" s="861">
        <v>1269.17</v>
      </c>
      <c r="F40" s="860">
        <v>5266.41</v>
      </c>
    </row>
    <row r="41" spans="1:6" ht="14" thickBot="1">
      <c r="A41" s="825">
        <v>1142</v>
      </c>
      <c r="B41" s="799" t="s">
        <v>1269</v>
      </c>
      <c r="C41" s="859">
        <v>777.17</v>
      </c>
      <c r="D41" s="860" t="s">
        <v>390</v>
      </c>
      <c r="E41" s="861" t="s">
        <v>390</v>
      </c>
      <c r="F41" s="860">
        <v>777.17</v>
      </c>
    </row>
    <row r="42" spans="1:6" ht="14" thickBot="1">
      <c r="A42" s="825">
        <v>1147</v>
      </c>
      <c r="B42" s="799" t="s">
        <v>1270</v>
      </c>
      <c r="C42" s="859">
        <v>416</v>
      </c>
      <c r="D42" s="860">
        <v>55</v>
      </c>
      <c r="E42" s="861">
        <v>24</v>
      </c>
      <c r="F42" s="860">
        <v>337</v>
      </c>
    </row>
    <row r="43" spans="1:6" ht="14" thickBot="1">
      <c r="A43" s="825">
        <v>1318</v>
      </c>
      <c r="B43" s="799" t="s">
        <v>1346</v>
      </c>
      <c r="C43" s="859">
        <v>9492</v>
      </c>
      <c r="D43" s="860">
        <v>1258.83</v>
      </c>
      <c r="E43" s="861">
        <v>1007.92</v>
      </c>
      <c r="F43" s="860">
        <v>7225.25</v>
      </c>
    </row>
    <row r="44" spans="1:6" ht="14" thickBot="1">
      <c r="A44" s="825">
        <v>1322</v>
      </c>
      <c r="B44" s="799" t="s">
        <v>1273</v>
      </c>
      <c r="C44" s="859">
        <v>9083.74</v>
      </c>
      <c r="D44" s="860">
        <v>1620.83</v>
      </c>
      <c r="E44" s="861">
        <v>898.24</v>
      </c>
      <c r="F44" s="860">
        <v>6564.67</v>
      </c>
    </row>
    <row r="45" spans="1:6" ht="14" thickBot="1">
      <c r="A45" s="825">
        <v>1328</v>
      </c>
      <c r="B45" s="799" t="s">
        <v>1274</v>
      </c>
      <c r="C45" s="859">
        <v>5863.43</v>
      </c>
      <c r="D45" s="860">
        <v>832.7</v>
      </c>
      <c r="E45" s="861">
        <v>524.77</v>
      </c>
      <c r="F45" s="860">
        <v>4505.96</v>
      </c>
    </row>
    <row r="46" spans="1:6" ht="14" thickBot="1">
      <c r="A46" s="825">
        <v>1331</v>
      </c>
      <c r="B46" s="799" t="s">
        <v>1347</v>
      </c>
      <c r="C46" s="859">
        <v>1626.76</v>
      </c>
      <c r="D46" s="860">
        <v>345.5</v>
      </c>
      <c r="E46" s="861">
        <v>154.91999999999999</v>
      </c>
      <c r="F46" s="860">
        <v>1126.3399999999999</v>
      </c>
    </row>
    <row r="47" spans="1:6" ht="14" thickBot="1">
      <c r="A47" s="825">
        <v>1362</v>
      </c>
      <c r="B47" s="799" t="s">
        <v>1276</v>
      </c>
      <c r="C47" s="859">
        <v>958.33</v>
      </c>
      <c r="D47" s="860">
        <v>141.08000000000001</v>
      </c>
      <c r="E47" s="861">
        <v>122</v>
      </c>
      <c r="F47" s="860">
        <v>695.25</v>
      </c>
    </row>
    <row r="48" spans="1:6" ht="14" thickBot="1">
      <c r="A48" s="825">
        <v>1384</v>
      </c>
      <c r="B48" s="799" t="s">
        <v>1277</v>
      </c>
      <c r="C48" s="859">
        <v>630352.4</v>
      </c>
      <c r="D48" s="860">
        <v>120459</v>
      </c>
      <c r="E48" s="861">
        <v>52405</v>
      </c>
      <c r="F48" s="860">
        <v>457488.4</v>
      </c>
    </row>
    <row r="49" spans="1:6" ht="14" thickBot="1">
      <c r="A49" s="825">
        <v>1386</v>
      </c>
      <c r="B49" s="799" t="s">
        <v>1348</v>
      </c>
      <c r="C49" s="859">
        <v>11153.99</v>
      </c>
      <c r="D49" s="860">
        <v>1104.75</v>
      </c>
      <c r="E49" s="861">
        <v>711.68</v>
      </c>
      <c r="F49" s="860">
        <v>9337.56</v>
      </c>
    </row>
    <row r="50" spans="1:6" ht="14" thickBot="1">
      <c r="A50" s="825">
        <v>1401</v>
      </c>
      <c r="B50" s="799" t="s">
        <v>1279</v>
      </c>
      <c r="C50" s="859">
        <v>9857.93</v>
      </c>
      <c r="D50" s="860">
        <v>1801.67</v>
      </c>
      <c r="E50" s="861">
        <v>740.59</v>
      </c>
      <c r="F50" s="860">
        <v>7315.67</v>
      </c>
    </row>
    <row r="51" spans="1:6" ht="14" thickBot="1">
      <c r="A51" s="825">
        <v>1423</v>
      </c>
      <c r="B51" s="799" t="s">
        <v>1349</v>
      </c>
      <c r="C51" s="859">
        <v>3490.18</v>
      </c>
      <c r="D51" s="860">
        <v>406.01</v>
      </c>
      <c r="E51" s="861">
        <v>390.92</v>
      </c>
      <c r="F51" s="860">
        <v>2693.25</v>
      </c>
    </row>
    <row r="52" spans="1:6" ht="14" thickBot="1">
      <c r="A52" s="825">
        <v>1479</v>
      </c>
      <c r="B52" s="799" t="s">
        <v>1350</v>
      </c>
      <c r="C52" s="859">
        <v>432537.9</v>
      </c>
      <c r="D52" s="860">
        <v>89936.960000000006</v>
      </c>
      <c r="E52" s="861">
        <v>29692.17</v>
      </c>
      <c r="F52" s="860">
        <v>312908.78000000003</v>
      </c>
    </row>
    <row r="53" spans="1:6" ht="14" thickBot="1">
      <c r="A53" s="825">
        <v>1507</v>
      </c>
      <c r="B53" s="799" t="s">
        <v>1351</v>
      </c>
      <c r="C53" s="859">
        <v>11248.46</v>
      </c>
      <c r="D53" s="860">
        <v>3167.88</v>
      </c>
      <c r="E53" s="861">
        <v>1066.74</v>
      </c>
      <c r="F53" s="860">
        <v>7013.84</v>
      </c>
    </row>
    <row r="54" spans="1:6" ht="14" thickBot="1">
      <c r="A54" s="825">
        <v>1509</v>
      </c>
      <c r="B54" s="799" t="s">
        <v>1352</v>
      </c>
      <c r="C54" s="859">
        <v>331842.21000000002</v>
      </c>
      <c r="D54" s="860">
        <v>58840.28</v>
      </c>
      <c r="E54" s="861">
        <v>30060.14</v>
      </c>
      <c r="F54" s="860">
        <v>242941.78</v>
      </c>
    </row>
    <row r="55" spans="1:6" ht="14" thickBot="1">
      <c r="A55" s="825">
        <v>1529</v>
      </c>
      <c r="B55" s="799" t="s">
        <v>1353</v>
      </c>
      <c r="C55" s="859">
        <v>165053.69</v>
      </c>
      <c r="D55" s="860">
        <v>25748.63</v>
      </c>
      <c r="E55" s="861">
        <v>14109.69</v>
      </c>
      <c r="F55" s="860">
        <v>125195.37</v>
      </c>
    </row>
    <row r="56" spans="1:6" ht="14" thickBot="1">
      <c r="A56" s="825">
        <v>1535</v>
      </c>
      <c r="B56" s="799" t="s">
        <v>1289</v>
      </c>
      <c r="C56" s="859">
        <v>305410.28000000003</v>
      </c>
      <c r="D56" s="860">
        <v>65288.12</v>
      </c>
      <c r="E56" s="861">
        <v>23683.06</v>
      </c>
      <c r="F56" s="860">
        <v>216439.1</v>
      </c>
    </row>
    <row r="57" spans="1:6" ht="14" thickBot="1">
      <c r="A57" s="825">
        <v>1542</v>
      </c>
      <c r="B57" s="799" t="s">
        <v>1354</v>
      </c>
      <c r="C57" s="859">
        <v>696289.5</v>
      </c>
      <c r="D57" s="860">
        <v>129543.5</v>
      </c>
      <c r="E57" s="861">
        <v>40436</v>
      </c>
      <c r="F57" s="860">
        <v>526310</v>
      </c>
    </row>
    <row r="58" spans="1:6" ht="14" thickBot="1">
      <c r="A58" s="825">
        <v>1555</v>
      </c>
      <c r="B58" s="799" t="s">
        <v>1292</v>
      </c>
      <c r="C58" s="859">
        <v>443321.5</v>
      </c>
      <c r="D58" s="860">
        <v>82939.5</v>
      </c>
      <c r="E58" s="861">
        <v>58501.67</v>
      </c>
      <c r="F58" s="860">
        <v>301880.33</v>
      </c>
    </row>
    <row r="59" spans="1:6" ht="14" thickBot="1">
      <c r="A59" s="825">
        <v>1560</v>
      </c>
      <c r="B59" s="799" t="s">
        <v>1293</v>
      </c>
      <c r="C59" s="859">
        <v>116548</v>
      </c>
      <c r="D59" s="860">
        <v>30017</v>
      </c>
      <c r="E59" s="861">
        <v>14848</v>
      </c>
      <c r="F59" s="860">
        <v>71683</v>
      </c>
    </row>
    <row r="60" spans="1:6" ht="14" thickBot="1">
      <c r="A60" s="825">
        <v>1562</v>
      </c>
      <c r="B60" s="799" t="s">
        <v>1294</v>
      </c>
      <c r="C60" s="859">
        <v>564710.67000000004</v>
      </c>
      <c r="D60" s="860">
        <v>88347.33</v>
      </c>
      <c r="E60" s="861">
        <v>46701.5</v>
      </c>
      <c r="F60" s="860">
        <v>429661.83</v>
      </c>
    </row>
    <row r="61" spans="1:6" ht="14" thickBot="1">
      <c r="A61" s="825">
        <v>1565</v>
      </c>
      <c r="B61" s="799" t="s">
        <v>1295</v>
      </c>
      <c r="C61" s="859">
        <v>207406.83</v>
      </c>
      <c r="D61" s="860">
        <v>29956.17</v>
      </c>
      <c r="E61" s="861">
        <v>10561.5</v>
      </c>
      <c r="F61" s="860">
        <v>166889.17000000001</v>
      </c>
    </row>
    <row r="62" spans="1:6" ht="14" thickBot="1">
      <c r="A62" s="825">
        <v>1566</v>
      </c>
      <c r="B62" s="799" t="s">
        <v>1296</v>
      </c>
      <c r="C62" s="859">
        <v>207630.58</v>
      </c>
      <c r="D62" s="860">
        <v>54543.92</v>
      </c>
      <c r="E62" s="861">
        <v>11701.75</v>
      </c>
      <c r="F62" s="860">
        <v>141384.92000000001</v>
      </c>
    </row>
    <row r="63" spans="1:6" ht="14" thickBot="1">
      <c r="A63" s="825">
        <v>1568</v>
      </c>
      <c r="B63" s="799" t="s">
        <v>1355</v>
      </c>
      <c r="C63" s="859">
        <v>82228.67</v>
      </c>
      <c r="D63" s="860">
        <v>18659.25</v>
      </c>
      <c r="E63" s="861">
        <v>10344.42</v>
      </c>
      <c r="F63" s="860">
        <v>53225</v>
      </c>
    </row>
    <row r="64" spans="1:6" ht="14" thickBot="1">
      <c r="A64" s="825">
        <v>1569</v>
      </c>
      <c r="B64" s="799" t="s">
        <v>1298</v>
      </c>
      <c r="C64" s="859">
        <v>153612.44</v>
      </c>
      <c r="D64" s="860">
        <v>34979.61</v>
      </c>
      <c r="E64" s="861">
        <v>10565.25</v>
      </c>
      <c r="F64" s="860">
        <v>108067.58</v>
      </c>
    </row>
    <row r="65" spans="1:6" ht="14" thickBot="1">
      <c r="A65" s="825">
        <v>1570</v>
      </c>
      <c r="B65" s="799" t="s">
        <v>1356</v>
      </c>
      <c r="C65" s="859">
        <v>61201.5</v>
      </c>
      <c r="D65" s="860">
        <v>12066.83</v>
      </c>
      <c r="E65" s="861">
        <v>5996.25</v>
      </c>
      <c r="F65" s="860">
        <v>43138.42</v>
      </c>
    </row>
    <row r="66" spans="1:6" ht="14" thickBot="1">
      <c r="A66" s="825">
        <v>1574</v>
      </c>
      <c r="B66" s="799" t="s">
        <v>1300</v>
      </c>
      <c r="C66" s="859">
        <v>1737.17</v>
      </c>
      <c r="D66" s="860">
        <v>29</v>
      </c>
      <c r="E66" s="861">
        <v>27.67</v>
      </c>
      <c r="F66" s="860">
        <v>1680.5</v>
      </c>
    </row>
    <row r="67" spans="1:6" ht="14" thickBot="1">
      <c r="A67" s="825">
        <v>1575</v>
      </c>
      <c r="B67" s="799" t="s">
        <v>1301</v>
      </c>
      <c r="C67" s="859">
        <v>28247.97</v>
      </c>
      <c r="D67" s="860">
        <v>5559.43</v>
      </c>
      <c r="E67" s="861">
        <v>1309.8599999999999</v>
      </c>
      <c r="F67" s="860">
        <v>21378.67</v>
      </c>
    </row>
    <row r="68" spans="1:6" ht="14" thickBot="1">
      <c r="A68" s="825">
        <v>1577</v>
      </c>
      <c r="B68" s="799" t="s">
        <v>1302</v>
      </c>
      <c r="C68" s="859">
        <v>62599.89</v>
      </c>
      <c r="D68" s="860">
        <v>12419.75</v>
      </c>
      <c r="E68" s="861">
        <v>2494.96</v>
      </c>
      <c r="F68" s="860">
        <v>47685.18</v>
      </c>
    </row>
    <row r="69" spans="1:6" ht="14" thickBot="1">
      <c r="A69" s="860" t="s">
        <v>390</v>
      </c>
      <c r="B69" s="860" t="s">
        <v>390</v>
      </c>
      <c r="C69" s="859" t="s">
        <v>390</v>
      </c>
      <c r="D69" s="860" t="s">
        <v>390</v>
      </c>
      <c r="E69" s="861" t="s">
        <v>390</v>
      </c>
      <c r="F69" s="860" t="s">
        <v>390</v>
      </c>
    </row>
    <row r="70" spans="1:6" ht="14" thickBot="1">
      <c r="A70" s="860" t="s">
        <v>390</v>
      </c>
      <c r="B70" s="860" t="s">
        <v>390</v>
      </c>
      <c r="C70" s="859" t="s">
        <v>390</v>
      </c>
      <c r="D70" s="860" t="s">
        <v>390</v>
      </c>
      <c r="E70" s="861" t="s">
        <v>390</v>
      </c>
      <c r="F70" s="860" t="s">
        <v>390</v>
      </c>
    </row>
    <row r="71" spans="1:6" ht="14" thickBot="1">
      <c r="A71" s="860" t="s">
        <v>390</v>
      </c>
      <c r="B71" s="860" t="s">
        <v>390</v>
      </c>
      <c r="C71" s="859" t="s">
        <v>390</v>
      </c>
      <c r="D71" s="860" t="s">
        <v>390</v>
      </c>
      <c r="E71" s="861" t="s">
        <v>390</v>
      </c>
      <c r="F71" s="860" t="s">
        <v>390</v>
      </c>
    </row>
    <row r="72" spans="1:6" ht="14" thickBot="1">
      <c r="A72" s="860" t="s">
        <v>390</v>
      </c>
      <c r="B72" s="860" t="s">
        <v>390</v>
      </c>
      <c r="C72" s="859" t="s">
        <v>390</v>
      </c>
      <c r="D72" s="860" t="s">
        <v>390</v>
      </c>
      <c r="E72" s="861" t="s">
        <v>390</v>
      </c>
      <c r="F72" s="860" t="s">
        <v>390</v>
      </c>
    </row>
    <row r="73" spans="1:6" ht="14" thickBot="1">
      <c r="A73" s="860" t="s">
        <v>390</v>
      </c>
      <c r="B73" s="860" t="s">
        <v>390</v>
      </c>
      <c r="C73" s="859" t="s">
        <v>390</v>
      </c>
      <c r="D73" s="860" t="s">
        <v>390</v>
      </c>
      <c r="E73" s="861" t="s">
        <v>390</v>
      </c>
      <c r="F73" s="860" t="s">
        <v>390</v>
      </c>
    </row>
    <row r="74" spans="1:6" ht="14" thickBot="1">
      <c r="A74" s="860" t="s">
        <v>390</v>
      </c>
      <c r="B74" s="860" t="s">
        <v>390</v>
      </c>
      <c r="C74" s="859" t="s">
        <v>390</v>
      </c>
      <c r="D74" s="860" t="s">
        <v>390</v>
      </c>
      <c r="E74" s="861" t="s">
        <v>390</v>
      </c>
      <c r="F74" s="860" t="s">
        <v>390</v>
      </c>
    </row>
    <row r="75" spans="1:6" s="200" customFormat="1" ht="14" thickBot="1">
      <c r="A75" s="866" t="s">
        <v>1357</v>
      </c>
      <c r="B75" s="867">
        <v>60</v>
      </c>
      <c r="C75" s="868">
        <v>8045928.2400000002</v>
      </c>
      <c r="D75" s="869">
        <v>1516064.79</v>
      </c>
      <c r="E75" s="870">
        <v>670159.94999999995</v>
      </c>
      <c r="F75" s="869">
        <v>5859703.4900000002</v>
      </c>
    </row>
    <row r="76" spans="1:6" ht="15.75" customHeight="1" thickBot="1">
      <c r="A76" s="872" t="s">
        <v>346</v>
      </c>
      <c r="C76" s="872"/>
      <c r="E76" s="833"/>
      <c r="F76" s="833"/>
    </row>
    <row r="77" spans="1:6" ht="15.75" customHeight="1">
      <c r="A77" s="872"/>
      <c r="C77" s="872"/>
      <c r="E77" s="877"/>
      <c r="F77" s="877"/>
    </row>
    <row r="78" spans="1:6" ht="38.5" customHeight="1">
      <c r="A78" s="2024" t="s">
        <v>2199</v>
      </c>
      <c r="B78" s="2018"/>
      <c r="C78" s="2018"/>
      <c r="D78" s="2018"/>
      <c r="E78" s="2018"/>
      <c r="F78" s="2018"/>
    </row>
    <row r="79" spans="1:6" ht="16.25" customHeight="1">
      <c r="A79" s="80" t="s">
        <v>1331</v>
      </c>
      <c r="B79" s="679"/>
      <c r="C79" s="80"/>
      <c r="D79" s="679"/>
      <c r="E79" s="328"/>
      <c r="F79" s="328"/>
    </row>
    <row r="80" spans="1:6">
      <c r="E80" s="328"/>
      <c r="F80" s="328"/>
    </row>
    <row r="81" spans="1:6">
      <c r="A81" s="80" t="s">
        <v>1333</v>
      </c>
      <c r="C81" s="80"/>
      <c r="E81" s="328"/>
      <c r="F81" s="328"/>
    </row>
    <row r="82" spans="1:6">
      <c r="E82" s="328"/>
      <c r="F82" s="328"/>
    </row>
    <row r="83" spans="1:6" ht="7.5" customHeight="1">
      <c r="E83" s="328"/>
      <c r="F83" s="328"/>
    </row>
    <row r="84" spans="1:6" ht="18.5" customHeight="1">
      <c r="A84" s="80" t="s">
        <v>302</v>
      </c>
      <c r="B84" s="679"/>
      <c r="C84" s="80"/>
      <c r="D84" s="679"/>
      <c r="E84" s="328"/>
      <c r="F84" s="328"/>
    </row>
  </sheetData>
  <mergeCells count="1">
    <mergeCell ref="A78:F78"/>
  </mergeCells>
  <pageMargins left="0.35433070866141736" right="0.27559055118110237" top="0.23622047244094491" bottom="0.23622047244094491" header="0.19685039370078741" footer="0.19685039370078741"/>
  <pageSetup paperSize="9" scale="68" pageOrder="overThenDown" orientation="portrait"/>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DF444-7790-8D42-9822-6466D1611005}">
  <dimension ref="A1:F84"/>
  <sheetViews>
    <sheetView zoomScaleNormal="100" workbookViewId="0"/>
  </sheetViews>
  <sheetFormatPr baseColWidth="10" defaultColWidth="11.3984375" defaultRowHeight="13"/>
  <cols>
    <col min="1" max="1" width="7.59765625" style="245" customWidth="1"/>
    <col min="2" max="2" width="53.19921875" style="245" customWidth="1"/>
    <col min="3" max="4" width="18.3984375" style="245" customWidth="1"/>
    <col min="5" max="6" width="18.3984375" style="3" customWidth="1"/>
    <col min="7" max="16384" width="11.3984375" style="3"/>
  </cols>
  <sheetData>
    <row r="1" spans="1:6" s="1" customFormat="1" ht="14" customHeight="1">
      <c r="A1" s="1293"/>
      <c r="B1" s="1293"/>
      <c r="C1" s="1293"/>
      <c r="D1" s="1293"/>
      <c r="E1" s="1294"/>
      <c r="F1" s="1294"/>
    </row>
    <row r="2" spans="1:6" s="1" customFormat="1" ht="20.5" customHeight="1">
      <c r="A2" s="1295" t="s">
        <v>1897</v>
      </c>
      <c r="B2" s="1294"/>
      <c r="C2" s="1296"/>
      <c r="D2" s="1296"/>
      <c r="E2" s="1297"/>
      <c r="F2" s="1298">
        <v>2013</v>
      </c>
    </row>
    <row r="3" spans="1:6" s="1" customFormat="1" ht="12" customHeight="1">
      <c r="A3" s="221"/>
      <c r="B3" s="221"/>
      <c r="C3" s="221"/>
      <c r="D3" s="221"/>
    </row>
    <row r="4" spans="1:6" ht="18" customHeight="1">
      <c r="A4" s="845" t="s">
        <v>1218</v>
      </c>
      <c r="B4" s="845" t="s">
        <v>1898</v>
      </c>
      <c r="C4" s="846"/>
      <c r="D4" s="847"/>
      <c r="E4" s="846"/>
      <c r="F4" s="847"/>
    </row>
    <row r="5" spans="1:6" ht="15" customHeight="1">
      <c r="A5" s="789" t="s">
        <v>1223</v>
      </c>
      <c r="B5" s="789"/>
      <c r="C5" s="790" t="s">
        <v>530</v>
      </c>
      <c r="D5" s="791"/>
      <c r="E5" s="790"/>
      <c r="F5" s="791"/>
    </row>
    <row r="6" spans="1:6" ht="15" customHeight="1">
      <c r="A6" s="789"/>
      <c r="B6" s="789"/>
      <c r="C6" s="790" t="s">
        <v>498</v>
      </c>
      <c r="D6" s="791" t="s">
        <v>495</v>
      </c>
      <c r="E6" s="790" t="s">
        <v>496</v>
      </c>
      <c r="F6" s="791" t="s">
        <v>497</v>
      </c>
    </row>
    <row r="7" spans="1:6" ht="15" customHeight="1">
      <c r="A7" s="789"/>
      <c r="B7" s="789"/>
      <c r="C7" s="790"/>
      <c r="D7" s="791" t="s">
        <v>499</v>
      </c>
      <c r="E7" s="790" t="s">
        <v>500</v>
      </c>
      <c r="F7" s="791" t="s">
        <v>501</v>
      </c>
    </row>
    <row r="8" spans="1:6" ht="21" customHeight="1">
      <c r="A8" s="854"/>
      <c r="B8" s="854"/>
      <c r="C8" s="855"/>
      <c r="D8" s="856"/>
      <c r="E8" s="855"/>
      <c r="F8" s="856"/>
    </row>
    <row r="9" spans="1:6" ht="14" thickBot="1">
      <c r="A9" s="825">
        <v>8</v>
      </c>
      <c r="B9" s="799" t="s">
        <v>1334</v>
      </c>
      <c r="C9" s="859">
        <v>851467</v>
      </c>
      <c r="D9" s="860">
        <v>165782</v>
      </c>
      <c r="E9" s="861">
        <v>82342</v>
      </c>
      <c r="F9" s="860">
        <v>603343</v>
      </c>
    </row>
    <row r="10" spans="1:6" ht="14" thickBot="1">
      <c r="A10" s="825">
        <v>32</v>
      </c>
      <c r="B10" s="799" t="s">
        <v>1238</v>
      </c>
      <c r="C10" s="859">
        <v>40523</v>
      </c>
      <c r="D10" s="860">
        <v>6261</v>
      </c>
      <c r="E10" s="861">
        <v>3698</v>
      </c>
      <c r="F10" s="860">
        <v>30564</v>
      </c>
    </row>
    <row r="11" spans="1:6" ht="14" thickBot="1">
      <c r="A11" s="825">
        <v>57</v>
      </c>
      <c r="B11" s="799" t="s">
        <v>1239</v>
      </c>
      <c r="C11" s="859">
        <v>6449</v>
      </c>
      <c r="D11" s="860">
        <v>1183</v>
      </c>
      <c r="E11" s="861">
        <v>493</v>
      </c>
      <c r="F11" s="860">
        <v>4773</v>
      </c>
    </row>
    <row r="12" spans="1:6" ht="14" thickBot="1">
      <c r="A12" s="825">
        <v>62</v>
      </c>
      <c r="B12" s="799" t="s">
        <v>1335</v>
      </c>
      <c r="C12" s="859">
        <v>59995</v>
      </c>
      <c r="D12" s="860">
        <v>8023</v>
      </c>
      <c r="E12" s="861">
        <v>3251</v>
      </c>
      <c r="F12" s="860">
        <v>48721</v>
      </c>
    </row>
    <row r="13" spans="1:6" ht="14" thickBot="1">
      <c r="A13" s="825">
        <v>134</v>
      </c>
      <c r="B13" s="799" t="s">
        <v>1336</v>
      </c>
      <c r="C13" s="859">
        <v>3639</v>
      </c>
      <c r="D13" s="860">
        <v>581</v>
      </c>
      <c r="E13" s="861">
        <v>386</v>
      </c>
      <c r="F13" s="860">
        <v>2672</v>
      </c>
    </row>
    <row r="14" spans="1:6" ht="14" thickBot="1">
      <c r="A14" s="825">
        <v>182</v>
      </c>
      <c r="B14" s="799" t="s">
        <v>1242</v>
      </c>
      <c r="C14" s="859">
        <v>61902</v>
      </c>
      <c r="D14" s="860">
        <v>11228</v>
      </c>
      <c r="E14" s="861">
        <v>4644</v>
      </c>
      <c r="F14" s="860">
        <v>46030</v>
      </c>
    </row>
    <row r="15" spans="1:6" ht="14" thickBot="1">
      <c r="A15" s="825">
        <v>194</v>
      </c>
      <c r="B15" s="799" t="s">
        <v>1243</v>
      </c>
      <c r="C15" s="859">
        <v>19038</v>
      </c>
      <c r="D15" s="860">
        <v>5218</v>
      </c>
      <c r="E15" s="861">
        <v>1398</v>
      </c>
      <c r="F15" s="860">
        <v>12422</v>
      </c>
    </row>
    <row r="16" spans="1:6" ht="14" thickBot="1">
      <c r="A16" s="825">
        <v>246</v>
      </c>
      <c r="B16" s="799" t="s">
        <v>1244</v>
      </c>
      <c r="C16" s="859">
        <v>3335</v>
      </c>
      <c r="D16" s="860">
        <v>811</v>
      </c>
      <c r="E16" s="861">
        <v>236</v>
      </c>
      <c r="F16" s="860">
        <v>2288</v>
      </c>
    </row>
    <row r="17" spans="1:6" ht="14" thickBot="1">
      <c r="A17" s="825">
        <v>290</v>
      </c>
      <c r="B17" s="799" t="s">
        <v>1337</v>
      </c>
      <c r="C17" s="859">
        <v>544311</v>
      </c>
      <c r="D17" s="860">
        <v>127416</v>
      </c>
      <c r="E17" s="861">
        <v>44417</v>
      </c>
      <c r="F17" s="860">
        <v>372478</v>
      </c>
    </row>
    <row r="18" spans="1:6" ht="14" thickBot="1">
      <c r="A18" s="825">
        <v>294</v>
      </c>
      <c r="B18" s="799" t="s">
        <v>1246</v>
      </c>
      <c r="C18" s="859">
        <v>8625</v>
      </c>
      <c r="D18" s="860">
        <v>991</v>
      </c>
      <c r="E18" s="861">
        <v>1563</v>
      </c>
      <c r="F18" s="860">
        <v>6071</v>
      </c>
    </row>
    <row r="19" spans="1:6" ht="14" thickBot="1">
      <c r="A19" s="825">
        <v>312</v>
      </c>
      <c r="B19" s="799" t="s">
        <v>1338</v>
      </c>
      <c r="C19" s="859">
        <v>168423</v>
      </c>
      <c r="D19" s="860">
        <v>24676</v>
      </c>
      <c r="E19" s="861">
        <v>13121</v>
      </c>
      <c r="F19" s="860">
        <v>130626</v>
      </c>
    </row>
    <row r="20" spans="1:6" ht="14" thickBot="1">
      <c r="A20" s="825">
        <v>343</v>
      </c>
      <c r="B20" s="799" t="s">
        <v>1248</v>
      </c>
      <c r="C20" s="859">
        <v>228237</v>
      </c>
      <c r="D20" s="860">
        <v>45980</v>
      </c>
      <c r="E20" s="861">
        <v>18471</v>
      </c>
      <c r="F20" s="860">
        <v>163786</v>
      </c>
    </row>
    <row r="21" spans="1:6" ht="14" thickBot="1">
      <c r="A21" s="825">
        <v>360</v>
      </c>
      <c r="B21" s="799" t="s">
        <v>1249</v>
      </c>
      <c r="C21" s="859">
        <v>21056</v>
      </c>
      <c r="D21" s="860">
        <v>3704</v>
      </c>
      <c r="E21" s="861">
        <v>2825</v>
      </c>
      <c r="F21" s="860">
        <v>14527</v>
      </c>
    </row>
    <row r="22" spans="1:6" ht="14" thickBot="1">
      <c r="A22" s="825">
        <v>376</v>
      </c>
      <c r="B22" s="799" t="s">
        <v>1250</v>
      </c>
      <c r="C22" s="859">
        <v>390866</v>
      </c>
      <c r="D22" s="860">
        <v>52906</v>
      </c>
      <c r="E22" s="861">
        <v>37317</v>
      </c>
      <c r="F22" s="860">
        <v>300643</v>
      </c>
    </row>
    <row r="23" spans="1:6" ht="14" thickBot="1">
      <c r="A23" s="825">
        <v>455</v>
      </c>
      <c r="B23" s="799" t="s">
        <v>1339</v>
      </c>
      <c r="C23" s="859">
        <v>152414</v>
      </c>
      <c r="D23" s="860">
        <v>29602</v>
      </c>
      <c r="E23" s="861">
        <v>14670</v>
      </c>
      <c r="F23" s="860">
        <v>108142</v>
      </c>
    </row>
    <row r="24" spans="1:6" ht="14" thickBot="1">
      <c r="A24" s="825">
        <v>509</v>
      </c>
      <c r="B24" s="799" t="s">
        <v>1252</v>
      </c>
      <c r="C24" s="859">
        <v>136204</v>
      </c>
      <c r="D24" s="860">
        <v>24996</v>
      </c>
      <c r="E24" s="861">
        <v>11073</v>
      </c>
      <c r="F24" s="860">
        <v>100135</v>
      </c>
    </row>
    <row r="25" spans="1:6" ht="14" thickBot="1">
      <c r="A25" s="825">
        <v>558</v>
      </c>
      <c r="B25" s="799" t="s">
        <v>1340</v>
      </c>
      <c r="C25" s="859">
        <v>3632</v>
      </c>
      <c r="D25" s="860">
        <v>889</v>
      </c>
      <c r="E25" s="861">
        <v>299</v>
      </c>
      <c r="F25" s="860">
        <v>2444</v>
      </c>
    </row>
    <row r="26" spans="1:6" ht="14" thickBot="1">
      <c r="A26" s="825">
        <v>762</v>
      </c>
      <c r="B26" s="799" t="s">
        <v>1341</v>
      </c>
      <c r="C26" s="859">
        <v>19274</v>
      </c>
      <c r="D26" s="860">
        <v>4083</v>
      </c>
      <c r="E26" s="861">
        <v>1618</v>
      </c>
      <c r="F26" s="860">
        <v>13573</v>
      </c>
    </row>
    <row r="27" spans="1:6" ht="14" thickBot="1">
      <c r="A27" s="825">
        <v>774</v>
      </c>
      <c r="B27" s="799" t="s">
        <v>1255</v>
      </c>
      <c r="C27" s="859">
        <v>228249</v>
      </c>
      <c r="D27" s="860">
        <v>48759</v>
      </c>
      <c r="E27" s="861">
        <v>19582</v>
      </c>
      <c r="F27" s="860">
        <v>159908</v>
      </c>
    </row>
    <row r="28" spans="1:6" ht="14" thickBot="1">
      <c r="A28" s="825">
        <v>780</v>
      </c>
      <c r="B28" s="799" t="s">
        <v>1342</v>
      </c>
      <c r="C28" s="859">
        <v>6387</v>
      </c>
      <c r="D28" s="860">
        <v>1266</v>
      </c>
      <c r="E28" s="861">
        <v>686</v>
      </c>
      <c r="F28" s="860">
        <v>4435</v>
      </c>
    </row>
    <row r="29" spans="1:6" ht="14" thickBot="1">
      <c r="A29" s="825">
        <v>820</v>
      </c>
      <c r="B29" s="799" t="s">
        <v>1257</v>
      </c>
      <c r="C29" s="859">
        <v>2509</v>
      </c>
      <c r="D29" s="860">
        <v>380</v>
      </c>
      <c r="E29" s="861">
        <v>272</v>
      </c>
      <c r="F29" s="860">
        <v>1857</v>
      </c>
    </row>
    <row r="30" spans="1:6" ht="14" thickBot="1">
      <c r="A30" s="825">
        <v>829</v>
      </c>
      <c r="B30" s="799" t="s">
        <v>1258</v>
      </c>
      <c r="C30" s="859">
        <v>15804</v>
      </c>
      <c r="D30" s="860">
        <v>5764</v>
      </c>
      <c r="E30" s="861">
        <v>649</v>
      </c>
      <c r="F30" s="860">
        <v>9391</v>
      </c>
    </row>
    <row r="31" spans="1:6" ht="14" thickBot="1">
      <c r="A31" s="825">
        <v>881</v>
      </c>
      <c r="B31" s="799" t="s">
        <v>1259</v>
      </c>
      <c r="C31" s="859">
        <v>127314</v>
      </c>
      <c r="D31" s="860">
        <v>29900</v>
      </c>
      <c r="E31" s="861">
        <v>8050</v>
      </c>
      <c r="F31" s="860">
        <v>89364</v>
      </c>
    </row>
    <row r="32" spans="1:6" ht="14" thickBot="1">
      <c r="A32" s="825">
        <v>901</v>
      </c>
      <c r="B32" s="799" t="s">
        <v>1343</v>
      </c>
      <c r="C32" s="859">
        <v>2481</v>
      </c>
      <c r="D32" s="860">
        <v>431</v>
      </c>
      <c r="E32" s="861">
        <v>270</v>
      </c>
      <c r="F32" s="860">
        <v>1780</v>
      </c>
    </row>
    <row r="33" spans="1:6" ht="14" thickBot="1">
      <c r="A33" s="825">
        <v>923</v>
      </c>
      <c r="B33" s="799" t="s">
        <v>1344</v>
      </c>
      <c r="C33" s="859">
        <v>13918</v>
      </c>
      <c r="D33" s="860">
        <v>3034</v>
      </c>
      <c r="E33" s="861">
        <v>1158</v>
      </c>
      <c r="F33" s="860">
        <v>9726</v>
      </c>
    </row>
    <row r="34" spans="1:6" ht="14" thickBot="1">
      <c r="A34" s="825">
        <v>941</v>
      </c>
      <c r="B34" s="799" t="s">
        <v>1262</v>
      </c>
      <c r="C34" s="859">
        <v>34127</v>
      </c>
      <c r="D34" s="860">
        <v>5596</v>
      </c>
      <c r="E34" s="861">
        <v>3687</v>
      </c>
      <c r="F34" s="860">
        <v>24844</v>
      </c>
    </row>
    <row r="35" spans="1:6" ht="14" thickBot="1">
      <c r="A35" s="825">
        <v>966</v>
      </c>
      <c r="B35" s="799" t="s">
        <v>1263</v>
      </c>
      <c r="C35" s="859">
        <v>3713</v>
      </c>
      <c r="D35" s="860">
        <v>705</v>
      </c>
      <c r="E35" s="861">
        <v>360</v>
      </c>
      <c r="F35" s="860">
        <v>2648</v>
      </c>
    </row>
    <row r="36" spans="1:6" ht="14" thickBot="1">
      <c r="A36" s="825">
        <v>994</v>
      </c>
      <c r="B36" s="799" t="s">
        <v>1264</v>
      </c>
      <c r="C36" s="859">
        <v>182266</v>
      </c>
      <c r="D36" s="860">
        <v>31501</v>
      </c>
      <c r="E36" s="861">
        <v>18707</v>
      </c>
      <c r="F36" s="860">
        <v>132058</v>
      </c>
    </row>
    <row r="37" spans="1:6" ht="14" thickBot="1">
      <c r="A37" s="825">
        <v>1003</v>
      </c>
      <c r="B37" s="799" t="s">
        <v>1265</v>
      </c>
      <c r="C37" s="859">
        <v>162</v>
      </c>
      <c r="D37" s="860">
        <v>27</v>
      </c>
      <c r="E37" s="861">
        <v>12</v>
      </c>
      <c r="F37" s="860">
        <v>123</v>
      </c>
    </row>
    <row r="38" spans="1:6" ht="14" thickBot="1">
      <c r="A38" s="825">
        <v>1040</v>
      </c>
      <c r="B38" s="799" t="s">
        <v>1266</v>
      </c>
      <c r="C38" s="859">
        <v>4125</v>
      </c>
      <c r="D38" s="860">
        <v>931</v>
      </c>
      <c r="E38" s="861">
        <v>462</v>
      </c>
      <c r="F38" s="860">
        <v>2732</v>
      </c>
    </row>
    <row r="39" spans="1:6" ht="14" thickBot="1">
      <c r="A39" s="825">
        <v>1060</v>
      </c>
      <c r="B39" s="799" t="s">
        <v>1267</v>
      </c>
      <c r="C39" s="859">
        <v>159916</v>
      </c>
      <c r="D39" s="860">
        <v>17936</v>
      </c>
      <c r="E39" s="861">
        <v>9751</v>
      </c>
      <c r="F39" s="860">
        <v>132229</v>
      </c>
    </row>
    <row r="40" spans="1:6" ht="14" thickBot="1">
      <c r="A40" s="825">
        <v>1113</v>
      </c>
      <c r="B40" s="799" t="s">
        <v>1345</v>
      </c>
      <c r="C40" s="859">
        <v>8703</v>
      </c>
      <c r="D40" s="860">
        <v>2169</v>
      </c>
      <c r="E40" s="861">
        <v>1284</v>
      </c>
      <c r="F40" s="860">
        <v>5250</v>
      </c>
    </row>
    <row r="41" spans="1:6" ht="14" thickBot="1">
      <c r="A41" s="825">
        <v>1142</v>
      </c>
      <c r="B41" s="799" t="s">
        <v>1269</v>
      </c>
      <c r="C41" s="859">
        <v>756</v>
      </c>
      <c r="D41" s="860" t="s">
        <v>390</v>
      </c>
      <c r="E41" s="861" t="s">
        <v>390</v>
      </c>
      <c r="F41" s="860">
        <v>756</v>
      </c>
    </row>
    <row r="42" spans="1:6" ht="14" thickBot="1">
      <c r="A42" s="825">
        <v>1147</v>
      </c>
      <c r="B42" s="799" t="s">
        <v>1270</v>
      </c>
      <c r="C42" s="859">
        <v>416</v>
      </c>
      <c r="D42" s="860">
        <v>55</v>
      </c>
      <c r="E42" s="861">
        <v>24</v>
      </c>
      <c r="F42" s="860">
        <v>337</v>
      </c>
    </row>
    <row r="43" spans="1:6" ht="14" thickBot="1">
      <c r="A43" s="825">
        <v>1318</v>
      </c>
      <c r="B43" s="799" t="s">
        <v>1346</v>
      </c>
      <c r="C43" s="859">
        <v>9485</v>
      </c>
      <c r="D43" s="860">
        <v>1282</v>
      </c>
      <c r="E43" s="861">
        <v>1032</v>
      </c>
      <c r="F43" s="860">
        <v>7171</v>
      </c>
    </row>
    <row r="44" spans="1:6" ht="14" thickBot="1">
      <c r="A44" s="825">
        <v>1322</v>
      </c>
      <c r="B44" s="799" t="s">
        <v>1273</v>
      </c>
      <c r="C44" s="859">
        <v>9039</v>
      </c>
      <c r="D44" s="860">
        <v>1635</v>
      </c>
      <c r="E44" s="861">
        <v>895</v>
      </c>
      <c r="F44" s="860">
        <v>6509</v>
      </c>
    </row>
    <row r="45" spans="1:6" ht="14" thickBot="1">
      <c r="A45" s="825">
        <v>1328</v>
      </c>
      <c r="B45" s="799" t="s">
        <v>1274</v>
      </c>
      <c r="C45" s="859">
        <v>5861</v>
      </c>
      <c r="D45" s="860">
        <v>848</v>
      </c>
      <c r="E45" s="861">
        <v>545</v>
      </c>
      <c r="F45" s="860">
        <v>4468</v>
      </c>
    </row>
    <row r="46" spans="1:6" ht="14" thickBot="1">
      <c r="A46" s="825">
        <v>1331</v>
      </c>
      <c r="B46" s="799" t="s">
        <v>1347</v>
      </c>
      <c r="C46" s="859">
        <v>1635</v>
      </c>
      <c r="D46" s="860">
        <v>355</v>
      </c>
      <c r="E46" s="861">
        <v>155</v>
      </c>
      <c r="F46" s="860">
        <v>1125</v>
      </c>
    </row>
    <row r="47" spans="1:6" ht="14" thickBot="1">
      <c r="A47" s="825">
        <v>1362</v>
      </c>
      <c r="B47" s="799" t="s">
        <v>1276</v>
      </c>
      <c r="C47" s="859">
        <v>958</v>
      </c>
      <c r="D47" s="860">
        <v>145</v>
      </c>
      <c r="E47" s="861">
        <v>122</v>
      </c>
      <c r="F47" s="860">
        <v>691</v>
      </c>
    </row>
    <row r="48" spans="1:6" ht="14" thickBot="1">
      <c r="A48" s="825">
        <v>1384</v>
      </c>
      <c r="B48" s="799" t="s">
        <v>1277</v>
      </c>
      <c r="C48" s="859">
        <v>632884</v>
      </c>
      <c r="D48" s="860">
        <v>124343</v>
      </c>
      <c r="E48" s="861">
        <v>52407</v>
      </c>
      <c r="F48" s="860">
        <v>456134</v>
      </c>
    </row>
    <row r="49" spans="1:6" ht="14" thickBot="1">
      <c r="A49" s="825">
        <v>1386</v>
      </c>
      <c r="B49" s="799" t="s">
        <v>1348</v>
      </c>
      <c r="C49" s="859">
        <v>11032</v>
      </c>
      <c r="D49" s="860">
        <v>1117</v>
      </c>
      <c r="E49" s="861">
        <v>703</v>
      </c>
      <c r="F49" s="860">
        <v>9212</v>
      </c>
    </row>
    <row r="50" spans="1:6" ht="14" thickBot="1">
      <c r="A50" s="825">
        <v>1401</v>
      </c>
      <c r="B50" s="799" t="s">
        <v>1279</v>
      </c>
      <c r="C50" s="859">
        <v>9891</v>
      </c>
      <c r="D50" s="860">
        <v>1842</v>
      </c>
      <c r="E50" s="861">
        <v>742</v>
      </c>
      <c r="F50" s="860">
        <v>7307</v>
      </c>
    </row>
    <row r="51" spans="1:6" ht="14" thickBot="1">
      <c r="A51" s="825">
        <v>1423</v>
      </c>
      <c r="B51" s="799" t="s">
        <v>1349</v>
      </c>
      <c r="C51" s="859">
        <v>3483</v>
      </c>
      <c r="D51" s="860">
        <v>411</v>
      </c>
      <c r="E51" s="861">
        <v>395</v>
      </c>
      <c r="F51" s="860">
        <v>2677</v>
      </c>
    </row>
    <row r="52" spans="1:6" ht="14" thickBot="1">
      <c r="A52" s="825">
        <v>1479</v>
      </c>
      <c r="B52" s="799" t="s">
        <v>1350</v>
      </c>
      <c r="C52" s="859">
        <v>436291</v>
      </c>
      <c r="D52" s="860">
        <v>92591</v>
      </c>
      <c r="E52" s="861">
        <v>30502</v>
      </c>
      <c r="F52" s="860">
        <v>313198</v>
      </c>
    </row>
    <row r="53" spans="1:6" ht="14" thickBot="1">
      <c r="A53" s="825">
        <v>1507</v>
      </c>
      <c r="B53" s="799" t="s">
        <v>1351</v>
      </c>
      <c r="C53" s="859">
        <v>11678</v>
      </c>
      <c r="D53" s="860">
        <v>3237</v>
      </c>
      <c r="E53" s="861">
        <v>1243</v>
      </c>
      <c r="F53" s="860">
        <v>7198</v>
      </c>
    </row>
    <row r="54" spans="1:6" ht="14" thickBot="1">
      <c r="A54" s="825">
        <v>1509</v>
      </c>
      <c r="B54" s="799" t="s">
        <v>1352</v>
      </c>
      <c r="C54" s="859">
        <v>334435</v>
      </c>
      <c r="D54" s="860">
        <v>61085</v>
      </c>
      <c r="E54" s="861">
        <v>30531</v>
      </c>
      <c r="F54" s="860">
        <v>242819</v>
      </c>
    </row>
    <row r="55" spans="1:6" ht="14" thickBot="1">
      <c r="A55" s="825">
        <v>1529</v>
      </c>
      <c r="B55" s="799" t="s">
        <v>1353</v>
      </c>
      <c r="C55" s="859">
        <v>164995</v>
      </c>
      <c r="D55" s="860">
        <v>26030</v>
      </c>
      <c r="E55" s="861">
        <v>14139</v>
      </c>
      <c r="F55" s="860">
        <v>124826</v>
      </c>
    </row>
    <row r="56" spans="1:6" ht="14" thickBot="1">
      <c r="A56" s="825">
        <v>1535</v>
      </c>
      <c r="B56" s="799" t="s">
        <v>1289</v>
      </c>
      <c r="C56" s="859">
        <v>307472</v>
      </c>
      <c r="D56" s="860">
        <v>66957</v>
      </c>
      <c r="E56" s="861">
        <v>24288</v>
      </c>
      <c r="F56" s="860">
        <v>216227</v>
      </c>
    </row>
    <row r="57" spans="1:6" ht="14" thickBot="1">
      <c r="A57" s="825">
        <v>1542</v>
      </c>
      <c r="B57" s="799" t="s">
        <v>1354</v>
      </c>
      <c r="C57" s="859">
        <v>704034</v>
      </c>
      <c r="D57" s="860">
        <v>133076</v>
      </c>
      <c r="E57" s="861">
        <v>41467</v>
      </c>
      <c r="F57" s="860">
        <v>529491</v>
      </c>
    </row>
    <row r="58" spans="1:6" ht="14" thickBot="1">
      <c r="A58" s="825">
        <v>1555</v>
      </c>
      <c r="B58" s="799" t="s">
        <v>1292</v>
      </c>
      <c r="C58" s="859">
        <v>442417</v>
      </c>
      <c r="D58" s="860">
        <v>84982</v>
      </c>
      <c r="E58" s="861">
        <v>58564</v>
      </c>
      <c r="F58" s="860">
        <v>298871</v>
      </c>
    </row>
    <row r="59" spans="1:6" ht="14" thickBot="1">
      <c r="A59" s="825">
        <v>1560</v>
      </c>
      <c r="B59" s="799" t="s">
        <v>1293</v>
      </c>
      <c r="C59" s="859">
        <v>115175</v>
      </c>
      <c r="D59" s="860">
        <v>30618</v>
      </c>
      <c r="E59" s="861">
        <v>14407</v>
      </c>
      <c r="F59" s="860">
        <v>70150</v>
      </c>
    </row>
    <row r="60" spans="1:6" ht="14" thickBot="1">
      <c r="A60" s="825">
        <v>1562</v>
      </c>
      <c r="B60" s="799" t="s">
        <v>1294</v>
      </c>
      <c r="C60" s="859">
        <v>564324</v>
      </c>
      <c r="D60" s="860">
        <v>91055</v>
      </c>
      <c r="E60" s="861">
        <v>47807</v>
      </c>
      <c r="F60" s="860">
        <v>425462</v>
      </c>
    </row>
    <row r="61" spans="1:6" ht="14" thickBot="1">
      <c r="A61" s="825">
        <v>1565</v>
      </c>
      <c r="B61" s="799" t="s">
        <v>1295</v>
      </c>
      <c r="C61" s="859">
        <v>209229</v>
      </c>
      <c r="D61" s="860">
        <v>30787</v>
      </c>
      <c r="E61" s="861">
        <v>10896</v>
      </c>
      <c r="F61" s="860">
        <v>167546</v>
      </c>
    </row>
    <row r="62" spans="1:6" ht="14" thickBot="1">
      <c r="A62" s="825">
        <v>1566</v>
      </c>
      <c r="B62" s="799" t="s">
        <v>1296</v>
      </c>
      <c r="C62" s="859">
        <v>209477</v>
      </c>
      <c r="D62" s="860">
        <v>55965</v>
      </c>
      <c r="E62" s="861">
        <v>12008</v>
      </c>
      <c r="F62" s="860">
        <v>141504</v>
      </c>
    </row>
    <row r="63" spans="1:6" ht="14" thickBot="1">
      <c r="A63" s="825">
        <v>1568</v>
      </c>
      <c r="B63" s="799" t="s">
        <v>1355</v>
      </c>
      <c r="C63" s="859">
        <v>84202</v>
      </c>
      <c r="D63" s="860">
        <v>19682</v>
      </c>
      <c r="E63" s="861">
        <v>10568</v>
      </c>
      <c r="F63" s="860">
        <v>53952</v>
      </c>
    </row>
    <row r="64" spans="1:6" ht="14" thickBot="1">
      <c r="A64" s="825">
        <v>1569</v>
      </c>
      <c r="B64" s="799" t="s">
        <v>1298</v>
      </c>
      <c r="C64" s="859">
        <v>157451</v>
      </c>
      <c r="D64" s="860">
        <v>36624</v>
      </c>
      <c r="E64" s="861">
        <v>10867</v>
      </c>
      <c r="F64" s="860">
        <v>109960</v>
      </c>
    </row>
    <row r="65" spans="1:6" ht="14" thickBot="1">
      <c r="A65" s="825">
        <v>1570</v>
      </c>
      <c r="B65" s="799" t="s">
        <v>1356</v>
      </c>
      <c r="C65" s="859">
        <v>62083</v>
      </c>
      <c r="D65" s="860">
        <v>12568</v>
      </c>
      <c r="E65" s="861">
        <v>6091</v>
      </c>
      <c r="F65" s="860">
        <v>43424</v>
      </c>
    </row>
    <row r="66" spans="1:6" ht="14" thickBot="1">
      <c r="A66" s="825">
        <v>1574</v>
      </c>
      <c r="B66" s="799" t="s">
        <v>1300</v>
      </c>
      <c r="C66" s="859">
        <v>1720</v>
      </c>
      <c r="D66" s="860">
        <v>29</v>
      </c>
      <c r="E66" s="861">
        <v>27</v>
      </c>
      <c r="F66" s="860">
        <v>1664</v>
      </c>
    </row>
    <row r="67" spans="1:6" ht="14" thickBot="1">
      <c r="A67" s="825">
        <v>1575</v>
      </c>
      <c r="B67" s="799" t="s">
        <v>1301</v>
      </c>
      <c r="C67" s="859">
        <v>28280</v>
      </c>
      <c r="D67" s="860">
        <v>5670</v>
      </c>
      <c r="E67" s="861">
        <v>1324</v>
      </c>
      <c r="F67" s="860">
        <v>21286</v>
      </c>
    </row>
    <row r="68" spans="1:6" ht="14" thickBot="1">
      <c r="A68" s="825">
        <v>1577</v>
      </c>
      <c r="B68" s="799" t="s">
        <v>1302</v>
      </c>
      <c r="C68" s="859">
        <v>63823</v>
      </c>
      <c r="D68" s="860">
        <v>12892</v>
      </c>
      <c r="E68" s="861">
        <v>2615</v>
      </c>
      <c r="F68" s="860">
        <v>48316</v>
      </c>
    </row>
    <row r="69" spans="1:6" ht="14" thickBot="1">
      <c r="A69" s="860" t="s">
        <v>390</v>
      </c>
      <c r="B69" s="860" t="s">
        <v>390</v>
      </c>
      <c r="C69" s="859" t="s">
        <v>390</v>
      </c>
      <c r="D69" s="860" t="s">
        <v>390</v>
      </c>
      <c r="E69" s="861" t="s">
        <v>390</v>
      </c>
      <c r="F69" s="860" t="s">
        <v>390</v>
      </c>
    </row>
    <row r="70" spans="1:6" ht="14" thickBot="1">
      <c r="A70" s="860" t="s">
        <v>390</v>
      </c>
      <c r="B70" s="860" t="s">
        <v>390</v>
      </c>
      <c r="C70" s="859" t="s">
        <v>390</v>
      </c>
      <c r="D70" s="860" t="s">
        <v>390</v>
      </c>
      <c r="E70" s="861" t="s">
        <v>390</v>
      </c>
      <c r="F70" s="860" t="s">
        <v>390</v>
      </c>
    </row>
    <row r="71" spans="1:6" ht="14" thickBot="1">
      <c r="A71" s="860" t="s">
        <v>390</v>
      </c>
      <c r="B71" s="860" t="s">
        <v>390</v>
      </c>
      <c r="C71" s="859" t="s">
        <v>390</v>
      </c>
      <c r="D71" s="860" t="s">
        <v>390</v>
      </c>
      <c r="E71" s="861" t="s">
        <v>390</v>
      </c>
      <c r="F71" s="860" t="s">
        <v>390</v>
      </c>
    </row>
    <row r="72" spans="1:6" ht="14" thickBot="1">
      <c r="A72" s="860" t="s">
        <v>390</v>
      </c>
      <c r="B72" s="860" t="s">
        <v>390</v>
      </c>
      <c r="C72" s="859" t="s">
        <v>390</v>
      </c>
      <c r="D72" s="860" t="s">
        <v>390</v>
      </c>
      <c r="E72" s="861" t="s">
        <v>390</v>
      </c>
      <c r="F72" s="860" t="s">
        <v>390</v>
      </c>
    </row>
    <row r="73" spans="1:6" ht="14" thickBot="1">
      <c r="A73" s="860" t="s">
        <v>390</v>
      </c>
      <c r="B73" s="860" t="s">
        <v>390</v>
      </c>
      <c r="C73" s="859" t="s">
        <v>390</v>
      </c>
      <c r="D73" s="860" t="s">
        <v>390</v>
      </c>
      <c r="E73" s="861" t="s">
        <v>390</v>
      </c>
      <c r="F73" s="860" t="s">
        <v>390</v>
      </c>
    </row>
    <row r="74" spans="1:6" ht="14" thickBot="1">
      <c r="A74" s="860" t="s">
        <v>390</v>
      </c>
      <c r="B74" s="860" t="s">
        <v>390</v>
      </c>
      <c r="C74" s="859" t="s">
        <v>390</v>
      </c>
      <c r="D74" s="860" t="s">
        <v>390</v>
      </c>
      <c r="E74" s="861" t="s">
        <v>390</v>
      </c>
      <c r="F74" s="860" t="s">
        <v>390</v>
      </c>
    </row>
    <row r="75" spans="1:6" s="200" customFormat="1" ht="14" thickBot="1">
      <c r="A75" s="866" t="s">
        <v>1357</v>
      </c>
      <c r="B75" s="867">
        <v>60</v>
      </c>
      <c r="C75" s="868">
        <v>8091590</v>
      </c>
      <c r="D75" s="869">
        <v>1558610</v>
      </c>
      <c r="E75" s="870">
        <v>681116</v>
      </c>
      <c r="F75" s="869">
        <v>5851864</v>
      </c>
    </row>
    <row r="76" spans="1:6" ht="15.75" customHeight="1" thickBot="1">
      <c r="A76" s="872" t="s">
        <v>346</v>
      </c>
      <c r="C76" s="872"/>
      <c r="E76" s="833"/>
      <c r="F76" s="833"/>
    </row>
    <row r="77" spans="1:6" ht="15.75" customHeight="1">
      <c r="A77" s="872"/>
      <c r="C77" s="872"/>
      <c r="E77" s="877"/>
      <c r="F77" s="877"/>
    </row>
    <row r="78" spans="1:6" ht="38.5" hidden="1" customHeight="1">
      <c r="A78" s="80" t="s">
        <v>1330</v>
      </c>
      <c r="B78" s="679"/>
      <c r="C78" s="80"/>
      <c r="D78" s="679"/>
      <c r="E78" s="679"/>
      <c r="F78" s="679"/>
    </row>
    <row r="79" spans="1:6" ht="16.25" customHeight="1">
      <c r="A79" s="80" t="s">
        <v>1899</v>
      </c>
      <c r="B79" s="679"/>
      <c r="C79" s="80"/>
      <c r="D79" s="679"/>
      <c r="E79" s="328"/>
      <c r="F79" s="328"/>
    </row>
    <row r="80" spans="1:6">
      <c r="E80" s="328"/>
      <c r="F80" s="328"/>
    </row>
    <row r="81" spans="1:6">
      <c r="A81" s="80" t="s">
        <v>1900</v>
      </c>
      <c r="C81" s="80"/>
      <c r="E81" s="328"/>
      <c r="F81" s="328"/>
    </row>
    <row r="82" spans="1:6">
      <c r="E82" s="328"/>
      <c r="F82" s="328"/>
    </row>
    <row r="83" spans="1:6" ht="7.5" customHeight="1">
      <c r="E83" s="328"/>
      <c r="F83" s="328"/>
    </row>
    <row r="84" spans="1:6" ht="18.5" customHeight="1">
      <c r="A84" s="80" t="s">
        <v>302</v>
      </c>
      <c r="B84" s="679"/>
      <c r="C84" s="80"/>
      <c r="D84" s="679"/>
      <c r="E84" s="328"/>
      <c r="F84" s="328"/>
    </row>
  </sheetData>
  <pageMargins left="0.35433070866141736" right="0.27559055118110237" top="0.23622047244094491" bottom="0.23622047244094491" header="0.19685039370078741" footer="0.19685039370078741"/>
  <pageSetup paperSize="9" scale="68" fitToWidth="2" pageOrder="overThenDown" orientation="portrait"/>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E84A6-5272-CA47-A911-C23CFB23F4D9}">
  <dimension ref="A1:AE90"/>
  <sheetViews>
    <sheetView zoomScaleNormal="100" workbookViewId="0"/>
  </sheetViews>
  <sheetFormatPr baseColWidth="10" defaultColWidth="11.3984375" defaultRowHeight="13"/>
  <cols>
    <col min="1" max="1" width="10.19921875" style="3" customWidth="1"/>
    <col min="2" max="2" width="49" style="245" customWidth="1"/>
    <col min="3" max="4" width="14.3984375" style="245" customWidth="1"/>
    <col min="5" max="7" width="14.3984375" style="3" customWidth="1"/>
    <col min="8" max="9" width="14.3984375" style="6" customWidth="1"/>
    <col min="10" max="12" width="14.3984375" style="3" customWidth="1"/>
    <col min="13" max="13" width="14.3984375" style="201" customWidth="1"/>
    <col min="14" max="16" width="14.3984375" style="3" customWidth="1"/>
    <col min="17" max="17" width="1.3984375" style="3" customWidth="1"/>
    <col min="18" max="18" width="14.3984375" style="3" customWidth="1"/>
    <col min="19" max="19" width="14.3984375" style="245" customWidth="1"/>
    <col min="20" max="31" width="14.3984375" style="3" customWidth="1"/>
    <col min="32" max="16384" width="11.3984375" style="3"/>
  </cols>
  <sheetData>
    <row r="1" spans="1:31" s="1" customFormat="1" ht="9" customHeight="1">
      <c r="A1" s="840"/>
      <c r="B1" s="839"/>
      <c r="C1" s="839"/>
      <c r="D1" s="839"/>
      <c r="E1" s="840"/>
      <c r="F1" s="840"/>
      <c r="G1" s="840"/>
      <c r="H1" s="840"/>
      <c r="I1" s="193"/>
      <c r="J1" s="840"/>
      <c r="K1" s="840"/>
      <c r="L1" s="840"/>
      <c r="M1" s="1176"/>
      <c r="N1" s="840"/>
      <c r="O1" s="840"/>
      <c r="P1" s="840"/>
      <c r="Q1" s="840"/>
      <c r="R1" s="840"/>
      <c r="S1" s="839"/>
    </row>
    <row r="2" spans="1:31" s="1" customFormat="1" ht="22.25" customHeight="1">
      <c r="A2" s="1393" t="s">
        <v>2596</v>
      </c>
      <c r="B2" s="679"/>
      <c r="C2" s="839"/>
      <c r="D2" s="839"/>
      <c r="E2" s="840"/>
      <c r="F2" s="840"/>
      <c r="G2" s="840"/>
      <c r="H2" s="193"/>
      <c r="I2" s="193"/>
      <c r="J2" s="883"/>
      <c r="K2" s="840"/>
      <c r="L2" s="840"/>
      <c r="M2" s="1176"/>
      <c r="N2" s="840"/>
      <c r="O2" s="840"/>
      <c r="P2" s="1394">
        <v>2013</v>
      </c>
      <c r="Q2" s="840"/>
      <c r="R2" s="840"/>
      <c r="AD2" s="1394"/>
      <c r="AE2" s="1394">
        <v>2013</v>
      </c>
    </row>
    <row r="3" spans="1:31" s="1" customFormat="1" ht="10.75" customHeight="1">
      <c r="A3" s="840"/>
      <c r="B3" s="840"/>
      <c r="C3" s="839"/>
      <c r="D3" s="839"/>
      <c r="E3" s="840"/>
      <c r="F3" s="840"/>
      <c r="G3" s="840"/>
      <c r="H3" s="193"/>
      <c r="I3" s="193"/>
      <c r="J3" s="840"/>
      <c r="K3" s="840"/>
      <c r="L3" s="840"/>
      <c r="M3" s="1176"/>
      <c r="N3" s="840"/>
      <c r="O3" s="840"/>
      <c r="P3" s="840"/>
      <c r="Q3" s="840"/>
      <c r="R3" s="840"/>
      <c r="S3" s="1395"/>
      <c r="U3" s="844"/>
      <c r="W3" s="844"/>
      <c r="X3" s="844"/>
      <c r="Y3" s="844"/>
      <c r="Z3" s="844"/>
      <c r="AA3" s="844"/>
      <c r="AB3" s="844"/>
      <c r="AC3" s="844"/>
      <c r="AD3" s="844"/>
      <c r="AE3" s="844"/>
    </row>
    <row r="4" spans="1:31" ht="18" customHeight="1">
      <c r="A4" s="845" t="s">
        <v>1218</v>
      </c>
      <c r="B4" s="845" t="s">
        <v>1303</v>
      </c>
      <c r="C4" s="846"/>
      <c r="D4" s="847"/>
      <c r="E4" s="846"/>
      <c r="F4" s="847"/>
      <c r="G4" s="846"/>
      <c r="H4" s="848"/>
      <c r="I4" s="849"/>
      <c r="J4" s="847"/>
      <c r="K4" s="846"/>
      <c r="L4" s="847"/>
      <c r="M4" s="846"/>
      <c r="N4" s="848"/>
      <c r="O4" s="849"/>
      <c r="P4" s="848"/>
      <c r="Q4" s="847"/>
      <c r="R4" s="849"/>
      <c r="S4" s="791"/>
      <c r="T4" s="849"/>
      <c r="U4" s="72"/>
      <c r="V4" s="849"/>
      <c r="W4" s="72"/>
      <c r="X4" s="850"/>
      <c r="Y4" s="72"/>
      <c r="Z4" s="850"/>
      <c r="AA4" s="72"/>
      <c r="AB4" s="850"/>
      <c r="AC4" s="72"/>
      <c r="AD4" s="850"/>
      <c r="AE4" s="72"/>
    </row>
    <row r="5" spans="1:31" ht="15" customHeight="1">
      <c r="A5" s="789" t="s">
        <v>1223</v>
      </c>
      <c r="B5" s="789"/>
      <c r="C5" s="790" t="s">
        <v>530</v>
      </c>
      <c r="D5" s="791" t="s">
        <v>502</v>
      </c>
      <c r="E5" s="790" t="s">
        <v>503</v>
      </c>
      <c r="F5" s="791" t="s">
        <v>504</v>
      </c>
      <c r="G5" s="790" t="s">
        <v>505</v>
      </c>
      <c r="H5" s="851" t="s">
        <v>506</v>
      </c>
      <c r="I5" s="852" t="s">
        <v>507</v>
      </c>
      <c r="J5" s="791" t="s">
        <v>508</v>
      </c>
      <c r="K5" s="790" t="s">
        <v>509</v>
      </c>
      <c r="L5" s="791" t="s">
        <v>510</v>
      </c>
      <c r="M5" s="790" t="s">
        <v>511</v>
      </c>
      <c r="N5" s="851" t="s">
        <v>512</v>
      </c>
      <c r="O5" s="852" t="s">
        <v>513</v>
      </c>
      <c r="P5" s="851" t="s">
        <v>514</v>
      </c>
      <c r="Q5" s="791"/>
      <c r="R5" s="852" t="s">
        <v>515</v>
      </c>
      <c r="S5" s="791" t="s">
        <v>516</v>
      </c>
      <c r="T5" s="852" t="s">
        <v>517</v>
      </c>
      <c r="U5" s="791" t="s">
        <v>518</v>
      </c>
      <c r="V5" s="852" t="s">
        <v>519</v>
      </c>
      <c r="W5" s="853" t="s">
        <v>520</v>
      </c>
      <c r="X5" s="254" t="s">
        <v>521</v>
      </c>
      <c r="Y5" s="853" t="s">
        <v>522</v>
      </c>
      <c r="Z5" s="254" t="s">
        <v>523</v>
      </c>
      <c r="AA5" s="853" t="s">
        <v>524</v>
      </c>
      <c r="AB5" s="254" t="s">
        <v>525</v>
      </c>
      <c r="AC5" s="853" t="s">
        <v>526</v>
      </c>
      <c r="AD5" s="254" t="s">
        <v>527</v>
      </c>
      <c r="AE5" s="853" t="s">
        <v>2089</v>
      </c>
    </row>
    <row r="6" spans="1:31" ht="15" customHeight="1">
      <c r="A6" s="789"/>
      <c r="B6" s="789"/>
      <c r="C6" s="790"/>
      <c r="D6" s="791"/>
      <c r="E6" s="790"/>
      <c r="F6" s="791"/>
      <c r="G6" s="790"/>
      <c r="H6" s="851"/>
      <c r="I6" s="852"/>
      <c r="J6" s="791"/>
      <c r="K6" s="790"/>
      <c r="L6" s="791"/>
      <c r="M6" s="790"/>
      <c r="N6" s="851"/>
      <c r="O6" s="852"/>
      <c r="P6" s="851"/>
      <c r="Q6" s="791"/>
      <c r="R6" s="852"/>
      <c r="S6" s="791"/>
      <c r="T6" s="852"/>
      <c r="U6" s="791"/>
      <c r="V6" s="852"/>
      <c r="W6" s="853"/>
      <c r="X6" s="254"/>
      <c r="Y6" s="853"/>
      <c r="Z6" s="254"/>
      <c r="AA6" s="853"/>
      <c r="AB6" s="254"/>
      <c r="AC6" s="853"/>
      <c r="AD6" s="254"/>
      <c r="AE6" s="853"/>
    </row>
    <row r="7" spans="1:31" ht="15" customHeight="1">
      <c r="A7" s="789"/>
      <c r="B7" s="789"/>
      <c r="C7" s="790"/>
      <c r="D7" s="791" t="s">
        <v>1304</v>
      </c>
      <c r="E7" s="790" t="s">
        <v>1305</v>
      </c>
      <c r="F7" s="791" t="s">
        <v>1306</v>
      </c>
      <c r="G7" s="790" t="s">
        <v>1307</v>
      </c>
      <c r="H7" s="851" t="s">
        <v>872</v>
      </c>
      <c r="I7" s="852" t="s">
        <v>1308</v>
      </c>
      <c r="J7" s="791" t="s">
        <v>1309</v>
      </c>
      <c r="K7" s="790" t="s">
        <v>1310</v>
      </c>
      <c r="L7" s="791" t="s">
        <v>1311</v>
      </c>
      <c r="M7" s="790" t="s">
        <v>1312</v>
      </c>
      <c r="N7" s="851" t="s">
        <v>1313</v>
      </c>
      <c r="O7" s="852" t="s">
        <v>1314</v>
      </c>
      <c r="P7" s="851" t="s">
        <v>1315</v>
      </c>
      <c r="Q7" s="791"/>
      <c r="R7" s="852" t="s">
        <v>1316</v>
      </c>
      <c r="S7" s="791" t="s">
        <v>1317</v>
      </c>
      <c r="T7" s="852" t="s">
        <v>1318</v>
      </c>
      <c r="U7" s="791" t="s">
        <v>1319</v>
      </c>
      <c r="V7" s="852" t="s">
        <v>1320</v>
      </c>
      <c r="W7" s="853" t="s">
        <v>1321</v>
      </c>
      <c r="X7" s="254" t="s">
        <v>1322</v>
      </c>
      <c r="Y7" s="853" t="s">
        <v>1323</v>
      </c>
      <c r="Z7" s="254" t="s">
        <v>1324</v>
      </c>
      <c r="AA7" s="853" t="s">
        <v>1325</v>
      </c>
      <c r="AB7" s="254" t="s">
        <v>1326</v>
      </c>
      <c r="AC7" s="853" t="s">
        <v>1327</v>
      </c>
      <c r="AD7" s="254" t="s">
        <v>1328</v>
      </c>
      <c r="AE7" s="853" t="s">
        <v>1329</v>
      </c>
    </row>
    <row r="8" spans="1:31" s="185" customFormat="1" ht="21" customHeight="1">
      <c r="A8" s="854"/>
      <c r="B8" s="854"/>
      <c r="C8" s="855"/>
      <c r="D8" s="856"/>
      <c r="E8" s="855"/>
      <c r="F8" s="856"/>
      <c r="G8" s="855"/>
      <c r="H8" s="857"/>
      <c r="I8" s="858"/>
      <c r="J8" s="856"/>
      <c r="K8" s="855"/>
      <c r="L8" s="856"/>
      <c r="M8" s="855"/>
      <c r="N8" s="857"/>
      <c r="O8" s="858"/>
      <c r="P8" s="857"/>
      <c r="Q8" s="854"/>
      <c r="R8" s="858"/>
      <c r="S8" s="856"/>
      <c r="T8" s="858"/>
      <c r="U8" s="856"/>
      <c r="V8" s="858"/>
      <c r="W8" s="856"/>
      <c r="X8" s="855"/>
      <c r="Y8" s="856"/>
      <c r="Z8" s="855"/>
      <c r="AA8" s="856"/>
      <c r="AB8" s="855"/>
      <c r="AC8" s="856"/>
      <c r="AD8" s="855"/>
      <c r="AE8" s="856"/>
    </row>
    <row r="9" spans="1:31" ht="14" thickBot="1">
      <c r="A9" s="825">
        <v>8</v>
      </c>
      <c r="B9" s="799" t="s">
        <v>1334</v>
      </c>
      <c r="C9" s="1396">
        <v>0.10531004620723507</v>
      </c>
      <c r="D9" s="1397">
        <v>7.8909349713254376E-2</v>
      </c>
      <c r="E9" s="1396">
        <v>1.919159833198486E-2</v>
      </c>
      <c r="F9" s="1397">
        <v>0.23697100062403645</v>
      </c>
      <c r="G9" s="1396">
        <v>0.10141865126612473</v>
      </c>
      <c r="H9" s="1397">
        <v>0.28086028916372774</v>
      </c>
      <c r="I9" s="1396">
        <v>0.22472771664696631</v>
      </c>
      <c r="J9" s="1397">
        <v>0.2199042901754889</v>
      </c>
      <c r="K9" s="1396">
        <v>3.0131924898942519E-2</v>
      </c>
      <c r="L9" s="1397">
        <v>0.2182477395048027</v>
      </c>
      <c r="M9" s="1396">
        <v>0.27398239969619176</v>
      </c>
      <c r="N9" s="1397">
        <v>9.893558375532055E-2</v>
      </c>
      <c r="O9" s="1396">
        <v>2.9039411374556106E-2</v>
      </c>
      <c r="P9" s="1397">
        <v>8.571856540861629E-2</v>
      </c>
      <c r="Q9" s="1397" t="s">
        <v>390</v>
      </c>
      <c r="R9" s="1396">
        <v>2.8693835967836447E-2</v>
      </c>
      <c r="S9" s="1397">
        <v>4.0122460978110452E-2</v>
      </c>
      <c r="T9" s="1396">
        <v>0.13660207126867413</v>
      </c>
      <c r="U9" s="1397">
        <v>0.14552713165055584</v>
      </c>
      <c r="V9" s="1396">
        <v>2.5417177645465128E-2</v>
      </c>
      <c r="W9" s="1397">
        <v>0.14586514810259515</v>
      </c>
      <c r="X9" s="1396">
        <v>8.9512663839242182E-2</v>
      </c>
      <c r="Y9" s="1397">
        <v>4.7950106605600326E-2</v>
      </c>
      <c r="Z9" s="1396">
        <v>7.5269341646747215E-2</v>
      </c>
      <c r="AA9" s="1397">
        <v>0.11526366260427059</v>
      </c>
      <c r="AB9" s="1396">
        <v>0.13243672738830062</v>
      </c>
      <c r="AC9" s="1397">
        <v>0.1344794703570153</v>
      </c>
      <c r="AD9" s="1396">
        <v>0.13274367504119214</v>
      </c>
      <c r="AE9" s="1397" t="s">
        <v>390</v>
      </c>
    </row>
    <row r="10" spans="1:31" ht="14" thickBot="1">
      <c r="A10" s="825">
        <v>32</v>
      </c>
      <c r="B10" s="799" t="s">
        <v>1238</v>
      </c>
      <c r="C10" s="1396">
        <v>4.9743408786955519E-3</v>
      </c>
      <c r="D10" s="1397">
        <v>7.6485979711481602E-3</v>
      </c>
      <c r="E10" s="1396">
        <v>4.7409730909402797E-4</v>
      </c>
      <c r="F10" s="1397">
        <v>6.4141429396805539E-4</v>
      </c>
      <c r="G10" s="1396">
        <v>3.9465002730799937E-4</v>
      </c>
      <c r="H10" s="1397">
        <v>9.6170789535942377E-3</v>
      </c>
      <c r="I10" s="1396">
        <v>2.5586490333104114E-2</v>
      </c>
      <c r="J10" s="1397">
        <v>1.9860948236582236E-2</v>
      </c>
      <c r="K10" s="1396">
        <v>1.0564768694564425E-2</v>
      </c>
      <c r="L10" s="1397">
        <v>1.9889993018980764E-3</v>
      </c>
      <c r="M10" s="1396">
        <v>5.0258395957441767E-4</v>
      </c>
      <c r="N10" s="1397">
        <v>1.084338586087658E-3</v>
      </c>
      <c r="O10" s="1396">
        <v>8.2554208099499735E-4</v>
      </c>
      <c r="P10" s="1397">
        <v>1.0133125015584204E-3</v>
      </c>
      <c r="Q10" s="1397" t="s">
        <v>390</v>
      </c>
      <c r="R10" s="1396">
        <v>1.6240972989256589E-3</v>
      </c>
      <c r="S10" s="1397">
        <v>6.5411061087643641E-4</v>
      </c>
      <c r="T10" s="1398">
        <v>3.886305716837593E-4</v>
      </c>
      <c r="U10" s="1399">
        <v>6.3556975985648849E-4</v>
      </c>
      <c r="V10" s="1398">
        <v>1.1421368204910003E-2</v>
      </c>
      <c r="W10" s="1397">
        <v>3.0730373209692578E-2</v>
      </c>
      <c r="X10" s="1396">
        <v>1.4334918279593184E-3</v>
      </c>
      <c r="Y10" s="1399">
        <v>9.4353547030185129E-4</v>
      </c>
      <c r="Z10" s="1396">
        <v>6.3545031567956698E-4</v>
      </c>
      <c r="AA10" s="1397">
        <v>2.515708174440222E-4</v>
      </c>
      <c r="AB10" s="1398">
        <v>1.4125002587126627E-4</v>
      </c>
      <c r="AC10" s="1399">
        <v>5.7117707956039633E-4</v>
      </c>
      <c r="AD10" s="1398">
        <v>9.761169287680065E-5</v>
      </c>
      <c r="AE10" s="1399" t="s">
        <v>390</v>
      </c>
    </row>
    <row r="11" spans="1:31" ht="14" thickBot="1">
      <c r="A11" s="825">
        <v>57</v>
      </c>
      <c r="B11" s="799" t="s">
        <v>1239</v>
      </c>
      <c r="C11" s="1396">
        <v>8.0643274040415286E-4</v>
      </c>
      <c r="D11" s="1397">
        <v>1.9436558707057984E-4</v>
      </c>
      <c r="E11" s="1396">
        <v>3.0312162142024306E-4</v>
      </c>
      <c r="F11" s="1397">
        <v>5.7691553786345625E-4</v>
      </c>
      <c r="G11" s="1396">
        <v>1.6710657472462922E-4</v>
      </c>
      <c r="H11" s="1397">
        <v>5.0175833862121313E-5</v>
      </c>
      <c r="I11" s="1396">
        <v>8.9444298833944475E-4</v>
      </c>
      <c r="J11" s="1397">
        <v>5.5566588341936479E-4</v>
      </c>
      <c r="K11" s="1396">
        <v>1.2589695284051224E-4</v>
      </c>
      <c r="L11" s="1397">
        <v>7.9362628776072594E-5</v>
      </c>
      <c r="M11" s="1396">
        <v>3.3138335277166489E-4</v>
      </c>
      <c r="N11" s="1397">
        <v>3.9925959558753527E-3</v>
      </c>
      <c r="O11" s="1396">
        <v>1.6359366008708201E-3</v>
      </c>
      <c r="P11" s="1397">
        <v>2.1581023001940461E-3</v>
      </c>
      <c r="Q11" s="1397" t="s">
        <v>390</v>
      </c>
      <c r="R11" s="1396">
        <v>7.3584110541506103E-5</v>
      </c>
      <c r="S11" s="1397">
        <v>5.5152665335281318E-5</v>
      </c>
      <c r="T11" s="1398" t="s">
        <v>390</v>
      </c>
      <c r="U11" s="1399">
        <v>8.247368998490887E-5</v>
      </c>
      <c r="V11" s="1398">
        <v>9.5741600072924866E-5</v>
      </c>
      <c r="W11" s="1397">
        <v>1.1225832275624191E-3</v>
      </c>
      <c r="X11" s="1396">
        <v>1.0088366040579368E-4</v>
      </c>
      <c r="Y11" s="1399">
        <v>3.8306515307863839E-4</v>
      </c>
      <c r="Z11" s="1396">
        <v>1.4451257227686555E-3</v>
      </c>
      <c r="AA11" s="1397">
        <v>1.6303823711940051E-3</v>
      </c>
      <c r="AB11" s="1398">
        <v>1.6398838812513129E-4</v>
      </c>
      <c r="AC11" s="1399">
        <v>2.3259296674954582E-3</v>
      </c>
      <c r="AD11" s="1398">
        <v>8.0181033434514824E-5</v>
      </c>
      <c r="AE11" s="1399" t="s">
        <v>390</v>
      </c>
    </row>
    <row r="12" spans="1:31" ht="14" thickBot="1">
      <c r="A12" s="825">
        <v>62</v>
      </c>
      <c r="B12" s="799" t="s">
        <v>1335</v>
      </c>
      <c r="C12" s="1396">
        <v>7.4625534600681843E-3</v>
      </c>
      <c r="D12" s="1397">
        <v>7.381494255251969E-4</v>
      </c>
      <c r="E12" s="1396">
        <v>1.2279650579707901E-2</v>
      </c>
      <c r="F12" s="1397">
        <v>3.7125987870172161E-4</v>
      </c>
      <c r="G12" s="1396">
        <v>5.2917081996132597E-4</v>
      </c>
      <c r="H12" s="1397">
        <v>4.6502009614960717E-4</v>
      </c>
      <c r="I12" s="1396">
        <v>3.2064425915320094E-4</v>
      </c>
      <c r="J12" s="1397">
        <v>5.0734711094811572E-4</v>
      </c>
      <c r="K12" s="1396">
        <v>7.3448282287154841E-4</v>
      </c>
      <c r="L12" s="1397">
        <v>3.4594620710856079E-4</v>
      </c>
      <c r="M12" s="1396">
        <v>2.7485325141649855E-3</v>
      </c>
      <c r="N12" s="1397">
        <v>5.6348058911061846E-4</v>
      </c>
      <c r="O12" s="1396">
        <v>1.3299668427570648E-3</v>
      </c>
      <c r="P12" s="1397">
        <v>1.9331939714999347E-2</v>
      </c>
      <c r="Q12" s="1397" t="s">
        <v>390</v>
      </c>
      <c r="R12" s="1396">
        <v>5.6627772025419907E-4</v>
      </c>
      <c r="S12" s="1397">
        <v>1.0319615210884488E-2</v>
      </c>
      <c r="T12" s="1398">
        <v>2.7273425857223302E-4</v>
      </c>
      <c r="U12" s="1399">
        <v>3.0810309717271741E-4</v>
      </c>
      <c r="V12" s="1398">
        <v>6.7900950578034876E-4</v>
      </c>
      <c r="W12" s="1397">
        <v>5.2696411577595381E-4</v>
      </c>
      <c r="X12" s="1396">
        <v>3.9293566809894641E-4</v>
      </c>
      <c r="Y12" s="1399">
        <v>1.7796645429091089E-2</v>
      </c>
      <c r="Z12" s="1396">
        <v>3.7287681777040511E-2</v>
      </c>
      <c r="AA12" s="1397">
        <v>3.5156252617673705E-3</v>
      </c>
      <c r="AB12" s="1398">
        <v>5.1860477182393699E-3</v>
      </c>
      <c r="AC12" s="1399">
        <v>7.2108446106416875E-3</v>
      </c>
      <c r="AD12" s="1398">
        <v>2.0289287590820708E-3</v>
      </c>
      <c r="AE12" s="1399" t="s">
        <v>390</v>
      </c>
    </row>
    <row r="13" spans="1:31" ht="14" thickBot="1">
      <c r="A13" s="825">
        <v>134</v>
      </c>
      <c r="B13" s="799" t="s">
        <v>1336</v>
      </c>
      <c r="C13" s="1396">
        <v>4.5085040150165195E-4</v>
      </c>
      <c r="D13" s="1397">
        <v>8.5535045580184375E-5</v>
      </c>
      <c r="E13" s="1396" t="s">
        <v>390</v>
      </c>
      <c r="F13" s="1397">
        <v>3.3187681997224942E-5</v>
      </c>
      <c r="G13" s="1396">
        <v>6.015836690086653E-5</v>
      </c>
      <c r="H13" s="1397">
        <v>2.2690531475936054E-2</v>
      </c>
      <c r="I13" s="1396" t="s">
        <v>390</v>
      </c>
      <c r="J13" s="1397">
        <v>1.2079693117812278E-4</v>
      </c>
      <c r="K13" s="1396">
        <v>2.5179390568102447E-4</v>
      </c>
      <c r="L13" s="1397">
        <v>2.0270219118261626E-4</v>
      </c>
      <c r="M13" s="1396" t="s">
        <v>390</v>
      </c>
      <c r="N13" s="1397" t="s">
        <v>390</v>
      </c>
      <c r="O13" s="1396" t="s">
        <v>390</v>
      </c>
      <c r="P13" s="1397" t="s">
        <v>390</v>
      </c>
      <c r="Q13" s="1397" t="s">
        <v>390</v>
      </c>
      <c r="R13" s="1396" t="s">
        <v>390</v>
      </c>
      <c r="S13" s="1397" t="s">
        <v>390</v>
      </c>
      <c r="T13" s="1398" t="s">
        <v>390</v>
      </c>
      <c r="U13" s="1399">
        <v>5.1357317588326476E-5</v>
      </c>
      <c r="V13" s="1398" t="s">
        <v>390</v>
      </c>
      <c r="W13" s="1397" t="s">
        <v>390</v>
      </c>
      <c r="X13" s="1396" t="s">
        <v>390</v>
      </c>
      <c r="Y13" s="1399" t="s">
        <v>390</v>
      </c>
      <c r="Z13" s="1396" t="s">
        <v>390</v>
      </c>
      <c r="AA13" s="1397" t="s">
        <v>390</v>
      </c>
      <c r="AB13" s="1398" t="s">
        <v>390</v>
      </c>
      <c r="AC13" s="1399" t="s">
        <v>390</v>
      </c>
      <c r="AD13" s="1398" t="s">
        <v>390</v>
      </c>
      <c r="AE13" s="1399" t="s">
        <v>390</v>
      </c>
    </row>
    <row r="14" spans="1:31" ht="14" thickBot="1">
      <c r="A14" s="825">
        <v>182</v>
      </c>
      <c r="B14" s="799" t="s">
        <v>1242</v>
      </c>
      <c r="C14" s="1396">
        <v>7.6993291224075767E-3</v>
      </c>
      <c r="D14" s="1397">
        <v>2.220142337040611E-2</v>
      </c>
      <c r="E14" s="1396">
        <v>1.4209436020614927E-3</v>
      </c>
      <c r="F14" s="1397">
        <v>4.2735760112956383E-3</v>
      </c>
      <c r="G14" s="1396">
        <v>4.2564829691941813E-3</v>
      </c>
      <c r="H14" s="1397">
        <v>1.0329734662511914E-2</v>
      </c>
      <c r="I14" s="1396">
        <v>4.7047701186654798E-3</v>
      </c>
      <c r="J14" s="1397">
        <v>4.6789483322534076E-3</v>
      </c>
      <c r="K14" s="1396">
        <v>6.5549507465941098E-3</v>
      </c>
      <c r="L14" s="1397">
        <v>2.7708870657883865E-3</v>
      </c>
      <c r="M14" s="1396">
        <v>9.684530167394529E-4</v>
      </c>
      <c r="N14" s="1397">
        <v>1.5314102747310342E-2</v>
      </c>
      <c r="O14" s="1396">
        <v>8.1544370691554781E-4</v>
      </c>
      <c r="P14" s="1397">
        <v>1.168928350012035E-3</v>
      </c>
      <c r="Q14" s="1397" t="s">
        <v>390</v>
      </c>
      <c r="R14" s="1396">
        <v>1.4963168913157566E-2</v>
      </c>
      <c r="S14" s="1397">
        <v>7.3996492658169096E-3</v>
      </c>
      <c r="T14" s="1398">
        <v>1.4801974772396019E-3</v>
      </c>
      <c r="U14" s="1399">
        <v>1.9023999170447715E-2</v>
      </c>
      <c r="V14" s="1398">
        <v>1.0455990534279952E-3</v>
      </c>
      <c r="W14" s="1397">
        <v>6.3588893757858759E-3</v>
      </c>
      <c r="X14" s="1396">
        <v>1.5297258656730966E-2</v>
      </c>
      <c r="Y14" s="1399">
        <v>1.8615976788763911E-4</v>
      </c>
      <c r="Z14" s="1396">
        <v>3.8357233684757934E-4</v>
      </c>
      <c r="AA14" s="1397">
        <v>3.436824716334789E-4</v>
      </c>
      <c r="AB14" s="1398">
        <v>4.1110505321825791E-4</v>
      </c>
      <c r="AC14" s="1399">
        <v>1.1018499040458592E-3</v>
      </c>
      <c r="AD14" s="1398">
        <v>2.312002668424793E-4</v>
      </c>
      <c r="AE14" s="1399" t="s">
        <v>390</v>
      </c>
    </row>
    <row r="15" spans="1:31" ht="14" thickBot="1">
      <c r="A15" s="825">
        <v>194</v>
      </c>
      <c r="B15" s="799" t="s">
        <v>1243</v>
      </c>
      <c r="C15" s="1396">
        <v>2.3566367132014298E-3</v>
      </c>
      <c r="D15" s="1397">
        <v>3.9198005877175553E-4</v>
      </c>
      <c r="E15" s="1396">
        <v>1.5905709645146864E-2</v>
      </c>
      <c r="F15" s="1397">
        <v>4.9251959673495937E-4</v>
      </c>
      <c r="G15" s="1396">
        <v>4.7346862838644948E-4</v>
      </c>
      <c r="H15" s="1397">
        <v>4.3794632827413534E-4</v>
      </c>
      <c r="I15" s="1396">
        <v>5.8057481243123962E-4</v>
      </c>
      <c r="J15" s="1397">
        <v>4.7110803159467889E-4</v>
      </c>
      <c r="K15" s="1396">
        <v>4.6153822911331794E-4</v>
      </c>
      <c r="L15" s="1397">
        <v>4.1118858253326359E-4</v>
      </c>
      <c r="M15" s="1396">
        <v>8.0630400637557833E-4</v>
      </c>
      <c r="N15" s="1397">
        <v>2.6094031696174262E-3</v>
      </c>
      <c r="O15" s="1396">
        <v>2.9779227040811426E-4</v>
      </c>
      <c r="P15" s="1397">
        <v>8.9207689869339509E-4</v>
      </c>
      <c r="Q15" s="1397" t="s">
        <v>390</v>
      </c>
      <c r="R15" s="1396">
        <v>7.700097271795517E-4</v>
      </c>
      <c r="S15" s="1397">
        <v>5.6237334420208515E-4</v>
      </c>
      <c r="T15" s="1398">
        <v>1.5746781672761723E-4</v>
      </c>
      <c r="U15" s="1399">
        <v>1.7904666739672817E-4</v>
      </c>
      <c r="V15" s="1398">
        <v>4.7200608835951965E-4</v>
      </c>
      <c r="W15" s="1397">
        <v>8.2102427078563844E-4</v>
      </c>
      <c r="X15" s="1396">
        <v>5.347839743520314E-4</v>
      </c>
      <c r="Y15" s="1399" t="s">
        <v>390</v>
      </c>
      <c r="Z15" s="1396" t="s">
        <v>390</v>
      </c>
      <c r="AA15" s="1397">
        <v>1.9010212757817441E-4</v>
      </c>
      <c r="AB15" s="1398" t="s">
        <v>390</v>
      </c>
      <c r="AC15" s="1399" t="s">
        <v>390</v>
      </c>
      <c r="AD15" s="1398" t="s">
        <v>390</v>
      </c>
      <c r="AE15" s="1399" t="s">
        <v>390</v>
      </c>
    </row>
    <row r="16" spans="1:31" ht="14" thickBot="1">
      <c r="A16" s="825">
        <v>246</v>
      </c>
      <c r="B16" s="799" t="s">
        <v>1244</v>
      </c>
      <c r="C16" s="1396">
        <v>4.1481478329208425E-4</v>
      </c>
      <c r="D16" s="1397">
        <v>2.6701149864685026E-4</v>
      </c>
      <c r="E16" s="1396">
        <v>2.6467624080206997E-3</v>
      </c>
      <c r="F16" s="1397" t="s">
        <v>390</v>
      </c>
      <c r="G16" s="1396" t="s">
        <v>390</v>
      </c>
      <c r="H16" s="1397" t="s">
        <v>390</v>
      </c>
      <c r="I16" s="1396" t="s">
        <v>390</v>
      </c>
      <c r="J16" s="1397" t="s">
        <v>390</v>
      </c>
      <c r="K16" s="1396" t="s">
        <v>390</v>
      </c>
      <c r="L16" s="1397" t="s">
        <v>390</v>
      </c>
      <c r="M16" s="1396" t="s">
        <v>390</v>
      </c>
      <c r="N16" s="1397">
        <v>7.7239615932668364E-4</v>
      </c>
      <c r="O16" s="1396" t="s">
        <v>390</v>
      </c>
      <c r="P16" s="1397" t="s">
        <v>390</v>
      </c>
      <c r="Q16" s="1397" t="s">
        <v>390</v>
      </c>
      <c r="R16" s="1396" t="s">
        <v>390</v>
      </c>
      <c r="S16" s="1397" t="s">
        <v>390</v>
      </c>
      <c r="T16" s="1398" t="s">
        <v>390</v>
      </c>
      <c r="U16" s="1399" t="s">
        <v>390</v>
      </c>
      <c r="V16" s="1398" t="s">
        <v>390</v>
      </c>
      <c r="W16" s="1397">
        <v>2.0216832579231139E-4</v>
      </c>
      <c r="X16" s="1396" t="s">
        <v>390</v>
      </c>
      <c r="Y16" s="1399" t="s">
        <v>390</v>
      </c>
      <c r="Z16" s="1396" t="s">
        <v>390</v>
      </c>
      <c r="AA16" s="1397" t="s">
        <v>390</v>
      </c>
      <c r="AB16" s="1398" t="s">
        <v>390</v>
      </c>
      <c r="AC16" s="1399" t="s">
        <v>390</v>
      </c>
      <c r="AD16" s="1398" t="s">
        <v>390</v>
      </c>
      <c r="AE16" s="1399" t="s">
        <v>390</v>
      </c>
    </row>
    <row r="17" spans="1:31" ht="14" thickBot="1">
      <c r="A17" s="825">
        <v>290</v>
      </c>
      <c r="B17" s="799" t="s">
        <v>1337</v>
      </c>
      <c r="C17" s="1396">
        <v>6.7398984983993687E-2</v>
      </c>
      <c r="D17" s="1397">
        <v>4.7419648929357384E-2</v>
      </c>
      <c r="E17" s="1396">
        <v>2.5421132528586431E-2</v>
      </c>
      <c r="F17" s="1397">
        <v>0.24488956612439985</v>
      </c>
      <c r="G17" s="1396">
        <v>0.24404299874976429</v>
      </c>
      <c r="H17" s="1397">
        <v>0.15931879752224054</v>
      </c>
      <c r="I17" s="1396">
        <v>0.26957075138902925</v>
      </c>
      <c r="J17" s="1397">
        <v>0.29096356812874435</v>
      </c>
      <c r="K17" s="1396">
        <v>7.3884641125700048E-2</v>
      </c>
      <c r="L17" s="1397">
        <v>0.16789704259799729</v>
      </c>
      <c r="M17" s="1396">
        <v>5.7807325684135415E-2</v>
      </c>
      <c r="N17" s="1397">
        <v>4.4505694122649812E-2</v>
      </c>
      <c r="O17" s="1396">
        <v>3.561411148989161E-2</v>
      </c>
      <c r="P17" s="1397">
        <v>5.8367089607622609E-2</v>
      </c>
      <c r="Q17" s="1397" t="s">
        <v>390</v>
      </c>
      <c r="R17" s="1396">
        <v>5.3942527866302659E-2</v>
      </c>
      <c r="S17" s="1397">
        <v>3.0208401699658067E-2</v>
      </c>
      <c r="T17" s="1398">
        <v>0.10357729087329133</v>
      </c>
      <c r="U17" s="1399">
        <v>7.3377507155796454E-2</v>
      </c>
      <c r="V17" s="1398">
        <v>3.215149062364718E-2</v>
      </c>
      <c r="W17" s="1397">
        <v>0.14160159093065922</v>
      </c>
      <c r="X17" s="1396">
        <v>5.7369845378770178E-2</v>
      </c>
      <c r="Y17" s="1399">
        <v>4.5288999863820525E-2</v>
      </c>
      <c r="Z17" s="1396">
        <v>3.3196142906995942E-2</v>
      </c>
      <c r="AA17" s="1397">
        <v>3.4535260456972493E-2</v>
      </c>
      <c r="AB17" s="1398">
        <v>3.8070199164804641E-2</v>
      </c>
      <c r="AC17" s="1399">
        <v>2.2408799846662136E-2</v>
      </c>
      <c r="AD17" s="1398">
        <v>5.752117615954324E-2</v>
      </c>
      <c r="AE17" s="1399" t="s">
        <v>390</v>
      </c>
    </row>
    <row r="18" spans="1:31" ht="14" thickBot="1">
      <c r="A18" s="825">
        <v>294</v>
      </c>
      <c r="B18" s="799" t="s">
        <v>1246</v>
      </c>
      <c r="C18" s="1396">
        <v>1.0699001643724565E-3</v>
      </c>
      <c r="D18" s="1397">
        <v>6.0639225712195066E-4</v>
      </c>
      <c r="E18" s="1396">
        <v>2.1122420172128606E-4</v>
      </c>
      <c r="F18" s="1397">
        <v>9.0274351076061118E-3</v>
      </c>
      <c r="G18" s="1396">
        <v>3.7125510684655127E-4</v>
      </c>
      <c r="H18" s="1397">
        <v>2.019610410466123E-4</v>
      </c>
      <c r="I18" s="1396">
        <v>1.380288157005643E-2</v>
      </c>
      <c r="J18" s="1397">
        <v>8.8684274993730619E-3</v>
      </c>
      <c r="K18" s="1396">
        <v>3.5754734606705473E-5</v>
      </c>
      <c r="L18" s="1397">
        <v>7.4003737443926207E-4</v>
      </c>
      <c r="M18" s="1396">
        <v>1.2346784355952978E-4</v>
      </c>
      <c r="N18" s="1397">
        <v>1.482060410446023E-4</v>
      </c>
      <c r="O18" s="1396">
        <v>1.481826631223569E-4</v>
      </c>
      <c r="P18" s="1397">
        <v>4.5989911677872883E-4</v>
      </c>
      <c r="Q18" s="1397" t="s">
        <v>390</v>
      </c>
      <c r="R18" s="1396">
        <v>1.6853960623158877E-4</v>
      </c>
      <c r="S18" s="1397">
        <v>1.0718001296823003E-4</v>
      </c>
      <c r="T18" s="1398">
        <v>6.2987126691046893E-5</v>
      </c>
      <c r="U18" s="1399">
        <v>4.0808357241419524E-5</v>
      </c>
      <c r="V18" s="1398">
        <v>7.094956468562011E-5</v>
      </c>
      <c r="W18" s="1397">
        <v>2.0506229613814226E-3</v>
      </c>
      <c r="X18" s="1396">
        <v>1.1530445358036419E-3</v>
      </c>
      <c r="Y18" s="1399">
        <v>1.7567766708490638E-5</v>
      </c>
      <c r="Z18" s="1396">
        <v>6.2986644197268632E-5</v>
      </c>
      <c r="AA18" s="1397">
        <v>2.6675522869185429E-3</v>
      </c>
      <c r="AB18" s="1398">
        <v>9.2473120108735871E-4</v>
      </c>
      <c r="AC18" s="1399">
        <v>1.2537582096295756E-5</v>
      </c>
      <c r="AD18" s="1398">
        <v>6.1355921236846132E-4</v>
      </c>
      <c r="AE18" s="1399" t="s">
        <v>390</v>
      </c>
    </row>
    <row r="19" spans="1:31" ht="14" thickBot="1">
      <c r="A19" s="825">
        <v>312</v>
      </c>
      <c r="B19" s="799" t="s">
        <v>1338</v>
      </c>
      <c r="C19" s="1396">
        <v>2.0921181985826518E-2</v>
      </c>
      <c r="D19" s="1397">
        <v>4.2636999914103184E-2</v>
      </c>
      <c r="E19" s="1396">
        <v>2.3388834122400417E-2</v>
      </c>
      <c r="F19" s="1397">
        <v>1.9152762951647143E-2</v>
      </c>
      <c r="G19" s="1396">
        <v>2.8693591435008211E-2</v>
      </c>
      <c r="H19" s="1397">
        <v>1.1711555944664661E-2</v>
      </c>
      <c r="I19" s="1396">
        <v>9.2336331162908673E-3</v>
      </c>
      <c r="J19" s="1397">
        <v>7.8155614472245442E-3</v>
      </c>
      <c r="K19" s="1396">
        <v>1.015560359783276E-2</v>
      </c>
      <c r="L19" s="1397">
        <v>8.5459005629642919E-3</v>
      </c>
      <c r="M19" s="1396">
        <v>2.0092340522142864E-2</v>
      </c>
      <c r="N19" s="1397">
        <v>1.8500303681199193E-2</v>
      </c>
      <c r="O19" s="1396">
        <v>8.1363258547738557E-3</v>
      </c>
      <c r="P19" s="1397">
        <v>2.3107433526609426E-2</v>
      </c>
      <c r="Q19" s="1397" t="s">
        <v>390</v>
      </c>
      <c r="R19" s="1396">
        <v>1.2067794128807001E-2</v>
      </c>
      <c r="S19" s="1397">
        <v>6.860440041055643E-3</v>
      </c>
      <c r="T19" s="1398">
        <v>3.238798054453631E-3</v>
      </c>
      <c r="U19" s="1399">
        <v>2.1808659447709079E-2</v>
      </c>
      <c r="V19" s="1398">
        <v>1.9657665326972933E-2</v>
      </c>
      <c r="W19" s="1397">
        <v>1.8728367689818299E-2</v>
      </c>
      <c r="X19" s="1396">
        <v>1.5211847950375142E-2</v>
      </c>
      <c r="Y19" s="1399">
        <v>2.871035698024027E-2</v>
      </c>
      <c r="Z19" s="1396">
        <v>7.3460454677137695E-3</v>
      </c>
      <c r="AA19" s="1397">
        <v>1.1204267888713768E-2</v>
      </c>
      <c r="AB19" s="1398">
        <v>5.9837049297733333E-3</v>
      </c>
      <c r="AC19" s="1399">
        <v>2.8109397852316819E-3</v>
      </c>
      <c r="AD19" s="1398">
        <v>1.5739885476384104E-2</v>
      </c>
      <c r="AE19" s="1399" t="s">
        <v>390</v>
      </c>
    </row>
    <row r="20" spans="1:31" ht="14" thickBot="1">
      <c r="A20" s="825">
        <v>343</v>
      </c>
      <c r="B20" s="799" t="s">
        <v>1248</v>
      </c>
      <c r="C20" s="1396">
        <v>2.8067852690245636E-2</v>
      </c>
      <c r="D20" s="1397">
        <v>2.4185747048070874E-3</v>
      </c>
      <c r="E20" s="1396">
        <v>2.6137213966262549E-2</v>
      </c>
      <c r="F20" s="1397">
        <v>3.6123416531758705E-2</v>
      </c>
      <c r="G20" s="1396">
        <v>5.3573810834800381E-2</v>
      </c>
      <c r="H20" s="1397">
        <v>2.012328957003282E-3</v>
      </c>
      <c r="I20" s="1396">
        <v>3.6523088690527325E-3</v>
      </c>
      <c r="J20" s="1397">
        <v>4.1573471834262738E-3</v>
      </c>
      <c r="K20" s="1396">
        <v>5.7560086838682196E-2</v>
      </c>
      <c r="L20" s="1397">
        <v>5.076129005696841E-2</v>
      </c>
      <c r="M20" s="1396">
        <v>2.7246898633205546E-2</v>
      </c>
      <c r="N20" s="1397">
        <v>4.9478457065217423E-3</v>
      </c>
      <c r="O20" s="1396">
        <v>7.6319120695053533E-2</v>
      </c>
      <c r="P20" s="1397">
        <v>4.1383573994449294E-2</v>
      </c>
      <c r="Q20" s="1397" t="s">
        <v>390</v>
      </c>
      <c r="R20" s="1396">
        <v>6.0776636136299269E-3</v>
      </c>
      <c r="S20" s="1397">
        <v>4.9959122682875657E-3</v>
      </c>
      <c r="T20" s="1398">
        <v>1.2805282856289833E-3</v>
      </c>
      <c r="U20" s="1399">
        <v>4.8890105522046118E-2</v>
      </c>
      <c r="V20" s="1398">
        <v>1.2857089083477253E-2</v>
      </c>
      <c r="W20" s="1397">
        <v>7.6268800409749635E-2</v>
      </c>
      <c r="X20" s="1396">
        <v>2.1717064656833086E-3</v>
      </c>
      <c r="Y20" s="1399">
        <v>4.0205883685163488E-3</v>
      </c>
      <c r="Z20" s="1396">
        <v>4.9318501247687094E-2</v>
      </c>
      <c r="AA20" s="1397">
        <v>7.0865662523733825E-3</v>
      </c>
      <c r="AB20" s="1398">
        <v>2.9216810851132053E-3</v>
      </c>
      <c r="AC20" s="1399">
        <v>4.6775197405618037E-2</v>
      </c>
      <c r="AD20" s="1398">
        <v>4.1077789268068477E-3</v>
      </c>
      <c r="AE20" s="1399" t="s">
        <v>390</v>
      </c>
    </row>
    <row r="21" spans="1:31" ht="14" thickBot="1">
      <c r="A21" s="825">
        <v>360</v>
      </c>
      <c r="B21" s="799" t="s">
        <v>1249</v>
      </c>
      <c r="C21" s="1396">
        <v>2.6074617177578646E-3</v>
      </c>
      <c r="D21" s="1397">
        <v>6.3487319989889875E-4</v>
      </c>
      <c r="E21" s="1396">
        <v>1.4639491393212477E-3</v>
      </c>
      <c r="F21" s="1397">
        <v>4.0085090028978171E-2</v>
      </c>
      <c r="G21" s="1396">
        <v>4.6427776677659494E-4</v>
      </c>
      <c r="H21" s="1397">
        <v>4.2695795304839378E-4</v>
      </c>
      <c r="I21" s="1396">
        <v>1.0570689862193438E-3</v>
      </c>
      <c r="J21" s="1397">
        <v>2.1381056818527734E-3</v>
      </c>
      <c r="K21" s="1396" t="s">
        <v>390</v>
      </c>
      <c r="L21" s="1397">
        <v>1.2461548891419757E-3</v>
      </c>
      <c r="M21" s="1396" t="s">
        <v>390</v>
      </c>
      <c r="N21" s="1397">
        <v>3.9938551730109026E-3</v>
      </c>
      <c r="O21" s="1396" t="s">
        <v>390</v>
      </c>
      <c r="P21" s="1397">
        <v>1.4475892879406006E-5</v>
      </c>
      <c r="Q21" s="1397" t="s">
        <v>390</v>
      </c>
      <c r="R21" s="1396" t="s">
        <v>390</v>
      </c>
      <c r="S21" s="1397" t="s">
        <v>390</v>
      </c>
      <c r="T21" s="1398" t="s">
        <v>390</v>
      </c>
      <c r="U21" s="1399" t="s">
        <v>390</v>
      </c>
      <c r="V21" s="1398" t="s">
        <v>390</v>
      </c>
      <c r="W21" s="1397">
        <v>2.568654680934806E-3</v>
      </c>
      <c r="X21" s="1396">
        <v>3.0945908099936718E-7</v>
      </c>
      <c r="Y21" s="1399" t="s">
        <v>390</v>
      </c>
      <c r="Z21" s="1396" t="s">
        <v>390</v>
      </c>
      <c r="AA21" s="1397" t="s">
        <v>390</v>
      </c>
      <c r="AB21" s="1398" t="s">
        <v>390</v>
      </c>
      <c r="AC21" s="1399" t="s">
        <v>390</v>
      </c>
      <c r="AD21" s="1398" t="s">
        <v>390</v>
      </c>
      <c r="AE21" s="1399" t="s">
        <v>390</v>
      </c>
    </row>
    <row r="22" spans="1:31" ht="14" thickBot="1">
      <c r="A22" s="825">
        <v>376</v>
      </c>
      <c r="B22" s="799" t="s">
        <v>1250</v>
      </c>
      <c r="C22" s="1396">
        <v>4.8288150974808146E-2</v>
      </c>
      <c r="D22" s="1397">
        <v>2.5492394534873824E-2</v>
      </c>
      <c r="E22" s="1396">
        <v>0.13826370788167835</v>
      </c>
      <c r="F22" s="1397">
        <v>2.3992303336955876E-2</v>
      </c>
      <c r="G22" s="1396">
        <v>3.8768725336113981E-2</v>
      </c>
      <c r="H22" s="1397">
        <v>2.418104499977957E-2</v>
      </c>
      <c r="I22" s="1396">
        <v>6.4237269162560123E-3</v>
      </c>
      <c r="J22" s="1397">
        <v>5.696783274360271E-2</v>
      </c>
      <c r="K22" s="1396">
        <v>3.7416574384200235E-2</v>
      </c>
      <c r="L22" s="1397">
        <v>1.4554068363972154E-2</v>
      </c>
      <c r="M22" s="1396">
        <v>4.826162056324728E-2</v>
      </c>
      <c r="N22" s="1397">
        <v>3.1545297150250444E-2</v>
      </c>
      <c r="O22" s="1396">
        <v>4.8532566295963038E-2</v>
      </c>
      <c r="P22" s="1397">
        <v>5.1306183337834738E-2</v>
      </c>
      <c r="Q22" s="1397" t="s">
        <v>390</v>
      </c>
      <c r="R22" s="1396">
        <v>1.649563799791328E-2</v>
      </c>
      <c r="S22" s="1397">
        <v>4.1290962114347282E-2</v>
      </c>
      <c r="T22" s="1398">
        <v>1.7951331106948364E-2</v>
      </c>
      <c r="U22" s="1399">
        <v>5.5721771395296292E-2</v>
      </c>
      <c r="V22" s="1398">
        <v>3.6452354469870447E-2</v>
      </c>
      <c r="W22" s="1397">
        <v>2.0363342781823553E-2</v>
      </c>
      <c r="X22" s="1396">
        <v>2.286515784734074E-2</v>
      </c>
      <c r="Y22" s="1399">
        <v>8.8459561299486525E-2</v>
      </c>
      <c r="Z22" s="1396">
        <v>4.8878788342759528E-2</v>
      </c>
      <c r="AA22" s="1397">
        <v>2.7295388002371752E-2</v>
      </c>
      <c r="AB22" s="1398">
        <v>8.0746702866592995E-3</v>
      </c>
      <c r="AC22" s="1399">
        <v>2.6648144972200576E-2</v>
      </c>
      <c r="AD22" s="1398">
        <v>2.6773492903351036E-2</v>
      </c>
      <c r="AE22" s="1399">
        <v>0.43994624559045858</v>
      </c>
    </row>
    <row r="23" spans="1:31" ht="14" thickBot="1">
      <c r="A23" s="825">
        <v>455</v>
      </c>
      <c r="B23" s="799" t="s">
        <v>1339</v>
      </c>
      <c r="C23" s="1396">
        <v>1.8635950333581706E-2</v>
      </c>
      <c r="D23" s="1397">
        <v>1.5462044915943518E-2</v>
      </c>
      <c r="E23" s="1396">
        <v>3.3020887137421135E-3</v>
      </c>
      <c r="F23" s="1397">
        <v>1.3452450804916971E-2</v>
      </c>
      <c r="G23" s="1396">
        <v>1.2325223929772904E-2</v>
      </c>
      <c r="H23" s="1397">
        <v>1.3360606568903666E-2</v>
      </c>
      <c r="I23" s="1396">
        <v>1.9931442300160425E-2</v>
      </c>
      <c r="J23" s="1397">
        <v>4.5236034787583422E-3</v>
      </c>
      <c r="K23" s="1396">
        <v>4.6046810501417353E-2</v>
      </c>
      <c r="L23" s="1397">
        <v>1.4634962104557411E-2</v>
      </c>
      <c r="M23" s="1396">
        <v>5.8913349406301721E-4</v>
      </c>
      <c r="N23" s="1397">
        <v>1.2876067582412614E-3</v>
      </c>
      <c r="O23" s="1396">
        <v>1.5604732076140643E-3</v>
      </c>
      <c r="P23" s="1397">
        <v>1.3639548168298324E-3</v>
      </c>
      <c r="Q23" s="1397" t="s">
        <v>390</v>
      </c>
      <c r="R23" s="1396">
        <v>5.3037507292825206E-2</v>
      </c>
      <c r="S23" s="1397">
        <v>8.4707140266280737E-3</v>
      </c>
      <c r="T23" s="1398">
        <v>7.5584552029256272E-3</v>
      </c>
      <c r="U23" s="1399">
        <v>1.6007282169733017E-2</v>
      </c>
      <c r="V23" s="1398">
        <v>0.39128301957719203</v>
      </c>
      <c r="W23" s="1397">
        <v>1.9719958193234917E-3</v>
      </c>
      <c r="X23" s="1396">
        <v>2.5980869239612618E-2</v>
      </c>
      <c r="Y23" s="1399">
        <v>3.36613049940271E-2</v>
      </c>
      <c r="Z23" s="1396">
        <v>1.162817690172882E-3</v>
      </c>
      <c r="AA23" s="1397">
        <v>2.6812898385188883E-3</v>
      </c>
      <c r="AB23" s="1398">
        <v>1.8803094572024046E-4</v>
      </c>
      <c r="AC23" s="1399">
        <v>1.5479981436976236E-4</v>
      </c>
      <c r="AD23" s="1398">
        <v>1.8364942788392353E-4</v>
      </c>
      <c r="AE23" s="1399" t="s">
        <v>390</v>
      </c>
    </row>
    <row r="24" spans="1:31" ht="14" thickBot="1">
      <c r="A24" s="825">
        <v>509</v>
      </c>
      <c r="B24" s="799" t="s">
        <v>1252</v>
      </c>
      <c r="C24" s="1396">
        <v>1.6891400855376004E-2</v>
      </c>
      <c r="D24" s="1397">
        <v>1.0038259021469858E-2</v>
      </c>
      <c r="E24" s="1396">
        <v>7.8757084832728839E-3</v>
      </c>
      <c r="F24" s="1397">
        <v>1.8476875627812105E-2</v>
      </c>
      <c r="G24" s="1396">
        <v>1.6952126472940011E-2</v>
      </c>
      <c r="H24" s="1397">
        <v>1.3557272007431849E-2</v>
      </c>
      <c r="I24" s="1396">
        <v>1.5754393544615219E-2</v>
      </c>
      <c r="J24" s="1397">
        <v>1.7086725915145467E-2</v>
      </c>
      <c r="K24" s="1396">
        <v>5.747195897169384E-3</v>
      </c>
      <c r="L24" s="1397">
        <v>3.1377159367388829E-2</v>
      </c>
      <c r="M24" s="1396">
        <v>7.1878829024462666E-3</v>
      </c>
      <c r="N24" s="1397">
        <v>1.3204608780505825E-2</v>
      </c>
      <c r="O24" s="1396">
        <v>0.27449422375746779</v>
      </c>
      <c r="P24" s="1397">
        <v>6.7800848048470516E-2</v>
      </c>
      <c r="Q24" s="1397" t="s">
        <v>390</v>
      </c>
      <c r="R24" s="1396">
        <v>1.9857088139815439E-2</v>
      </c>
      <c r="S24" s="1397">
        <v>6.8848910560209507E-3</v>
      </c>
      <c r="T24" s="1398">
        <v>5.3381589870662239E-3</v>
      </c>
      <c r="U24" s="1399">
        <v>7.5017595033329103E-3</v>
      </c>
      <c r="V24" s="1398">
        <v>2.0819766790594932E-3</v>
      </c>
      <c r="W24" s="1397">
        <v>1.3951820009600983E-2</v>
      </c>
      <c r="X24" s="1396">
        <v>1.3731279659718794E-2</v>
      </c>
      <c r="Y24" s="1399">
        <v>9.9331080930924144E-4</v>
      </c>
      <c r="Z24" s="1396">
        <v>1.1534746484176347E-3</v>
      </c>
      <c r="AA24" s="1397">
        <v>1.4867015931478188E-3</v>
      </c>
      <c r="AB24" s="1398">
        <v>1.1411709235886124E-3</v>
      </c>
      <c r="AC24" s="1399">
        <v>1.3663419957230653E-3</v>
      </c>
      <c r="AD24" s="1398">
        <v>3.458242833349509E-3</v>
      </c>
      <c r="AE24" s="1399">
        <v>0.56005375440954142</v>
      </c>
    </row>
    <row r="25" spans="1:31" ht="14" thickBot="1">
      <c r="A25" s="825">
        <v>558</v>
      </c>
      <c r="B25" s="799" t="s">
        <v>1340</v>
      </c>
      <c r="C25" s="1396">
        <v>4.4190053302103189E-4</v>
      </c>
      <c r="D25" s="1397">
        <v>2.5221488630851E-3</v>
      </c>
      <c r="E25" s="1396" t="s">
        <v>390</v>
      </c>
      <c r="F25" s="1397" t="s">
        <v>390</v>
      </c>
      <c r="G25" s="1396" t="s">
        <v>390</v>
      </c>
      <c r="H25" s="1397" t="s">
        <v>390</v>
      </c>
      <c r="I25" s="1396" t="s">
        <v>390</v>
      </c>
      <c r="J25" s="1397" t="s">
        <v>390</v>
      </c>
      <c r="K25" s="1396" t="s">
        <v>390</v>
      </c>
      <c r="L25" s="1397" t="s">
        <v>390</v>
      </c>
      <c r="M25" s="1396" t="s">
        <v>390</v>
      </c>
      <c r="N25" s="1397" t="s">
        <v>390</v>
      </c>
      <c r="O25" s="1396" t="s">
        <v>390</v>
      </c>
      <c r="P25" s="1397" t="s">
        <v>390</v>
      </c>
      <c r="Q25" s="1397" t="s">
        <v>390</v>
      </c>
      <c r="R25" s="1396" t="s">
        <v>390</v>
      </c>
      <c r="S25" s="1397" t="s">
        <v>390</v>
      </c>
      <c r="T25" s="1398" t="s">
        <v>390</v>
      </c>
      <c r="U25" s="1399" t="s">
        <v>390</v>
      </c>
      <c r="V25" s="1398" t="s">
        <v>390</v>
      </c>
      <c r="W25" s="1397" t="s">
        <v>390</v>
      </c>
      <c r="X25" s="1396" t="s">
        <v>390</v>
      </c>
      <c r="Y25" s="1399" t="s">
        <v>390</v>
      </c>
      <c r="Z25" s="1396" t="s">
        <v>390</v>
      </c>
      <c r="AA25" s="1397" t="s">
        <v>390</v>
      </c>
      <c r="AB25" s="1398" t="s">
        <v>390</v>
      </c>
      <c r="AC25" s="1399" t="s">
        <v>390</v>
      </c>
      <c r="AD25" s="1398" t="s">
        <v>390</v>
      </c>
      <c r="AE25" s="1399" t="s">
        <v>390</v>
      </c>
    </row>
    <row r="26" spans="1:31" ht="14" thickBot="1">
      <c r="A26" s="825">
        <v>762</v>
      </c>
      <c r="B26" s="799" t="s">
        <v>1341</v>
      </c>
      <c r="C26" s="1396">
        <v>2.3875641576218921E-3</v>
      </c>
      <c r="D26" s="1397">
        <v>2.926599531421457E-3</v>
      </c>
      <c r="E26" s="1396">
        <v>1.4585055277963231E-3</v>
      </c>
      <c r="F26" s="1397">
        <v>3.321544551121177E-3</v>
      </c>
      <c r="G26" s="1396">
        <v>8.0163809004983391E-3</v>
      </c>
      <c r="H26" s="1397">
        <v>8.8706637786215726E-3</v>
      </c>
      <c r="I26" s="1396">
        <v>1.0265766116168626E-2</v>
      </c>
      <c r="J26" s="1397">
        <v>1.8945065904389709E-2</v>
      </c>
      <c r="K26" s="1396">
        <v>1.2553940549444519E-2</v>
      </c>
      <c r="L26" s="1397">
        <v>3.2493595061585988E-3</v>
      </c>
      <c r="M26" s="1396">
        <v>1.4656466997828531E-3</v>
      </c>
      <c r="N26" s="1397">
        <v>4.0177421404913143E-3</v>
      </c>
      <c r="O26" s="1396">
        <v>1.8509112273338839E-3</v>
      </c>
      <c r="P26" s="1397">
        <v>1.0274988765802385E-3</v>
      </c>
      <c r="Q26" s="1397" t="s">
        <v>390</v>
      </c>
      <c r="R26" s="1396">
        <v>2.0603550951621709E-3</v>
      </c>
      <c r="S26" s="1397">
        <v>3.87134942210118E-3</v>
      </c>
      <c r="T26" s="1398">
        <v>1.1416416712752248E-2</v>
      </c>
      <c r="U26" s="1399">
        <v>2.6193864304336159E-3</v>
      </c>
      <c r="V26" s="1398">
        <v>4.6241681125747877E-3</v>
      </c>
      <c r="W26" s="1397">
        <v>1.393028458519842E-3</v>
      </c>
      <c r="X26" s="1396">
        <v>1.6420672485528919E-3</v>
      </c>
      <c r="Y26" s="1399">
        <v>7.9567343383872178E-4</v>
      </c>
      <c r="Z26" s="1396">
        <v>8.9783750153728042E-4</v>
      </c>
      <c r="AA26" s="1397">
        <v>2.3560967101701317E-3</v>
      </c>
      <c r="AB26" s="1398">
        <v>5.065381297101652E-4</v>
      </c>
      <c r="AC26" s="1399">
        <v>1.503399512181649E-3</v>
      </c>
      <c r="AD26" s="1398">
        <v>8.8087580557535679E-4</v>
      </c>
      <c r="AE26" s="1399" t="s">
        <v>390</v>
      </c>
    </row>
    <row r="27" spans="1:31" ht="14" thickBot="1">
      <c r="A27" s="825">
        <v>774</v>
      </c>
      <c r="B27" s="799" t="s">
        <v>1255</v>
      </c>
      <c r="C27" s="1396">
        <v>2.7965801072283726E-2</v>
      </c>
      <c r="D27" s="1397">
        <v>3.1391815720539798E-2</v>
      </c>
      <c r="E27" s="1396">
        <v>6.7477438770916637E-3</v>
      </c>
      <c r="F27" s="1397">
        <v>1.1662475361488025E-3</v>
      </c>
      <c r="G27" s="1396">
        <v>1.5967033214938323E-3</v>
      </c>
      <c r="H27" s="1397">
        <v>2.4683001923495224E-2</v>
      </c>
      <c r="I27" s="1396">
        <v>9.0338741822283913E-4</v>
      </c>
      <c r="J27" s="1397">
        <v>1.1838099255456033E-3</v>
      </c>
      <c r="K27" s="1396">
        <v>2.3877616075731549E-3</v>
      </c>
      <c r="L27" s="1397">
        <v>1.9394082916339283E-3</v>
      </c>
      <c r="M27" s="1396">
        <v>2.814782063831112E-2</v>
      </c>
      <c r="N27" s="1397">
        <v>3.586555666803362E-3</v>
      </c>
      <c r="O27" s="1396">
        <v>4.161693629051047E-2</v>
      </c>
      <c r="P27" s="1397">
        <v>0.10742712102682431</v>
      </c>
      <c r="Q27" s="1397" t="s">
        <v>390</v>
      </c>
      <c r="R27" s="1396">
        <v>4.1611238635573984E-2</v>
      </c>
      <c r="S27" s="1397">
        <v>1.9731785234785811E-3</v>
      </c>
      <c r="T27" s="1398">
        <v>8.0308586531084786E-4</v>
      </c>
      <c r="U27" s="1399">
        <v>2.5374228449142246E-3</v>
      </c>
      <c r="V27" s="1398">
        <v>8.0099438233642052E-3</v>
      </c>
      <c r="W27" s="1397">
        <v>4.14560858195642E-3</v>
      </c>
      <c r="X27" s="1396">
        <v>0.10944086159597331</v>
      </c>
      <c r="Y27" s="1399">
        <v>6.291359829761313E-2</v>
      </c>
      <c r="Z27" s="1396">
        <v>1.6790831712912395E-2</v>
      </c>
      <c r="AA27" s="1397">
        <v>9.5896334425250376E-2</v>
      </c>
      <c r="AB27" s="1398">
        <v>3.3467750509699384E-2</v>
      </c>
      <c r="AC27" s="1399">
        <v>1.5140125060299527E-2</v>
      </c>
      <c r="AD27" s="1398">
        <v>0.11311912307886243</v>
      </c>
      <c r="AE27" s="1399" t="s">
        <v>390</v>
      </c>
    </row>
    <row r="28" spans="1:31" ht="14" thickBot="1">
      <c r="A28" s="825">
        <v>780</v>
      </c>
      <c r="B28" s="799" t="s">
        <v>1342</v>
      </c>
      <c r="C28" s="1396">
        <v>7.8924143630417561E-4</v>
      </c>
      <c r="D28" s="1397">
        <v>5.674907651695762E-8</v>
      </c>
      <c r="E28" s="1396" t="s">
        <v>390</v>
      </c>
      <c r="F28" s="1397" t="s">
        <v>390</v>
      </c>
      <c r="G28" s="1396">
        <v>9.0516061309174167E-5</v>
      </c>
      <c r="H28" s="1397">
        <v>6.6135455952038788E-4</v>
      </c>
      <c r="I28" s="1396" t="s">
        <v>390</v>
      </c>
      <c r="J28" s="1397" t="s">
        <v>390</v>
      </c>
      <c r="K28" s="1396">
        <v>0.15213488498809771</v>
      </c>
      <c r="L28" s="1397" t="s">
        <v>390</v>
      </c>
      <c r="M28" s="1396" t="s">
        <v>390</v>
      </c>
      <c r="N28" s="1397" t="s">
        <v>390</v>
      </c>
      <c r="O28" s="1396" t="s">
        <v>390</v>
      </c>
      <c r="P28" s="1397">
        <v>1.4475892879406007E-7</v>
      </c>
      <c r="Q28" s="1397" t="s">
        <v>390</v>
      </c>
      <c r="R28" s="1396" t="s">
        <v>390</v>
      </c>
      <c r="S28" s="1397" t="s">
        <v>390</v>
      </c>
      <c r="T28" s="1398" t="s">
        <v>390</v>
      </c>
      <c r="U28" s="1399">
        <v>3.3113941483549873E-4</v>
      </c>
      <c r="V28" s="1398">
        <v>2.1425962290004031E-4</v>
      </c>
      <c r="W28" s="1397" t="s">
        <v>390</v>
      </c>
      <c r="X28" s="1396" t="s">
        <v>390</v>
      </c>
      <c r="Y28" s="1399" t="s">
        <v>390</v>
      </c>
      <c r="Z28" s="1396" t="s">
        <v>390</v>
      </c>
      <c r="AA28" s="1397" t="s">
        <v>390</v>
      </c>
      <c r="AB28" s="1398" t="s">
        <v>390</v>
      </c>
      <c r="AC28" s="1399" t="s">
        <v>390</v>
      </c>
      <c r="AD28" s="1398" t="s">
        <v>390</v>
      </c>
      <c r="AE28" s="1399" t="s">
        <v>390</v>
      </c>
    </row>
    <row r="29" spans="1:31" ht="14" thickBot="1">
      <c r="A29" s="825">
        <v>820</v>
      </c>
      <c r="B29" s="799" t="s">
        <v>1257</v>
      </c>
      <c r="C29" s="1396">
        <v>3.1475547739439268E-4</v>
      </c>
      <c r="D29" s="1397" t="s">
        <v>390</v>
      </c>
      <c r="E29" s="1396" t="s">
        <v>390</v>
      </c>
      <c r="F29" s="1397" t="s">
        <v>390</v>
      </c>
      <c r="G29" s="1396" t="s">
        <v>390</v>
      </c>
      <c r="H29" s="1397" t="s">
        <v>390</v>
      </c>
      <c r="I29" s="1396" t="s">
        <v>390</v>
      </c>
      <c r="J29" s="1397" t="s">
        <v>390</v>
      </c>
      <c r="K29" s="1396" t="s">
        <v>390</v>
      </c>
      <c r="L29" s="1397" t="s">
        <v>390</v>
      </c>
      <c r="M29" s="1396" t="s">
        <v>390</v>
      </c>
      <c r="N29" s="1397" t="s">
        <v>390</v>
      </c>
      <c r="O29" s="1396" t="s">
        <v>390</v>
      </c>
      <c r="P29" s="1397" t="s">
        <v>390</v>
      </c>
      <c r="Q29" s="1397" t="s">
        <v>390</v>
      </c>
      <c r="R29" s="1396" t="s">
        <v>390</v>
      </c>
      <c r="S29" s="1397" t="s">
        <v>390</v>
      </c>
      <c r="T29" s="1398" t="s">
        <v>390</v>
      </c>
      <c r="U29" s="1399" t="s">
        <v>390</v>
      </c>
      <c r="V29" s="1398">
        <v>1.2761347483404328E-2</v>
      </c>
      <c r="W29" s="1397" t="s">
        <v>390</v>
      </c>
      <c r="X29" s="1396" t="s">
        <v>390</v>
      </c>
      <c r="Y29" s="1399" t="s">
        <v>390</v>
      </c>
      <c r="Z29" s="1396" t="s">
        <v>390</v>
      </c>
      <c r="AA29" s="1397" t="s">
        <v>390</v>
      </c>
      <c r="AB29" s="1398" t="s">
        <v>390</v>
      </c>
      <c r="AC29" s="1399" t="s">
        <v>390</v>
      </c>
      <c r="AD29" s="1398" t="s">
        <v>390</v>
      </c>
      <c r="AE29" s="1399" t="s">
        <v>390</v>
      </c>
    </row>
    <row r="30" spans="1:31" ht="14" thickBot="1">
      <c r="A30" s="825">
        <v>829</v>
      </c>
      <c r="B30" s="799" t="s">
        <v>1258</v>
      </c>
      <c r="C30" s="1396">
        <v>1.9535446294662411E-3</v>
      </c>
      <c r="D30" s="1397">
        <v>3.0886252385119353E-3</v>
      </c>
      <c r="E30" s="1396">
        <v>9.9866625480362242E-5</v>
      </c>
      <c r="F30" s="1397">
        <v>4.0694113556628258E-3</v>
      </c>
      <c r="G30" s="1396">
        <v>7.0546825629580977E-4</v>
      </c>
      <c r="H30" s="1397">
        <v>2.9475522202674097E-2</v>
      </c>
      <c r="I30" s="1396">
        <v>7.3181699045954569E-4</v>
      </c>
      <c r="J30" s="1397">
        <v>9.9464193132066305E-4</v>
      </c>
      <c r="K30" s="1396">
        <v>4.323301360543191E-4</v>
      </c>
      <c r="L30" s="1397">
        <v>2.6252187894978997E-2</v>
      </c>
      <c r="M30" s="1396">
        <v>2.1764512785617276E-5</v>
      </c>
      <c r="N30" s="1397">
        <v>6.2006904402028503E-5</v>
      </c>
      <c r="O30" s="1396">
        <v>1.5597597355323644E-4</v>
      </c>
      <c r="P30" s="1397">
        <v>1.2214034616998818E-4</v>
      </c>
      <c r="Q30" s="1397" t="s">
        <v>390</v>
      </c>
      <c r="R30" s="1396">
        <v>2.00532697771374E-4</v>
      </c>
      <c r="S30" s="1397">
        <v>3.9893761259186817E-5</v>
      </c>
      <c r="T30" s="1398" t="s">
        <v>390</v>
      </c>
      <c r="U30" s="1399">
        <v>1.9043219906708422E-4</v>
      </c>
      <c r="V30" s="1398">
        <v>6.7170290998530972E-5</v>
      </c>
      <c r="W30" s="1397">
        <v>2.65057436410476E-3</v>
      </c>
      <c r="X30" s="1396">
        <v>1.0444243983728641E-4</v>
      </c>
      <c r="Y30" s="1399">
        <v>1.8226557960059037E-4</v>
      </c>
      <c r="Z30" s="1396">
        <v>3.2241039830882447E-5</v>
      </c>
      <c r="AA30" s="1397">
        <v>5.1020840200839956E-5</v>
      </c>
      <c r="AB30" s="1398">
        <v>1.1340829054296769E-5</v>
      </c>
      <c r="AC30" s="1399">
        <v>2.0055504940015537E-5</v>
      </c>
      <c r="AD30" s="1398" t="s">
        <v>390</v>
      </c>
      <c r="AE30" s="1399" t="s">
        <v>390</v>
      </c>
    </row>
    <row r="31" spans="1:31" ht="14" thickBot="1">
      <c r="A31" s="825">
        <v>881</v>
      </c>
      <c r="B31" s="799" t="s">
        <v>1259</v>
      </c>
      <c r="C31" s="1396">
        <v>1.5824877554308898E-2</v>
      </c>
      <c r="D31" s="1397">
        <v>1.9839001876812555E-2</v>
      </c>
      <c r="E31" s="1396">
        <v>1.2981574602567809E-2</v>
      </c>
      <c r="F31" s="1397">
        <v>2.6152973106023852E-2</v>
      </c>
      <c r="G31" s="1396">
        <v>4.3238826209997814E-3</v>
      </c>
      <c r="H31" s="1397">
        <v>1.2403294023634539E-2</v>
      </c>
      <c r="I31" s="1396">
        <v>8.2283334060632915E-3</v>
      </c>
      <c r="J31" s="1397">
        <v>1.2556840995965863E-2</v>
      </c>
      <c r="K31" s="1396">
        <v>5.1532140736678467E-3</v>
      </c>
      <c r="L31" s="1397">
        <v>3.9640229554489842E-2</v>
      </c>
      <c r="M31" s="1396">
        <v>7.7650493045882197E-3</v>
      </c>
      <c r="N31" s="1397">
        <v>2.8038873482982007E-2</v>
      </c>
      <c r="O31" s="1396">
        <v>7.5331126509302166E-3</v>
      </c>
      <c r="P31" s="1397">
        <v>2.0195390535523716E-2</v>
      </c>
      <c r="Q31" s="1397" t="s">
        <v>390</v>
      </c>
      <c r="R31" s="1396">
        <v>1.8399226944530504E-2</v>
      </c>
      <c r="S31" s="1397">
        <v>3.1521218976855545E-2</v>
      </c>
      <c r="T31" s="1398">
        <v>7.2699741626806322E-3</v>
      </c>
      <c r="U31" s="1399">
        <v>1.6419915873979628E-2</v>
      </c>
      <c r="V31" s="1398">
        <v>1.8135071543918461E-2</v>
      </c>
      <c r="W31" s="1397">
        <v>3.4554746357126201E-2</v>
      </c>
      <c r="X31" s="1396">
        <v>1.8939243898627393E-2</v>
      </c>
      <c r="Y31" s="1399">
        <v>1.1040638665618026E-2</v>
      </c>
      <c r="Z31" s="1396">
        <v>3.6926280299923449E-3</v>
      </c>
      <c r="AA31" s="1397">
        <v>5.5803396690352718E-3</v>
      </c>
      <c r="AB31" s="1398">
        <v>1.5319758927996793E-3</v>
      </c>
      <c r="AC31" s="1399">
        <v>2.2094828256638108E-3</v>
      </c>
      <c r="AD31" s="1398">
        <v>9.9134435285678744E-3</v>
      </c>
      <c r="AE31" s="1399" t="s">
        <v>390</v>
      </c>
    </row>
    <row r="32" spans="1:31" ht="14" thickBot="1">
      <c r="A32" s="825">
        <v>901</v>
      </c>
      <c r="B32" s="799" t="s">
        <v>1343</v>
      </c>
      <c r="C32" s="1396">
        <v>3.099157623737658E-4</v>
      </c>
      <c r="D32" s="1397" t="s">
        <v>390</v>
      </c>
      <c r="E32" s="1396" t="s">
        <v>390</v>
      </c>
      <c r="F32" s="1397" t="s">
        <v>390</v>
      </c>
      <c r="G32" s="1396" t="s">
        <v>390</v>
      </c>
      <c r="H32" s="1397" t="s">
        <v>390</v>
      </c>
      <c r="I32" s="1396" t="s">
        <v>390</v>
      </c>
      <c r="J32" s="1397" t="s">
        <v>390</v>
      </c>
      <c r="K32" s="1396" t="s">
        <v>390</v>
      </c>
      <c r="L32" s="1397" t="s">
        <v>390</v>
      </c>
      <c r="M32" s="1396" t="s">
        <v>390</v>
      </c>
      <c r="N32" s="1397" t="s">
        <v>390</v>
      </c>
      <c r="O32" s="1396" t="s">
        <v>390</v>
      </c>
      <c r="P32" s="1397" t="s">
        <v>390</v>
      </c>
      <c r="Q32" s="1397" t="s">
        <v>390</v>
      </c>
      <c r="R32" s="1396" t="s">
        <v>390</v>
      </c>
      <c r="S32" s="1397" t="s">
        <v>390</v>
      </c>
      <c r="T32" s="1398" t="s">
        <v>390</v>
      </c>
      <c r="U32" s="1399" t="s">
        <v>390</v>
      </c>
      <c r="V32" s="1398">
        <v>1.2565228374202316E-2</v>
      </c>
      <c r="W32" s="1397" t="s">
        <v>390</v>
      </c>
      <c r="X32" s="1396" t="s">
        <v>390</v>
      </c>
      <c r="Y32" s="1399" t="s">
        <v>390</v>
      </c>
      <c r="Z32" s="1396" t="s">
        <v>390</v>
      </c>
      <c r="AA32" s="1397" t="s">
        <v>390</v>
      </c>
      <c r="AB32" s="1398" t="s">
        <v>390</v>
      </c>
      <c r="AC32" s="1399" t="s">
        <v>390</v>
      </c>
      <c r="AD32" s="1398" t="s">
        <v>390</v>
      </c>
      <c r="AE32" s="1399" t="s">
        <v>390</v>
      </c>
    </row>
    <row r="33" spans="1:31" ht="14" thickBot="1">
      <c r="A33" s="825">
        <v>923</v>
      </c>
      <c r="B33" s="799" t="s">
        <v>1344</v>
      </c>
      <c r="C33" s="1396">
        <v>1.7307648661631309E-3</v>
      </c>
      <c r="D33" s="1397">
        <v>3.1782107494285174E-3</v>
      </c>
      <c r="E33" s="1396">
        <v>1.5547598491409222E-3</v>
      </c>
      <c r="F33" s="1397">
        <v>2.3370194967991628E-4</v>
      </c>
      <c r="G33" s="1396">
        <v>3.3421314944925845E-4</v>
      </c>
      <c r="H33" s="1397">
        <v>5.9648342866962419E-4</v>
      </c>
      <c r="I33" s="1396">
        <v>5.510310894830579E-4</v>
      </c>
      <c r="J33" s="1397">
        <v>3.3823140729874381E-4</v>
      </c>
      <c r="K33" s="1396">
        <v>1.6701489763822353E-3</v>
      </c>
      <c r="L33" s="1397">
        <v>4.5856798685081168E-4</v>
      </c>
      <c r="M33" s="1396">
        <v>7.4477349125736129E-4</v>
      </c>
      <c r="N33" s="1397">
        <v>1.8720742996110281E-3</v>
      </c>
      <c r="O33" s="1396">
        <v>1.0530299101217267E-3</v>
      </c>
      <c r="P33" s="1397">
        <v>2.8739713928128715E-3</v>
      </c>
      <c r="Q33" s="1397" t="s">
        <v>390</v>
      </c>
      <c r="R33" s="1396">
        <v>1.7717774094733079E-3</v>
      </c>
      <c r="S33" s="1397">
        <v>2.6962299660241193E-3</v>
      </c>
      <c r="T33" s="1398">
        <v>5.0389701352837515E-4</v>
      </c>
      <c r="U33" s="1399">
        <v>4.7841473570191979E-3</v>
      </c>
      <c r="V33" s="1398">
        <v>8.0685981509878296E-3</v>
      </c>
      <c r="W33" s="1397">
        <v>1.0878776387117635E-3</v>
      </c>
      <c r="X33" s="1396">
        <v>3.4062161045600339E-3</v>
      </c>
      <c r="Y33" s="1399" t="s">
        <v>390</v>
      </c>
      <c r="Z33" s="1396" t="s">
        <v>390</v>
      </c>
      <c r="AA33" s="1397">
        <v>1.4011693428290375E-4</v>
      </c>
      <c r="AB33" s="1398" t="s">
        <v>390</v>
      </c>
      <c r="AC33" s="1399" t="s">
        <v>390</v>
      </c>
      <c r="AD33" s="1398" t="s">
        <v>390</v>
      </c>
      <c r="AE33" s="1399" t="s">
        <v>390</v>
      </c>
    </row>
    <row r="34" spans="1:31" ht="14" thickBot="1">
      <c r="A34" s="825">
        <v>941</v>
      </c>
      <c r="B34" s="799" t="s">
        <v>1262</v>
      </c>
      <c r="C34" s="1396">
        <v>4.2210082884047177E-3</v>
      </c>
      <c r="D34" s="1397" t="s">
        <v>390</v>
      </c>
      <c r="E34" s="1396">
        <v>2.5948217006423993E-4</v>
      </c>
      <c r="F34" s="1397" t="s">
        <v>390</v>
      </c>
      <c r="G34" s="1396" t="s">
        <v>390</v>
      </c>
      <c r="H34" s="1397" t="s">
        <v>390</v>
      </c>
      <c r="I34" s="1396" t="s">
        <v>390</v>
      </c>
      <c r="J34" s="1397" t="s">
        <v>390</v>
      </c>
      <c r="K34" s="1396" t="s">
        <v>390</v>
      </c>
      <c r="L34" s="1397" t="s">
        <v>390</v>
      </c>
      <c r="M34" s="1396" t="s">
        <v>390</v>
      </c>
      <c r="N34" s="1397" t="s">
        <v>390</v>
      </c>
      <c r="O34" s="1396" t="s">
        <v>390</v>
      </c>
      <c r="P34" s="1397" t="s">
        <v>390</v>
      </c>
      <c r="Q34" s="1397" t="s">
        <v>390</v>
      </c>
      <c r="R34" s="1396" t="s">
        <v>390</v>
      </c>
      <c r="S34" s="1397" t="s">
        <v>390</v>
      </c>
      <c r="T34" s="1398" t="s">
        <v>390</v>
      </c>
      <c r="U34" s="1399" t="s">
        <v>390</v>
      </c>
      <c r="V34" s="1398" t="s">
        <v>390</v>
      </c>
      <c r="W34" s="1397" t="s">
        <v>390</v>
      </c>
      <c r="X34" s="1396" t="s">
        <v>390</v>
      </c>
      <c r="Y34" s="1399" t="s">
        <v>390</v>
      </c>
      <c r="Z34" s="1396" t="s">
        <v>390</v>
      </c>
      <c r="AA34" s="1397">
        <v>0.1026632513062401</v>
      </c>
      <c r="AB34" s="1398" t="s">
        <v>390</v>
      </c>
      <c r="AC34" s="1399" t="s">
        <v>390</v>
      </c>
      <c r="AD34" s="1398" t="s">
        <v>390</v>
      </c>
      <c r="AE34" s="1399" t="s">
        <v>390</v>
      </c>
    </row>
    <row r="35" spans="1:31" ht="14" thickBot="1">
      <c r="A35" s="825">
        <v>966</v>
      </c>
      <c r="B35" s="799" t="s">
        <v>1263</v>
      </c>
      <c r="C35" s="1396">
        <v>4.6540683250359912E-4</v>
      </c>
      <c r="D35" s="1397">
        <v>3.7184832387736485E-5</v>
      </c>
      <c r="E35" s="1396">
        <v>6.7114397174208176E-6</v>
      </c>
      <c r="F35" s="1397">
        <v>6.1902353407682138E-5</v>
      </c>
      <c r="G35" s="1396">
        <v>5.5702191574876415E-5</v>
      </c>
      <c r="H35" s="1397">
        <v>5.2956025184296901E-5</v>
      </c>
      <c r="I35" s="1396" t="s">
        <v>390</v>
      </c>
      <c r="J35" s="1397" t="s">
        <v>390</v>
      </c>
      <c r="K35" s="1396">
        <v>7.1257675307729928E-5</v>
      </c>
      <c r="L35" s="1397">
        <v>5.1037060306156003E-5</v>
      </c>
      <c r="M35" s="1396" t="s">
        <v>390</v>
      </c>
      <c r="N35" s="1397">
        <v>1.6217190382068994E-5</v>
      </c>
      <c r="O35" s="1396">
        <v>2.9252355349709714E-5</v>
      </c>
      <c r="P35" s="1397" t="s">
        <v>390</v>
      </c>
      <c r="Q35" s="1397" t="s">
        <v>390</v>
      </c>
      <c r="R35" s="1396">
        <v>2.5594473231828208E-5</v>
      </c>
      <c r="S35" s="1397">
        <v>7.3536887113708429E-5</v>
      </c>
      <c r="T35" s="1398">
        <v>1.7321459840037896E-4</v>
      </c>
      <c r="U35" s="1399">
        <v>1.4240076259393344E-4</v>
      </c>
      <c r="V35" s="1398">
        <v>1.7784405336072416E-2</v>
      </c>
      <c r="W35" s="1397">
        <v>1.0901619375693872E-5</v>
      </c>
      <c r="X35" s="1396">
        <v>4.962950011527351E-5</v>
      </c>
      <c r="Y35" s="1399">
        <v>1.0013627023839663E-5</v>
      </c>
      <c r="Z35" s="1396">
        <v>1.3719591417396786E-6</v>
      </c>
      <c r="AA35" s="1397" t="s">
        <v>390</v>
      </c>
      <c r="AB35" s="1398" t="s">
        <v>390</v>
      </c>
      <c r="AC35" s="1399" t="s">
        <v>390</v>
      </c>
      <c r="AD35" s="1398">
        <v>1.3944527553828665E-5</v>
      </c>
      <c r="AE35" s="1399" t="s">
        <v>390</v>
      </c>
    </row>
    <row r="36" spans="1:31" ht="14" thickBot="1">
      <c r="A36" s="825">
        <v>994</v>
      </c>
      <c r="B36" s="799" t="s">
        <v>1264</v>
      </c>
      <c r="C36" s="1396">
        <v>2.2484447223429078E-2</v>
      </c>
      <c r="D36" s="1397">
        <v>2.1161198610581151E-2</v>
      </c>
      <c r="E36" s="1396">
        <v>2.8423832670586208E-2</v>
      </c>
      <c r="F36" s="1397">
        <v>1.9458881400309387E-2</v>
      </c>
      <c r="G36" s="1396">
        <v>0.20863729322998348</v>
      </c>
      <c r="H36" s="1397">
        <v>5.6756943891899808E-3</v>
      </c>
      <c r="I36" s="1396">
        <v>7.9695683391033917E-2</v>
      </c>
      <c r="J36" s="1397">
        <v>7.3245219219854746E-2</v>
      </c>
      <c r="K36" s="1396">
        <v>9.8342390360120685E-2</v>
      </c>
      <c r="L36" s="1397">
        <v>3.626038529748183E-2</v>
      </c>
      <c r="M36" s="1396">
        <v>1.2511475949586201E-2</v>
      </c>
      <c r="N36" s="1397">
        <v>4.337316186255615E-3</v>
      </c>
      <c r="O36" s="1396">
        <v>8.0960970058595282E-3</v>
      </c>
      <c r="P36" s="1397">
        <v>8.2340688184671298E-3</v>
      </c>
      <c r="Q36" s="1397" t="s">
        <v>390</v>
      </c>
      <c r="R36" s="1396">
        <v>7.5430111923351709E-2</v>
      </c>
      <c r="S36" s="1397">
        <v>5.9963816174695697E-3</v>
      </c>
      <c r="T36" s="1398">
        <v>2.2727644923930448E-2</v>
      </c>
      <c r="U36" s="1399">
        <v>1.3455535591427054E-2</v>
      </c>
      <c r="V36" s="1398">
        <v>2.6540982469057953E-2</v>
      </c>
      <c r="W36" s="1397">
        <v>5.5071688544893416E-2</v>
      </c>
      <c r="X36" s="1396">
        <v>4.8656328670300744E-2</v>
      </c>
      <c r="Y36" s="1399">
        <v>6.127988383255705E-3</v>
      </c>
      <c r="Z36" s="1396">
        <v>1.0537908410971132E-2</v>
      </c>
      <c r="AA36" s="1397">
        <v>1.2525753340220181E-2</v>
      </c>
      <c r="AB36" s="1398">
        <v>1.1376269145091447E-2</v>
      </c>
      <c r="AC36" s="1399">
        <v>4.8523449881802067E-3</v>
      </c>
      <c r="AD36" s="1398">
        <v>3.1154863460764E-3</v>
      </c>
      <c r="AE36" s="1399" t="s">
        <v>390</v>
      </c>
    </row>
    <row r="37" spans="1:31" ht="14" thickBot="1">
      <c r="A37" s="825">
        <v>1003</v>
      </c>
      <c r="B37" s="799" t="s">
        <v>1265</v>
      </c>
      <c r="C37" s="1396">
        <v>2.0248751185427233E-5</v>
      </c>
      <c r="D37" s="1397" t="s">
        <v>390</v>
      </c>
      <c r="E37" s="1396" t="s">
        <v>390</v>
      </c>
      <c r="F37" s="1397" t="s">
        <v>390</v>
      </c>
      <c r="G37" s="1396" t="s">
        <v>390</v>
      </c>
      <c r="H37" s="1397" t="s">
        <v>390</v>
      </c>
      <c r="I37" s="1396" t="s">
        <v>390</v>
      </c>
      <c r="J37" s="1397" t="s">
        <v>390</v>
      </c>
      <c r="K37" s="1396" t="s">
        <v>390</v>
      </c>
      <c r="L37" s="1397" t="s">
        <v>390</v>
      </c>
      <c r="M37" s="1396" t="s">
        <v>390</v>
      </c>
      <c r="N37" s="1397" t="s">
        <v>390</v>
      </c>
      <c r="O37" s="1396" t="s">
        <v>390</v>
      </c>
      <c r="P37" s="1397" t="s">
        <v>390</v>
      </c>
      <c r="Q37" s="1397" t="s">
        <v>390</v>
      </c>
      <c r="R37" s="1396" t="s">
        <v>390</v>
      </c>
      <c r="S37" s="1397" t="s">
        <v>390</v>
      </c>
      <c r="T37" s="1398" t="s">
        <v>390</v>
      </c>
      <c r="U37" s="1399" t="s">
        <v>390</v>
      </c>
      <c r="V37" s="1398" t="s">
        <v>390</v>
      </c>
      <c r="W37" s="1397" t="s">
        <v>390</v>
      </c>
      <c r="X37" s="1396" t="s">
        <v>390</v>
      </c>
      <c r="Y37" s="1399" t="s">
        <v>390</v>
      </c>
      <c r="Z37" s="1396" t="s">
        <v>390</v>
      </c>
      <c r="AA37" s="1397">
        <v>4.9625762898631914E-4</v>
      </c>
      <c r="AB37" s="1398" t="s">
        <v>390</v>
      </c>
      <c r="AC37" s="1399" t="s">
        <v>390</v>
      </c>
      <c r="AD37" s="1398" t="s">
        <v>390</v>
      </c>
      <c r="AE37" s="1399" t="s">
        <v>390</v>
      </c>
    </row>
    <row r="38" spans="1:31" ht="14" thickBot="1">
      <c r="A38" s="825">
        <v>1040</v>
      </c>
      <c r="B38" s="799" t="s">
        <v>1266</v>
      </c>
      <c r="C38" s="1396">
        <v>5.1364489603225128E-4</v>
      </c>
      <c r="D38" s="1397" t="s">
        <v>390</v>
      </c>
      <c r="E38" s="1396" t="s">
        <v>390</v>
      </c>
      <c r="F38" s="1397" t="s">
        <v>390</v>
      </c>
      <c r="G38" s="1396" t="s">
        <v>390</v>
      </c>
      <c r="H38" s="1397" t="s">
        <v>390</v>
      </c>
      <c r="I38" s="1396" t="s">
        <v>390</v>
      </c>
      <c r="J38" s="1397" t="s">
        <v>390</v>
      </c>
      <c r="K38" s="1396" t="s">
        <v>390</v>
      </c>
      <c r="L38" s="1397" t="s">
        <v>390</v>
      </c>
      <c r="M38" s="1396" t="s">
        <v>390</v>
      </c>
      <c r="N38" s="1397" t="s">
        <v>390</v>
      </c>
      <c r="O38" s="1396" t="s">
        <v>390</v>
      </c>
      <c r="P38" s="1397" t="s">
        <v>390</v>
      </c>
      <c r="Q38" s="1397" t="s">
        <v>390</v>
      </c>
      <c r="R38" s="1396" t="s">
        <v>390</v>
      </c>
      <c r="S38" s="1397" t="s">
        <v>390</v>
      </c>
      <c r="T38" s="1398" t="s">
        <v>390</v>
      </c>
      <c r="U38" s="1399" t="s">
        <v>390</v>
      </c>
      <c r="V38" s="1398" t="s">
        <v>390</v>
      </c>
      <c r="W38" s="1397" t="s">
        <v>390</v>
      </c>
      <c r="X38" s="1396" t="s">
        <v>390</v>
      </c>
      <c r="Y38" s="1399" t="s">
        <v>390</v>
      </c>
      <c r="Z38" s="1396" t="s">
        <v>390</v>
      </c>
      <c r="AA38" s="1397">
        <v>1.2588440438210228E-2</v>
      </c>
      <c r="AB38" s="1398" t="s">
        <v>390</v>
      </c>
      <c r="AC38" s="1399" t="s">
        <v>390</v>
      </c>
      <c r="AD38" s="1398" t="s">
        <v>390</v>
      </c>
      <c r="AE38" s="1399" t="s">
        <v>390</v>
      </c>
    </row>
    <row r="39" spans="1:31" ht="14" thickBot="1">
      <c r="A39" s="825">
        <v>1060</v>
      </c>
      <c r="B39" s="799" t="s">
        <v>1267</v>
      </c>
      <c r="C39" s="1396">
        <v>2.0056881466439219E-2</v>
      </c>
      <c r="D39" s="1397">
        <v>5.4970673957069206E-2</v>
      </c>
      <c r="E39" s="1396">
        <v>9.4895933995495854E-3</v>
      </c>
      <c r="F39" s="1397">
        <v>4.7770724788383546E-3</v>
      </c>
      <c r="G39" s="1396">
        <v>8.4831652658958045E-3</v>
      </c>
      <c r="H39" s="1397">
        <v>4.9060447581677057E-3</v>
      </c>
      <c r="I39" s="1396">
        <v>8.3730705441764017E-3</v>
      </c>
      <c r="J39" s="1397">
        <v>4.8275527169887346E-2</v>
      </c>
      <c r="K39" s="1396">
        <v>5.6510106251992324E-3</v>
      </c>
      <c r="L39" s="1397">
        <v>1.0076416939778735E-2</v>
      </c>
      <c r="M39" s="1396">
        <v>1.5382967790656846E-3</v>
      </c>
      <c r="N39" s="1397">
        <v>1.2518335441631681E-2</v>
      </c>
      <c r="O39" s="1396">
        <v>4.73899133158862E-3</v>
      </c>
      <c r="P39" s="1397">
        <v>3.3310513294533356E-2</v>
      </c>
      <c r="Q39" s="1397" t="s">
        <v>390</v>
      </c>
      <c r="R39" s="1396">
        <v>5.233954600779326E-2</v>
      </c>
      <c r="S39" s="1397">
        <v>2.2294913435134119E-2</v>
      </c>
      <c r="T39" s="1398">
        <v>3.217193469998602E-2</v>
      </c>
      <c r="U39" s="1399">
        <v>1.0286297355522552E-2</v>
      </c>
      <c r="V39" s="1398">
        <v>7.0846264538173016E-3</v>
      </c>
      <c r="W39" s="1397">
        <v>1.9814433643229188E-2</v>
      </c>
      <c r="X39" s="1396">
        <v>2.5351584198400404E-2</v>
      </c>
      <c r="Y39" s="1399">
        <v>3.2296757994556273E-2</v>
      </c>
      <c r="Z39" s="1396">
        <v>2.1122957338052437E-3</v>
      </c>
      <c r="AA39" s="1397">
        <v>5.2823779622623666E-3</v>
      </c>
      <c r="AB39" s="1398">
        <v>4.3881693605388482E-2</v>
      </c>
      <c r="AC39" s="1399">
        <v>9.8179445924922656E-4</v>
      </c>
      <c r="AD39" s="1398">
        <v>2.3761474951724047E-3</v>
      </c>
      <c r="AE39" s="1399" t="s">
        <v>390</v>
      </c>
    </row>
    <row r="40" spans="1:31" ht="14" thickBot="1">
      <c r="A40" s="825">
        <v>1113</v>
      </c>
      <c r="B40" s="799" t="s">
        <v>1345</v>
      </c>
      <c r="C40" s="1396">
        <v>1.0766414623364731E-3</v>
      </c>
      <c r="D40" s="1397" t="s">
        <v>390</v>
      </c>
      <c r="E40" s="1396" t="s">
        <v>390</v>
      </c>
      <c r="F40" s="1397" t="s">
        <v>390</v>
      </c>
      <c r="G40" s="1396" t="s">
        <v>390</v>
      </c>
      <c r="H40" s="1397" t="s">
        <v>390</v>
      </c>
      <c r="I40" s="1396" t="s">
        <v>390</v>
      </c>
      <c r="J40" s="1397" t="s">
        <v>390</v>
      </c>
      <c r="K40" s="1396" t="s">
        <v>390</v>
      </c>
      <c r="L40" s="1397" t="s">
        <v>390</v>
      </c>
      <c r="M40" s="1396" t="s">
        <v>390</v>
      </c>
      <c r="N40" s="1397" t="s">
        <v>390</v>
      </c>
      <c r="O40" s="1396" t="s">
        <v>390</v>
      </c>
      <c r="P40" s="1397" t="s">
        <v>390</v>
      </c>
      <c r="Q40" s="1397" t="s">
        <v>390</v>
      </c>
      <c r="R40" s="1396" t="s">
        <v>390</v>
      </c>
      <c r="S40" s="1397" t="s">
        <v>390</v>
      </c>
      <c r="T40" s="1398" t="s">
        <v>390</v>
      </c>
      <c r="U40" s="1399" t="s">
        <v>390</v>
      </c>
      <c r="V40" s="1398" t="s">
        <v>390</v>
      </c>
      <c r="W40" s="1397" t="s">
        <v>390</v>
      </c>
      <c r="X40" s="1396" t="s">
        <v>390</v>
      </c>
      <c r="Y40" s="1399" t="s">
        <v>390</v>
      </c>
      <c r="Z40" s="1396" t="s">
        <v>390</v>
      </c>
      <c r="AA40" s="1397">
        <v>2.6386394621312963E-2</v>
      </c>
      <c r="AB40" s="1398" t="s">
        <v>390</v>
      </c>
      <c r="AC40" s="1399" t="s">
        <v>390</v>
      </c>
      <c r="AD40" s="1398" t="s">
        <v>390</v>
      </c>
      <c r="AE40" s="1399" t="s">
        <v>390</v>
      </c>
    </row>
    <row r="41" spans="1:31" ht="14" thickBot="1">
      <c r="A41" s="825">
        <v>1142</v>
      </c>
      <c r="B41" s="799" t="s">
        <v>1269</v>
      </c>
      <c r="C41" s="1396">
        <v>9.6591713471510425E-5</v>
      </c>
      <c r="D41" s="1397">
        <v>1.4953381662218332E-5</v>
      </c>
      <c r="E41" s="1396">
        <v>1.5767355378108577E-5</v>
      </c>
      <c r="F41" s="1397">
        <v>1.0969158720539026E-4</v>
      </c>
      <c r="G41" s="1396">
        <v>2.7851095787438208E-5</v>
      </c>
      <c r="H41" s="1397">
        <v>2.5711474127605755E-3</v>
      </c>
      <c r="I41" s="1396" t="s">
        <v>390</v>
      </c>
      <c r="J41" s="1397" t="s">
        <v>390</v>
      </c>
      <c r="K41" s="1396" t="s">
        <v>390</v>
      </c>
      <c r="L41" s="1397">
        <v>4.2530883588463336E-5</v>
      </c>
      <c r="M41" s="1396">
        <v>2.5680091020412909E-4</v>
      </c>
      <c r="N41" s="1397">
        <v>2.2734593010909898E-4</v>
      </c>
      <c r="O41" s="1396">
        <v>5.4882467823095151E-5</v>
      </c>
      <c r="P41" s="1397">
        <v>1.4475892879406006E-5</v>
      </c>
      <c r="Q41" s="1397" t="s">
        <v>390</v>
      </c>
      <c r="R41" s="1396" t="s">
        <v>390</v>
      </c>
      <c r="S41" s="1397">
        <v>1.8384221778427107E-5</v>
      </c>
      <c r="T41" s="1398" t="s">
        <v>390</v>
      </c>
      <c r="U41" s="1399">
        <v>1.0253099756906656E-4</v>
      </c>
      <c r="V41" s="1398">
        <v>2.0156126331142079E-5</v>
      </c>
      <c r="W41" s="1397">
        <v>2.0479920792488489E-5</v>
      </c>
      <c r="X41" s="1396">
        <v>3.8682385124920893E-6</v>
      </c>
      <c r="Y41" s="1399">
        <v>1.359159551013559E-4</v>
      </c>
      <c r="Z41" s="1396" t="s">
        <v>390</v>
      </c>
      <c r="AA41" s="1397">
        <v>9.5431816327899444E-5</v>
      </c>
      <c r="AB41" s="1398" t="s">
        <v>390</v>
      </c>
      <c r="AC41" s="1399" t="s">
        <v>390</v>
      </c>
      <c r="AD41" s="1398">
        <v>9.761169287680065E-5</v>
      </c>
      <c r="AE41" s="1399" t="s">
        <v>390</v>
      </c>
    </row>
    <row r="42" spans="1:31" ht="14" thickBot="1">
      <c r="A42" s="825">
        <v>1147</v>
      </c>
      <c r="B42" s="799" t="s">
        <v>1270</v>
      </c>
      <c r="C42" s="1396">
        <v>5.1703170225495506E-5</v>
      </c>
      <c r="D42" s="1397">
        <v>2.9509519788817963E-4</v>
      </c>
      <c r="E42" s="1396" t="s">
        <v>390</v>
      </c>
      <c r="F42" s="1397" t="s">
        <v>390</v>
      </c>
      <c r="G42" s="1396" t="s">
        <v>390</v>
      </c>
      <c r="H42" s="1397" t="s">
        <v>390</v>
      </c>
      <c r="I42" s="1396" t="s">
        <v>390</v>
      </c>
      <c r="J42" s="1397" t="s">
        <v>390</v>
      </c>
      <c r="K42" s="1396" t="s">
        <v>390</v>
      </c>
      <c r="L42" s="1397" t="s">
        <v>390</v>
      </c>
      <c r="M42" s="1396" t="s">
        <v>390</v>
      </c>
      <c r="N42" s="1397" t="s">
        <v>390</v>
      </c>
      <c r="O42" s="1396" t="s">
        <v>390</v>
      </c>
      <c r="P42" s="1397" t="s">
        <v>390</v>
      </c>
      <c r="Q42" s="1397" t="s">
        <v>390</v>
      </c>
      <c r="R42" s="1396" t="s">
        <v>390</v>
      </c>
      <c r="S42" s="1397" t="s">
        <v>390</v>
      </c>
      <c r="T42" s="1398" t="s">
        <v>390</v>
      </c>
      <c r="U42" s="1399" t="s">
        <v>390</v>
      </c>
      <c r="V42" s="1398" t="s">
        <v>390</v>
      </c>
      <c r="W42" s="1397" t="s">
        <v>390</v>
      </c>
      <c r="X42" s="1396" t="s">
        <v>390</v>
      </c>
      <c r="Y42" s="1399" t="s">
        <v>390</v>
      </c>
      <c r="Z42" s="1396" t="s">
        <v>390</v>
      </c>
      <c r="AA42" s="1397" t="s">
        <v>390</v>
      </c>
      <c r="AB42" s="1398" t="s">
        <v>390</v>
      </c>
      <c r="AC42" s="1399" t="s">
        <v>390</v>
      </c>
      <c r="AD42" s="1398" t="s">
        <v>390</v>
      </c>
      <c r="AE42" s="1399" t="s">
        <v>390</v>
      </c>
    </row>
    <row r="43" spans="1:31" ht="14" thickBot="1">
      <c r="A43" s="825">
        <v>1318</v>
      </c>
      <c r="B43" s="799" t="s">
        <v>1346</v>
      </c>
      <c r="C43" s="1396">
        <v>1.1797271437028927E-3</v>
      </c>
      <c r="D43" s="1397">
        <v>6.5860850115211627E-3</v>
      </c>
      <c r="E43" s="1396" t="s">
        <v>390</v>
      </c>
      <c r="F43" s="1397" t="s">
        <v>390</v>
      </c>
      <c r="G43" s="1396" t="s">
        <v>390</v>
      </c>
      <c r="H43" s="1397">
        <v>7.6673704963713877E-4</v>
      </c>
      <c r="I43" s="1396" t="s">
        <v>390</v>
      </c>
      <c r="J43" s="1397" t="s">
        <v>390</v>
      </c>
      <c r="K43" s="1396" t="s">
        <v>390</v>
      </c>
      <c r="L43" s="1397">
        <v>1.3890586579992127E-4</v>
      </c>
      <c r="M43" s="1396" t="s">
        <v>390</v>
      </c>
      <c r="N43" s="1397" t="s">
        <v>390</v>
      </c>
      <c r="O43" s="1396" t="s">
        <v>390</v>
      </c>
      <c r="P43" s="1397" t="s">
        <v>390</v>
      </c>
      <c r="Q43" s="1397" t="s">
        <v>390</v>
      </c>
      <c r="R43" s="1396" t="s">
        <v>390</v>
      </c>
      <c r="S43" s="1397" t="s">
        <v>390</v>
      </c>
      <c r="T43" s="1398" t="s">
        <v>390</v>
      </c>
      <c r="U43" s="1399" t="s">
        <v>390</v>
      </c>
      <c r="V43" s="1398" t="s">
        <v>390</v>
      </c>
      <c r="W43" s="1397">
        <v>1.186732640998583E-4</v>
      </c>
      <c r="X43" s="1396" t="s">
        <v>390</v>
      </c>
      <c r="Y43" s="1399" t="s">
        <v>390</v>
      </c>
      <c r="Z43" s="1396" t="s">
        <v>390</v>
      </c>
      <c r="AA43" s="1397" t="s">
        <v>390</v>
      </c>
      <c r="AB43" s="1398" t="s">
        <v>390</v>
      </c>
      <c r="AC43" s="1399" t="s">
        <v>390</v>
      </c>
      <c r="AD43" s="1398" t="s">
        <v>390</v>
      </c>
      <c r="AE43" s="1399" t="s">
        <v>390</v>
      </c>
    </row>
    <row r="44" spans="1:31" ht="14" thickBot="1">
      <c r="A44" s="825">
        <v>1322</v>
      </c>
      <c r="B44" s="799" t="s">
        <v>1273</v>
      </c>
      <c r="C44" s="1396">
        <v>1.1289884364604496E-3</v>
      </c>
      <c r="D44" s="1397" t="s">
        <v>390</v>
      </c>
      <c r="E44" s="1396" t="s">
        <v>390</v>
      </c>
      <c r="F44" s="1397" t="s">
        <v>390</v>
      </c>
      <c r="G44" s="1396" t="s">
        <v>390</v>
      </c>
      <c r="H44" s="1397" t="s">
        <v>390</v>
      </c>
      <c r="I44" s="1396" t="s">
        <v>390</v>
      </c>
      <c r="J44" s="1397" t="s">
        <v>390</v>
      </c>
      <c r="K44" s="1396" t="s">
        <v>390</v>
      </c>
      <c r="L44" s="1397" t="s">
        <v>390</v>
      </c>
      <c r="M44" s="1396" t="s">
        <v>390</v>
      </c>
      <c r="N44" s="1397" t="s">
        <v>390</v>
      </c>
      <c r="O44" s="1396" t="s">
        <v>390</v>
      </c>
      <c r="P44" s="1397" t="s">
        <v>390</v>
      </c>
      <c r="Q44" s="1397" t="s">
        <v>390</v>
      </c>
      <c r="R44" s="1396" t="s">
        <v>390</v>
      </c>
      <c r="S44" s="1397" t="s">
        <v>390</v>
      </c>
      <c r="T44" s="1398" t="s">
        <v>390</v>
      </c>
      <c r="U44" s="1399" t="s">
        <v>390</v>
      </c>
      <c r="V44" s="1398" t="s">
        <v>390</v>
      </c>
      <c r="W44" s="1397">
        <v>1.4310328899966106E-2</v>
      </c>
      <c r="X44" s="1396" t="s">
        <v>390</v>
      </c>
      <c r="Y44" s="1399" t="s">
        <v>390</v>
      </c>
      <c r="Z44" s="1396" t="s">
        <v>390</v>
      </c>
      <c r="AA44" s="1397" t="s">
        <v>390</v>
      </c>
      <c r="AB44" s="1398" t="s">
        <v>390</v>
      </c>
      <c r="AC44" s="1399" t="s">
        <v>390</v>
      </c>
      <c r="AD44" s="1398" t="s">
        <v>390</v>
      </c>
      <c r="AE44" s="1399" t="s">
        <v>390</v>
      </c>
    </row>
    <row r="45" spans="1:31" ht="14" thickBot="1">
      <c r="A45" s="825">
        <v>1328</v>
      </c>
      <c r="B45" s="799" t="s">
        <v>1274</v>
      </c>
      <c r="C45" s="1396">
        <v>7.2874499854633918E-4</v>
      </c>
      <c r="D45" s="1397">
        <v>3.6266135775272581E-3</v>
      </c>
      <c r="E45" s="1396">
        <v>3.9010872240540497E-5</v>
      </c>
      <c r="F45" s="1397">
        <v>3.9691542218214796E-5</v>
      </c>
      <c r="G45" s="1396">
        <v>8.3553287362314612E-5</v>
      </c>
      <c r="H45" s="1397">
        <v>1.1431881936660093E-4</v>
      </c>
      <c r="I45" s="1396">
        <v>2.8188506299182502E-5</v>
      </c>
      <c r="J45" s="1397">
        <v>9.2047261557729571E-5</v>
      </c>
      <c r="K45" s="1396">
        <v>7.9818668100884756E-5</v>
      </c>
      <c r="L45" s="1397">
        <v>1.5557797216659888E-4</v>
      </c>
      <c r="M45" s="1396" t="s">
        <v>390</v>
      </c>
      <c r="N45" s="1397">
        <v>8.318464713625979E-5</v>
      </c>
      <c r="O45" s="1396">
        <v>7.2225327655193214E-5</v>
      </c>
      <c r="P45" s="1397">
        <v>6.8181455462002291E-5</v>
      </c>
      <c r="Q45" s="1397" t="s">
        <v>390</v>
      </c>
      <c r="R45" s="1396">
        <v>5.4490633510562256E-4</v>
      </c>
      <c r="S45" s="1397">
        <v>1.5479514737435623E-4</v>
      </c>
      <c r="T45" s="1398">
        <v>6.2987126691046893E-5</v>
      </c>
      <c r="U45" s="1399">
        <v>1.6557990950705973E-4</v>
      </c>
      <c r="V45" s="1398">
        <v>9.029944596351652E-5</v>
      </c>
      <c r="W45" s="1397">
        <v>1.374990374437227E-4</v>
      </c>
      <c r="X45" s="1396">
        <v>1.384829387472168E-3</v>
      </c>
      <c r="Y45" s="1399" t="s">
        <v>390</v>
      </c>
      <c r="Z45" s="1396" t="s">
        <v>390</v>
      </c>
      <c r="AA45" s="1397" t="s">
        <v>390</v>
      </c>
      <c r="AB45" s="1398" t="s">
        <v>390</v>
      </c>
      <c r="AC45" s="1399" t="s">
        <v>390</v>
      </c>
      <c r="AD45" s="1398" t="s">
        <v>390</v>
      </c>
      <c r="AE45" s="1399" t="s">
        <v>390</v>
      </c>
    </row>
    <row r="46" spans="1:31" ht="14" thickBot="1">
      <c r="A46" s="825">
        <v>1331</v>
      </c>
      <c r="B46" s="799" t="s">
        <v>1347</v>
      </c>
      <c r="C46" s="1396">
        <v>2.0218176714572729E-4</v>
      </c>
      <c r="D46" s="1397" t="s">
        <v>390</v>
      </c>
      <c r="E46" s="1396" t="s">
        <v>390</v>
      </c>
      <c r="F46" s="1397" t="s">
        <v>390</v>
      </c>
      <c r="G46" s="1396" t="s">
        <v>390</v>
      </c>
      <c r="H46" s="1397" t="s">
        <v>390</v>
      </c>
      <c r="I46" s="1396" t="s">
        <v>390</v>
      </c>
      <c r="J46" s="1397" t="s">
        <v>390</v>
      </c>
      <c r="K46" s="1396">
        <v>1.2589695284051224E-4</v>
      </c>
      <c r="L46" s="1397" t="s">
        <v>390</v>
      </c>
      <c r="M46" s="1396" t="s">
        <v>390</v>
      </c>
      <c r="N46" s="1397" t="s">
        <v>390</v>
      </c>
      <c r="O46" s="1396" t="s">
        <v>390</v>
      </c>
      <c r="P46" s="1397" t="s">
        <v>390</v>
      </c>
      <c r="Q46" s="1397" t="s">
        <v>390</v>
      </c>
      <c r="R46" s="1396" t="s">
        <v>390</v>
      </c>
      <c r="S46" s="1397" t="s">
        <v>390</v>
      </c>
      <c r="T46" s="1398" t="s">
        <v>390</v>
      </c>
      <c r="U46" s="1399">
        <v>3.2871335799749637E-3</v>
      </c>
      <c r="V46" s="1398">
        <v>5.4169589514944336E-5</v>
      </c>
      <c r="W46" s="1397" t="s">
        <v>390</v>
      </c>
      <c r="X46" s="1396" t="s">
        <v>390</v>
      </c>
      <c r="Y46" s="1399" t="s">
        <v>390</v>
      </c>
      <c r="Z46" s="1396" t="s">
        <v>390</v>
      </c>
      <c r="AA46" s="1397" t="s">
        <v>390</v>
      </c>
      <c r="AB46" s="1398" t="s">
        <v>390</v>
      </c>
      <c r="AC46" s="1399" t="s">
        <v>390</v>
      </c>
      <c r="AD46" s="1398" t="s">
        <v>390</v>
      </c>
      <c r="AE46" s="1399" t="s">
        <v>390</v>
      </c>
    </row>
    <row r="47" spans="1:31" ht="14" thickBot="1">
      <c r="A47" s="825">
        <v>1362</v>
      </c>
      <c r="B47" s="799" t="s">
        <v>1276</v>
      </c>
      <c r="C47" s="1396">
        <v>1.1910620694830975E-4</v>
      </c>
      <c r="D47" s="1397" t="s">
        <v>390</v>
      </c>
      <c r="E47" s="1396" t="s">
        <v>390</v>
      </c>
      <c r="F47" s="1397" t="s">
        <v>390</v>
      </c>
      <c r="G47" s="1396" t="s">
        <v>390</v>
      </c>
      <c r="H47" s="1397" t="s">
        <v>390</v>
      </c>
      <c r="I47" s="1396" t="s">
        <v>390</v>
      </c>
      <c r="J47" s="1397" t="s">
        <v>390</v>
      </c>
      <c r="K47" s="1396" t="s">
        <v>390</v>
      </c>
      <c r="L47" s="1397" t="s">
        <v>390</v>
      </c>
      <c r="M47" s="1396" t="s">
        <v>390</v>
      </c>
      <c r="N47" s="1397" t="s">
        <v>390</v>
      </c>
      <c r="O47" s="1396" t="s">
        <v>390</v>
      </c>
      <c r="P47" s="1397" t="s">
        <v>390</v>
      </c>
      <c r="Q47" s="1397" t="s">
        <v>390</v>
      </c>
      <c r="R47" s="1396" t="s">
        <v>390</v>
      </c>
      <c r="S47" s="1397" t="s">
        <v>390</v>
      </c>
      <c r="T47" s="1398" t="s">
        <v>390</v>
      </c>
      <c r="U47" s="1399" t="s">
        <v>390</v>
      </c>
      <c r="V47" s="1398" t="s">
        <v>390</v>
      </c>
      <c r="W47" s="1397" t="s">
        <v>390</v>
      </c>
      <c r="X47" s="1396" t="s">
        <v>390</v>
      </c>
      <c r="Y47" s="1399" t="s">
        <v>390</v>
      </c>
      <c r="Z47" s="1396" t="s">
        <v>390</v>
      </c>
      <c r="AA47" s="1397">
        <v>2.91909264415946E-3</v>
      </c>
      <c r="AB47" s="1398" t="s">
        <v>390</v>
      </c>
      <c r="AC47" s="1399" t="s">
        <v>390</v>
      </c>
      <c r="AD47" s="1398" t="s">
        <v>390</v>
      </c>
      <c r="AE47" s="1399" t="s">
        <v>390</v>
      </c>
    </row>
    <row r="48" spans="1:31" ht="14" thickBot="1">
      <c r="A48" s="825">
        <v>1384</v>
      </c>
      <c r="B48" s="799" t="s">
        <v>1277</v>
      </c>
      <c r="C48" s="1396">
        <v>7.8344273933368597E-2</v>
      </c>
      <c r="D48" s="1397">
        <v>0.13022761763751936</v>
      </c>
      <c r="E48" s="1396">
        <v>3.4175687440343522E-2</v>
      </c>
      <c r="F48" s="1397">
        <v>2.4223665953512826E-2</v>
      </c>
      <c r="G48" s="1396">
        <v>1.2393737625410002E-2</v>
      </c>
      <c r="H48" s="1397">
        <v>6.0196636312714331E-2</v>
      </c>
      <c r="I48" s="1396">
        <v>1.8930208239879846E-2</v>
      </c>
      <c r="J48" s="1397">
        <v>1.7429064418104268E-2</v>
      </c>
      <c r="K48" s="1396">
        <v>6.8192084506063455E-2</v>
      </c>
      <c r="L48" s="1397">
        <v>7.3978899407910539E-2</v>
      </c>
      <c r="M48" s="1396">
        <v>3.1003684067552842E-2</v>
      </c>
      <c r="N48" s="1397">
        <v>5.6166159272117558E-2</v>
      </c>
      <c r="O48" s="1396">
        <v>9.6787811482015984E-2</v>
      </c>
      <c r="P48" s="1397">
        <v>0.10628410452506643</v>
      </c>
      <c r="Q48" s="1397" t="s">
        <v>390</v>
      </c>
      <c r="R48" s="1396">
        <v>0.10986965118700127</v>
      </c>
      <c r="S48" s="1397">
        <v>0.32134847531375887</v>
      </c>
      <c r="T48" s="1398">
        <v>0.31689327335279216</v>
      </c>
      <c r="U48" s="1399">
        <v>0.25403033028101102</v>
      </c>
      <c r="V48" s="1398">
        <v>6.8330931142993961E-2</v>
      </c>
      <c r="W48" s="1397">
        <v>4.2972387647469593E-2</v>
      </c>
      <c r="X48" s="1396">
        <v>0.20902576092119779</v>
      </c>
      <c r="Y48" s="1399">
        <v>7.6069161838043978E-2</v>
      </c>
      <c r="Z48" s="1396">
        <v>1.8099804210454807E-2</v>
      </c>
      <c r="AA48" s="1397">
        <v>7.116264950400737E-3</v>
      </c>
      <c r="AB48" s="1398">
        <v>1.1939511420073096E-2</v>
      </c>
      <c r="AC48" s="1399">
        <v>3.4488945253005401E-2</v>
      </c>
      <c r="AD48" s="1398">
        <v>1.6097841498690889E-2</v>
      </c>
      <c r="AE48" s="1399" t="s">
        <v>390</v>
      </c>
    </row>
    <row r="49" spans="1:31" ht="14" thickBot="1">
      <c r="A49" s="825">
        <v>1386</v>
      </c>
      <c r="B49" s="799" t="s">
        <v>1348</v>
      </c>
      <c r="C49" s="1396">
        <v>1.3862900088064292E-3</v>
      </c>
      <c r="D49" s="1397">
        <v>2.2417091142074245E-3</v>
      </c>
      <c r="E49" s="1396">
        <v>1.0223122568065294E-3</v>
      </c>
      <c r="F49" s="1397">
        <v>8.4362522083883103E-4</v>
      </c>
      <c r="G49" s="1396">
        <v>3.3421314944925845E-4</v>
      </c>
      <c r="H49" s="1397">
        <v>5.7980228073657074E-4</v>
      </c>
      <c r="I49" s="1396">
        <v>4.3583767431812945E-4</v>
      </c>
      <c r="J49" s="1397">
        <v>6.3418388868514465E-4</v>
      </c>
      <c r="K49" s="1396">
        <v>7.91136451649779E-4</v>
      </c>
      <c r="L49" s="1397">
        <v>9.5830586901525592E-4</v>
      </c>
      <c r="M49" s="1396">
        <v>7.9979499320604784E-4</v>
      </c>
      <c r="N49" s="1397">
        <v>1.656710011337152E-3</v>
      </c>
      <c r="O49" s="1396">
        <v>5.4240342949564934E-4</v>
      </c>
      <c r="P49" s="1397">
        <v>9.2855614874949827E-4</v>
      </c>
      <c r="Q49" s="1397" t="s">
        <v>390</v>
      </c>
      <c r="R49" s="1396">
        <v>1.3725036270567877E-3</v>
      </c>
      <c r="S49" s="1397">
        <v>7.0319648302483682E-4</v>
      </c>
      <c r="T49" s="1398">
        <v>2.047081617459024E-4</v>
      </c>
      <c r="U49" s="1399">
        <v>2.2034676534290684E-3</v>
      </c>
      <c r="V49" s="1398">
        <v>6.76489989988956E-4</v>
      </c>
      <c r="W49" s="1397">
        <v>3.362661210059585E-3</v>
      </c>
      <c r="X49" s="1396">
        <v>7.3589369461649512E-4</v>
      </c>
      <c r="Y49" s="1399">
        <v>5.2457351391553043E-4</v>
      </c>
      <c r="Z49" s="1396">
        <v>1.2935379571978386E-3</v>
      </c>
      <c r="AA49" s="1397">
        <v>8.0768274553162525E-4</v>
      </c>
      <c r="AB49" s="1398">
        <v>6.3270485293921675E-4</v>
      </c>
      <c r="AC49" s="1399">
        <v>2.2748077921581637E-4</v>
      </c>
      <c r="AD49" s="1398">
        <v>7.4477721664998893E-4</v>
      </c>
      <c r="AE49" s="1399" t="s">
        <v>390</v>
      </c>
    </row>
    <row r="50" spans="1:31" ht="14" thickBot="1">
      <c r="A50" s="825">
        <v>1401</v>
      </c>
      <c r="B50" s="799" t="s">
        <v>1279</v>
      </c>
      <c r="C50" s="1396">
        <v>1.2252060476666265E-3</v>
      </c>
      <c r="D50" s="1397">
        <v>7.6510523687075183E-4</v>
      </c>
      <c r="E50" s="1396">
        <v>1.30143570172595E-4</v>
      </c>
      <c r="F50" s="1397">
        <v>9.8329112036704404E-5</v>
      </c>
      <c r="G50" s="1396" t="s">
        <v>390</v>
      </c>
      <c r="H50" s="1397">
        <v>2.7914444775272503E-4</v>
      </c>
      <c r="I50" s="1396">
        <v>1.4907383138990744E-4</v>
      </c>
      <c r="J50" s="1397">
        <v>2.2226635336774595E-5</v>
      </c>
      <c r="K50" s="1396">
        <v>1.6794653508924332E-4</v>
      </c>
      <c r="L50" s="1397">
        <v>2.0414824122462401E-4</v>
      </c>
      <c r="M50" s="1396">
        <v>4.5766498848260628E-5</v>
      </c>
      <c r="N50" s="1397">
        <v>1.2180063929309231E-4</v>
      </c>
      <c r="O50" s="1396">
        <v>6.0370714605404662E-5</v>
      </c>
      <c r="P50" s="1397">
        <v>1.0285121890817968E-4</v>
      </c>
      <c r="Q50" s="1397" t="s">
        <v>390</v>
      </c>
      <c r="R50" s="1396">
        <v>2.207523316245183E-4</v>
      </c>
      <c r="S50" s="1397">
        <v>4.7951565664671415E-3</v>
      </c>
      <c r="T50" s="1398">
        <v>5.6845881838669815E-3</v>
      </c>
      <c r="U50" s="1399">
        <v>1.5457879256191786E-2</v>
      </c>
      <c r="V50" s="1398">
        <v>3.484994242654465E-4</v>
      </c>
      <c r="W50" s="1397">
        <v>2.7372201828422115E-4</v>
      </c>
      <c r="X50" s="1396">
        <v>8.3360539944204526E-4</v>
      </c>
      <c r="Y50" s="1399">
        <v>3.7829257645616505E-5</v>
      </c>
      <c r="Z50" s="1396">
        <v>1.9893407555225337E-5</v>
      </c>
      <c r="AA50" s="1397">
        <v>2.1322142173485353E-5</v>
      </c>
      <c r="AB50" s="1398">
        <v>1.3212065848255737E-5</v>
      </c>
      <c r="AC50" s="1399">
        <v>1.9269014550211006E-5</v>
      </c>
      <c r="AD50" s="1398" t="s">
        <v>390</v>
      </c>
      <c r="AE50" s="1399" t="s">
        <v>390</v>
      </c>
    </row>
    <row r="51" spans="1:31" ht="14" thickBot="1">
      <c r="A51" s="825">
        <v>1423</v>
      </c>
      <c r="B51" s="799" t="s">
        <v>1349</v>
      </c>
      <c r="C51" s="1396">
        <v>4.3378089813922508E-4</v>
      </c>
      <c r="D51" s="1397">
        <v>6.2544575956251919E-5</v>
      </c>
      <c r="E51" s="1396">
        <v>2.5197582219438098E-4</v>
      </c>
      <c r="F51" s="1397">
        <v>8.2904937599574306E-5</v>
      </c>
      <c r="G51" s="1396" t="s">
        <v>390</v>
      </c>
      <c r="H51" s="1397">
        <v>1.3291962321258522E-4</v>
      </c>
      <c r="I51" s="1396" t="s">
        <v>390</v>
      </c>
      <c r="J51" s="1397" t="s">
        <v>390</v>
      </c>
      <c r="K51" s="1396" t="s">
        <v>390</v>
      </c>
      <c r="L51" s="1397">
        <v>3.3956657457029132E-4</v>
      </c>
      <c r="M51" s="1396" t="s">
        <v>390</v>
      </c>
      <c r="N51" s="1397">
        <v>1.1740101093767454E-3</v>
      </c>
      <c r="O51" s="1396">
        <v>4.6880604014487879E-4</v>
      </c>
      <c r="P51" s="1397">
        <v>2.8980737544570827E-4</v>
      </c>
      <c r="Q51" s="1397" t="s">
        <v>390</v>
      </c>
      <c r="R51" s="1396" t="s">
        <v>390</v>
      </c>
      <c r="S51" s="1397" t="s">
        <v>390</v>
      </c>
      <c r="T51" s="1398" t="s">
        <v>390</v>
      </c>
      <c r="U51" s="1399" t="s">
        <v>390</v>
      </c>
      <c r="V51" s="1398" t="s">
        <v>390</v>
      </c>
      <c r="W51" s="1397">
        <v>4.0741966735315348E-3</v>
      </c>
      <c r="X51" s="1396" t="s">
        <v>390</v>
      </c>
      <c r="Y51" s="1399" t="s">
        <v>390</v>
      </c>
      <c r="Z51" s="1396" t="s">
        <v>390</v>
      </c>
      <c r="AA51" s="1397" t="s">
        <v>390</v>
      </c>
      <c r="AB51" s="1398" t="s">
        <v>390</v>
      </c>
      <c r="AC51" s="1399" t="s">
        <v>390</v>
      </c>
      <c r="AD51" s="1398" t="s">
        <v>390</v>
      </c>
      <c r="AE51" s="1399" t="s">
        <v>390</v>
      </c>
    </row>
    <row r="52" spans="1:31" ht="14" thickBot="1">
      <c r="A52" s="825">
        <v>1479</v>
      </c>
      <c r="B52" s="799" t="s">
        <v>1350</v>
      </c>
      <c r="C52" s="1396">
        <v>5.3758607386246042E-2</v>
      </c>
      <c r="D52" s="1397">
        <v>6.7667010067151395E-2</v>
      </c>
      <c r="E52" s="1396">
        <v>9.3643198995767372E-3</v>
      </c>
      <c r="F52" s="1397">
        <v>3.8568919388765679E-3</v>
      </c>
      <c r="G52" s="1396">
        <v>2.0562464019865628E-3</v>
      </c>
      <c r="H52" s="1397">
        <v>1.9613058267382123E-2</v>
      </c>
      <c r="I52" s="1396">
        <v>5.2760752492175642E-2</v>
      </c>
      <c r="J52" s="1397">
        <v>2.210583840559647E-3</v>
      </c>
      <c r="K52" s="1396">
        <v>3.5671642617830742E-3</v>
      </c>
      <c r="L52" s="1397">
        <v>5.8983530595824495E-3</v>
      </c>
      <c r="M52" s="1396">
        <v>2.8003164600840357E-2</v>
      </c>
      <c r="N52" s="1397">
        <v>7.2548383415133491E-2</v>
      </c>
      <c r="O52" s="1396">
        <v>4.7557469490150106E-2</v>
      </c>
      <c r="P52" s="1397">
        <v>4.4839078193960108E-3</v>
      </c>
      <c r="Q52" s="1397" t="s">
        <v>390</v>
      </c>
      <c r="R52" s="1396">
        <v>3.223879848281081E-3</v>
      </c>
      <c r="S52" s="1397">
        <v>1.9211511758456326E-3</v>
      </c>
      <c r="T52" s="1398">
        <v>4.6717551866749477E-3</v>
      </c>
      <c r="U52" s="1399">
        <v>4.1945890199524098E-3</v>
      </c>
      <c r="V52" s="1398">
        <v>2.8549238116061294E-2</v>
      </c>
      <c r="W52" s="1397">
        <v>2.0707043114077187E-2</v>
      </c>
      <c r="X52" s="1396">
        <v>1.1265587067086087E-2</v>
      </c>
      <c r="Y52" s="1399">
        <v>4.6642918364432719E-2</v>
      </c>
      <c r="Z52" s="1396">
        <v>0.14823250229377852</v>
      </c>
      <c r="AA52" s="1397">
        <v>8.7123156266751198E-2</v>
      </c>
      <c r="AB52" s="1398">
        <v>5.3961535877137992E-2</v>
      </c>
      <c r="AC52" s="1399">
        <v>0.20513751252428117</v>
      </c>
      <c r="AD52" s="1398">
        <v>0.11532361343984721</v>
      </c>
      <c r="AE52" s="1399" t="s">
        <v>390</v>
      </c>
    </row>
    <row r="53" spans="1:31" ht="14" thickBot="1">
      <c r="A53" s="825">
        <v>1507</v>
      </c>
      <c r="B53" s="799" t="s">
        <v>1351</v>
      </c>
      <c r="C53" s="1396">
        <v>1.3980313513333583E-3</v>
      </c>
      <c r="D53" s="1397">
        <v>3.3694764181943588E-6</v>
      </c>
      <c r="E53" s="1396">
        <v>1.4258036101327283E-5</v>
      </c>
      <c r="F53" s="1397">
        <v>2.5706957395216839E-6</v>
      </c>
      <c r="G53" s="1396" t="s">
        <v>390</v>
      </c>
      <c r="H53" s="1397" t="s">
        <v>390</v>
      </c>
      <c r="I53" s="1396" t="s">
        <v>390</v>
      </c>
      <c r="J53" s="1397" t="s">
        <v>390</v>
      </c>
      <c r="K53" s="1396" t="s">
        <v>390</v>
      </c>
      <c r="L53" s="1397" t="s">
        <v>390</v>
      </c>
      <c r="M53" s="1396">
        <v>5.8208206312935929E-5</v>
      </c>
      <c r="N53" s="1397" t="s">
        <v>390</v>
      </c>
      <c r="O53" s="1396">
        <v>5.4882467823095151E-6</v>
      </c>
      <c r="P53" s="1397" t="s">
        <v>390</v>
      </c>
      <c r="Q53" s="1397" t="s">
        <v>390</v>
      </c>
      <c r="R53" s="1396" t="s">
        <v>390</v>
      </c>
      <c r="S53" s="1397" t="s">
        <v>390</v>
      </c>
      <c r="T53" s="1400" t="s">
        <v>390</v>
      </c>
      <c r="U53" s="1401" t="s">
        <v>390</v>
      </c>
      <c r="V53" s="1400">
        <v>2.3532277491608377E-5</v>
      </c>
      <c r="W53" s="1397">
        <v>1.1815338918743358E-6</v>
      </c>
      <c r="X53" s="1396" t="s">
        <v>390</v>
      </c>
      <c r="Y53" s="1401">
        <v>7.5541396846509742E-6</v>
      </c>
      <c r="Z53" s="1396">
        <v>8.8601121373548433E-5</v>
      </c>
      <c r="AA53" s="1397">
        <v>3.3869095815066599E-2</v>
      </c>
      <c r="AB53" s="1400">
        <v>3.8275298058251598E-5</v>
      </c>
      <c r="AC53" s="1401">
        <v>2.5838522512107677E-5</v>
      </c>
      <c r="AD53" s="1400">
        <v>1.0458395665371498E-5</v>
      </c>
      <c r="AE53" s="1401" t="s">
        <v>390</v>
      </c>
    </row>
    <row r="54" spans="1:31" ht="14" thickBot="1">
      <c r="A54" s="825">
        <v>1509</v>
      </c>
      <c r="B54" s="799" t="s">
        <v>1352</v>
      </c>
      <c r="C54" s="1396">
        <v>4.1243495845275549E-2</v>
      </c>
      <c r="D54" s="1397">
        <v>6.7033484657819789E-2</v>
      </c>
      <c r="E54" s="1396">
        <v>3.28104679059808E-2</v>
      </c>
      <c r="F54" s="1397">
        <v>2.5442612752321823E-2</v>
      </c>
      <c r="G54" s="1396">
        <v>8.355607247189336E-3</v>
      </c>
      <c r="H54" s="1397">
        <v>5.2332865157940688E-2</v>
      </c>
      <c r="I54" s="1396">
        <v>2.2641875598158744E-2</v>
      </c>
      <c r="J54" s="1397">
        <v>1.3045826973374905E-2</v>
      </c>
      <c r="K54" s="1396">
        <v>3.7924190898053184E-2</v>
      </c>
      <c r="L54" s="1397">
        <v>6.3901887035761565E-2</v>
      </c>
      <c r="M54" s="1396">
        <v>1.5966439799306783E-2</v>
      </c>
      <c r="N54" s="1397">
        <v>4.4264992859284896E-2</v>
      </c>
      <c r="O54" s="1396">
        <v>3.4254123937235315E-2</v>
      </c>
      <c r="P54" s="1397">
        <v>6.7505684592659418E-2</v>
      </c>
      <c r="Q54" s="1397" t="s">
        <v>390</v>
      </c>
      <c r="R54" s="1396">
        <v>6.4984751452710293E-2</v>
      </c>
      <c r="S54" s="1397">
        <v>5.2522434725441748E-2</v>
      </c>
      <c r="T54" s="1398">
        <v>4.1097840423374277E-2</v>
      </c>
      <c r="U54" s="1399">
        <v>2.9668308244049237E-2</v>
      </c>
      <c r="V54" s="1398">
        <v>2.4513780063303337E-2</v>
      </c>
      <c r="W54" s="1397">
        <v>5.2616524132719451E-2</v>
      </c>
      <c r="X54" s="1396">
        <v>7.5573737136172825E-2</v>
      </c>
      <c r="Y54" s="1399">
        <v>4.4811156609349576E-2</v>
      </c>
      <c r="Z54" s="1396">
        <v>1.9673880372955574E-2</v>
      </c>
      <c r="AA54" s="1397">
        <v>5.6992563019571101E-3</v>
      </c>
      <c r="AB54" s="1398">
        <v>5.3845859420784167E-2</v>
      </c>
      <c r="AC54" s="1399">
        <v>2.6210995107890989E-2</v>
      </c>
      <c r="AD54" s="1398">
        <v>2.4586572647084089E-2</v>
      </c>
      <c r="AE54" s="1399" t="s">
        <v>390</v>
      </c>
    </row>
    <row r="55" spans="1:31" ht="14" thickBot="1">
      <c r="A55" s="825">
        <v>1529</v>
      </c>
      <c r="B55" s="799" t="s">
        <v>1353</v>
      </c>
      <c r="C55" s="1396">
        <v>2.0513939976961937E-2</v>
      </c>
      <c r="D55" s="1397">
        <v>1.4983820448135116E-2</v>
      </c>
      <c r="E55" s="1396">
        <v>9.8996553227940383E-3</v>
      </c>
      <c r="F55" s="1397">
        <v>6.3258138340705891E-3</v>
      </c>
      <c r="G55" s="1396">
        <v>2.9221369700180165E-3</v>
      </c>
      <c r="H55" s="1397">
        <v>5.7495680443220756E-3</v>
      </c>
      <c r="I55" s="1396">
        <v>7.39270682029041E-3</v>
      </c>
      <c r="J55" s="1397">
        <v>7.175337711980494E-3</v>
      </c>
      <c r="K55" s="1396">
        <v>4.3749191112078005E-3</v>
      </c>
      <c r="L55" s="1397">
        <v>7.4036911533125211E-3</v>
      </c>
      <c r="M55" s="1396">
        <v>9.8751222092648399E-3</v>
      </c>
      <c r="N55" s="1397">
        <v>2.915671487649427E-2</v>
      </c>
      <c r="O55" s="1396">
        <v>1.8087340508118353E-2</v>
      </c>
      <c r="P55" s="1397">
        <v>2.1983814721309933E-2</v>
      </c>
      <c r="Q55" s="1397" t="s">
        <v>390</v>
      </c>
      <c r="R55" s="1396">
        <v>1.9349165818529808E-2</v>
      </c>
      <c r="S55" s="1397">
        <v>1.1366045114512557E-2</v>
      </c>
      <c r="T55" s="1398">
        <v>1.4464363773332007E-2</v>
      </c>
      <c r="U55" s="1399">
        <v>9.7502999873351256E-3</v>
      </c>
      <c r="V55" s="1398">
        <v>7.862249807672762E-3</v>
      </c>
      <c r="W55" s="1397">
        <v>1.0374308676642968E-2</v>
      </c>
      <c r="X55" s="1396">
        <v>1.4401374617237799E-2</v>
      </c>
      <c r="Y55" s="1399">
        <v>9.0610090181495226E-2</v>
      </c>
      <c r="Z55" s="1396">
        <v>4.0389832312019515E-2</v>
      </c>
      <c r="AA55" s="1397">
        <v>1.1836073421517245E-2</v>
      </c>
      <c r="AB55" s="1398">
        <v>1.2153796385054033E-2</v>
      </c>
      <c r="AC55" s="1399">
        <v>4.9024930033583609E-2</v>
      </c>
      <c r="AD55" s="1398">
        <v>3.4921838134155281E-2</v>
      </c>
      <c r="AE55" s="1399" t="s">
        <v>390</v>
      </c>
    </row>
    <row r="56" spans="1:31" ht="14" thickBot="1">
      <c r="A56" s="825">
        <v>1535</v>
      </c>
      <c r="B56" s="799" t="s">
        <v>1289</v>
      </c>
      <c r="C56" s="1396">
        <v>3.7958364652539052E-2</v>
      </c>
      <c r="D56" s="1397">
        <v>7.0945212689402801E-3</v>
      </c>
      <c r="E56" s="1396">
        <v>7.7866204098544417E-2</v>
      </c>
      <c r="F56" s="1397">
        <v>1.0342680168817591E-3</v>
      </c>
      <c r="G56" s="1396">
        <v>8.7034674335744399E-4</v>
      </c>
      <c r="H56" s="1397">
        <v>1.1330603538495124E-3</v>
      </c>
      <c r="I56" s="1396">
        <v>1.6216522421923932E-3</v>
      </c>
      <c r="J56" s="1397">
        <v>2.6138523156046922E-2</v>
      </c>
      <c r="K56" s="1396">
        <v>4.736041930735526E-2</v>
      </c>
      <c r="L56" s="1397">
        <v>1.0611455455321603E-3</v>
      </c>
      <c r="M56" s="1396">
        <v>0.14414033378151728</v>
      </c>
      <c r="N56" s="1397">
        <v>4.0983396687854466E-2</v>
      </c>
      <c r="O56" s="1396">
        <v>1.4717831396119426E-3</v>
      </c>
      <c r="P56" s="1397">
        <v>1.0094040104809809E-3</v>
      </c>
      <c r="Q56" s="1397" t="s">
        <v>390</v>
      </c>
      <c r="R56" s="1396">
        <v>9.2460034549979406E-4</v>
      </c>
      <c r="S56" s="1397">
        <v>6.1155113745937767E-2</v>
      </c>
      <c r="T56" s="1398">
        <v>3.9519383028496634E-2</v>
      </c>
      <c r="U56" s="1399">
        <v>4.0039731832777386E-3</v>
      </c>
      <c r="V56" s="1398">
        <v>1.0485216917460109E-3</v>
      </c>
      <c r="W56" s="1397">
        <v>1.1419525064965456E-2</v>
      </c>
      <c r="X56" s="1396">
        <v>1.8238744586400201E-3</v>
      </c>
      <c r="Y56" s="1399">
        <v>8.8392803785994258E-3</v>
      </c>
      <c r="Z56" s="1396">
        <v>0.11630794599771259</v>
      </c>
      <c r="AA56" s="1397">
        <v>0.11112058761874377</v>
      </c>
      <c r="AB56" s="1398">
        <v>9.9325816064794681E-2</v>
      </c>
      <c r="AC56" s="1399">
        <v>1.0102353396687757E-2</v>
      </c>
      <c r="AD56" s="1398">
        <v>5.4511947113427021E-3</v>
      </c>
      <c r="AE56" s="1399" t="s">
        <v>390</v>
      </c>
    </row>
    <row r="57" spans="1:31" ht="14" thickBot="1">
      <c r="A57" s="825">
        <v>1542</v>
      </c>
      <c r="B57" s="799" t="s">
        <v>1354</v>
      </c>
      <c r="C57" s="1396">
        <v>8.6539361886358537E-2</v>
      </c>
      <c r="D57" s="1397">
        <v>4.8563433660191231E-2</v>
      </c>
      <c r="E57" s="1396">
        <v>8.875199832614479E-2</v>
      </c>
      <c r="F57" s="1397">
        <v>4.3775940730039042E-2</v>
      </c>
      <c r="G57" s="1396">
        <v>4.5884680309804448E-3</v>
      </c>
      <c r="H57" s="1397">
        <v>1.5911101131842367E-2</v>
      </c>
      <c r="I57" s="1396">
        <v>1.2901662498471991E-2</v>
      </c>
      <c r="J57" s="1397">
        <v>1.6466554470476989E-2</v>
      </c>
      <c r="K57" s="1396">
        <v>5.9254659823915496E-3</v>
      </c>
      <c r="L57" s="1397">
        <v>1.7008100347026489E-2</v>
      </c>
      <c r="M57" s="1396">
        <v>9.4319092640852073E-2</v>
      </c>
      <c r="N57" s="1397">
        <v>4.2896681730083451E-2</v>
      </c>
      <c r="O57" s="1396">
        <v>0.12972338412980144</v>
      </c>
      <c r="P57" s="1397">
        <v>5.3398239376766493E-2</v>
      </c>
      <c r="Q57" s="1397" t="s">
        <v>390</v>
      </c>
      <c r="R57" s="1396">
        <v>0.12352212712595691</v>
      </c>
      <c r="S57" s="1397">
        <v>4.793685828724868E-3</v>
      </c>
      <c r="T57" s="1398">
        <v>7.8469362431706213E-3</v>
      </c>
      <c r="U57" s="1399">
        <v>9.1966734088194078E-3</v>
      </c>
      <c r="V57" s="1398">
        <v>2.0352245440344092E-2</v>
      </c>
      <c r="W57" s="1397">
        <v>1.7345973036325325E-2</v>
      </c>
      <c r="X57" s="1396">
        <v>2.1102865745819595E-2</v>
      </c>
      <c r="Y57" s="1399">
        <v>7.5578962587654744E-2</v>
      </c>
      <c r="Z57" s="1396">
        <v>0.25272584958158273</v>
      </c>
      <c r="AA57" s="1397">
        <v>5.2181617620764502E-2</v>
      </c>
      <c r="AB57" s="1398">
        <v>0.39468540398443014</v>
      </c>
      <c r="AC57" s="1399">
        <v>0.19829967254703942</v>
      </c>
      <c r="AD57" s="1398">
        <v>0.30188270644315263</v>
      </c>
      <c r="AE57" s="1399" t="s">
        <v>390</v>
      </c>
    </row>
    <row r="58" spans="1:31" ht="14" thickBot="1">
      <c r="A58" s="825">
        <v>1555</v>
      </c>
      <c r="B58" s="799" t="s">
        <v>1292</v>
      </c>
      <c r="C58" s="1396">
        <v>5.5098862930581742E-2</v>
      </c>
      <c r="D58" s="1397">
        <v>3.8842494193700505E-2</v>
      </c>
      <c r="E58" s="1396">
        <v>0.22233933198192909</v>
      </c>
      <c r="F58" s="1397">
        <v>5.8509035031513524E-3</v>
      </c>
      <c r="G58" s="1396">
        <v>8.4759239809910694E-3</v>
      </c>
      <c r="H58" s="1397">
        <v>7.7889707692008299E-3</v>
      </c>
      <c r="I58" s="1396">
        <v>4.8623005019451417E-2</v>
      </c>
      <c r="J58" s="1397">
        <v>2.6408141906436491E-2</v>
      </c>
      <c r="K58" s="1396">
        <v>6.7019983875118289E-3</v>
      </c>
      <c r="L58" s="1397">
        <v>4.5632831052104326E-2</v>
      </c>
      <c r="M58" s="1396">
        <v>8.6761687636593934E-2</v>
      </c>
      <c r="N58" s="1397">
        <v>9.2266273750218425E-2</v>
      </c>
      <c r="O58" s="1396">
        <v>3.7017785486935094E-2</v>
      </c>
      <c r="P58" s="1397">
        <v>8.0070397714661845E-2</v>
      </c>
      <c r="Q58" s="1397" t="s">
        <v>390</v>
      </c>
      <c r="R58" s="1396">
        <v>5.4078946408628301E-2</v>
      </c>
      <c r="S58" s="1397">
        <v>1.508425396919944E-2</v>
      </c>
      <c r="T58" s="1398">
        <v>5.169983358801129E-3</v>
      </c>
      <c r="U58" s="1399">
        <v>1.3467941332028445E-2</v>
      </c>
      <c r="V58" s="1398">
        <v>1.1115247036255781E-2</v>
      </c>
      <c r="W58" s="1397">
        <v>4.0309478069533666E-2</v>
      </c>
      <c r="X58" s="1396">
        <v>1.2897674260276749E-2</v>
      </c>
      <c r="Y58" s="1399">
        <v>2.6540005801462156E-2</v>
      </c>
      <c r="Z58" s="1396">
        <v>2.0647065870557195E-2</v>
      </c>
      <c r="AA58" s="1397">
        <v>9.9949978254460989E-3</v>
      </c>
      <c r="AB58" s="1398">
        <v>1.8137274498246279E-2</v>
      </c>
      <c r="AC58" s="1399">
        <v>4.796619830855527E-3</v>
      </c>
      <c r="AD58" s="1398">
        <v>1.6137304511668223E-2</v>
      </c>
      <c r="AE58" s="1399" t="s">
        <v>390</v>
      </c>
    </row>
    <row r="59" spans="1:31" ht="14" thickBot="1">
      <c r="A59" s="825">
        <v>1560</v>
      </c>
      <c r="B59" s="799" t="s">
        <v>1293</v>
      </c>
      <c r="C59" s="1396">
        <v>1.4485339142887139E-2</v>
      </c>
      <c r="D59" s="1397">
        <v>1.0329041289542748E-2</v>
      </c>
      <c r="E59" s="1396">
        <v>2.3084535231944286E-2</v>
      </c>
      <c r="F59" s="1397">
        <v>1.9904897111116399E-2</v>
      </c>
      <c r="G59" s="1396">
        <v>6.4865202088943585E-2</v>
      </c>
      <c r="H59" s="1397">
        <v>3.7003022597527462E-2</v>
      </c>
      <c r="I59" s="1396">
        <v>2.1846092381866439E-2</v>
      </c>
      <c r="J59" s="1397">
        <v>2.3313807717377698E-2</v>
      </c>
      <c r="K59" s="1396">
        <v>2.4348470679355066E-2</v>
      </c>
      <c r="L59" s="1397">
        <v>1.7301563443786885E-2</v>
      </c>
      <c r="M59" s="1396">
        <v>1.0465272736635597E-2</v>
      </c>
      <c r="N59" s="1397">
        <v>1.3645334777947936E-2</v>
      </c>
      <c r="O59" s="1396">
        <v>2.7990058589778528E-4</v>
      </c>
      <c r="P59" s="1397">
        <v>1.0364739301654701E-2</v>
      </c>
      <c r="Q59" s="1397" t="s">
        <v>390</v>
      </c>
      <c r="R59" s="1396">
        <v>2.0718726081164936E-2</v>
      </c>
      <c r="S59" s="1397">
        <v>6.7672320366390176E-2</v>
      </c>
      <c r="T59" s="1398">
        <v>8.5221582412986441E-2</v>
      </c>
      <c r="U59" s="1399">
        <v>2.8943327373476799E-2</v>
      </c>
      <c r="V59" s="1398">
        <v>1.426045937928302E-3</v>
      </c>
      <c r="W59" s="1397">
        <v>2.1938721304322669E-2</v>
      </c>
      <c r="X59" s="1396">
        <v>3.9486978735519249E-2</v>
      </c>
      <c r="Y59" s="1399">
        <v>2.0847083160742226E-3</v>
      </c>
      <c r="Z59" s="1396">
        <v>2.4969656379662152E-4</v>
      </c>
      <c r="AA59" s="1397">
        <v>3.3506223415476986E-4</v>
      </c>
      <c r="AB59" s="1398">
        <v>8.7834721025528487E-3</v>
      </c>
      <c r="AC59" s="1399">
        <v>6.9396210865105661E-5</v>
      </c>
      <c r="AD59" s="1398">
        <v>1.6663710426825254E-2</v>
      </c>
      <c r="AE59" s="1399" t="s">
        <v>390</v>
      </c>
    </row>
    <row r="60" spans="1:31" ht="14" thickBot="1">
      <c r="A60" s="825">
        <v>1562</v>
      </c>
      <c r="B60" s="799" t="s">
        <v>1294</v>
      </c>
      <c r="C60" s="1396">
        <v>7.018589398837409E-2</v>
      </c>
      <c r="D60" s="1397">
        <v>9.8155274085022781E-2</v>
      </c>
      <c r="E60" s="1396">
        <v>4.8967599956253889E-2</v>
      </c>
      <c r="F60" s="1397">
        <v>2.5169887641315968E-2</v>
      </c>
      <c r="G60" s="1396">
        <v>2.9919039649655494E-2</v>
      </c>
      <c r="H60" s="1397">
        <v>3.9793143174425102E-2</v>
      </c>
      <c r="I60" s="1396">
        <v>3.8917214422649234E-2</v>
      </c>
      <c r="J60" s="1397">
        <v>4.4171330636179444E-2</v>
      </c>
      <c r="K60" s="1396">
        <v>7.6923038185552975E-2</v>
      </c>
      <c r="L60" s="1397">
        <v>4.4237052514498131E-2</v>
      </c>
      <c r="M60" s="1396">
        <v>3.0392074137388789E-2</v>
      </c>
      <c r="N60" s="1397">
        <v>0.17446453413029825</v>
      </c>
      <c r="O60" s="1396">
        <v>2.7898130456174841E-2</v>
      </c>
      <c r="P60" s="1397">
        <v>4.9010234347696545E-2</v>
      </c>
      <c r="Q60" s="1397" t="s">
        <v>390</v>
      </c>
      <c r="R60" s="1396">
        <v>4.5406771043487948E-2</v>
      </c>
      <c r="S60" s="1397">
        <v>6.1941039226965526E-2</v>
      </c>
      <c r="T60" s="1398">
        <v>5.4032246889380756E-2</v>
      </c>
      <c r="U60" s="1399">
        <v>3.3629657098188312E-2</v>
      </c>
      <c r="V60" s="1398">
        <v>4.2469361302242978E-2</v>
      </c>
      <c r="W60" s="1397">
        <v>6.7284684510286005E-2</v>
      </c>
      <c r="X60" s="1396">
        <v>5.6305770328753856E-2</v>
      </c>
      <c r="Y60" s="1399">
        <v>0.11602362150199778</v>
      </c>
      <c r="Z60" s="1396">
        <v>6.9503902867048897E-2</v>
      </c>
      <c r="AA60" s="1397">
        <v>2.8374958520818418E-2</v>
      </c>
      <c r="AB60" s="1398">
        <v>2.2016802005285392E-2</v>
      </c>
      <c r="AC60" s="1399">
        <v>0.18921147537593433</v>
      </c>
      <c r="AD60" s="1398">
        <v>1.0231797092621783E-2</v>
      </c>
      <c r="AE60" s="1399" t="s">
        <v>390</v>
      </c>
    </row>
    <row r="61" spans="1:31" ht="14" thickBot="1">
      <c r="A61" s="825">
        <v>1565</v>
      </c>
      <c r="B61" s="799" t="s">
        <v>1295</v>
      </c>
      <c r="C61" s="1396">
        <v>2.5777862109183671E-2</v>
      </c>
      <c r="D61" s="1397">
        <v>6.5906369968212794E-2</v>
      </c>
      <c r="E61" s="1396">
        <v>9.8077277167095463E-3</v>
      </c>
      <c r="F61" s="1397">
        <v>1.238638328173733E-3</v>
      </c>
      <c r="G61" s="1396">
        <v>1.1605551614625501E-3</v>
      </c>
      <c r="H61" s="1397">
        <v>2.7972696402975227E-3</v>
      </c>
      <c r="I61" s="1396">
        <v>1.3980414951075321E-3</v>
      </c>
      <c r="J61" s="1397">
        <v>1.0951449780608612E-3</v>
      </c>
      <c r="K61" s="1396">
        <v>4.118844709130199E-3</v>
      </c>
      <c r="L61" s="1397">
        <v>3.0650306566861987E-3</v>
      </c>
      <c r="M61" s="1396">
        <v>1.6816069424592045E-2</v>
      </c>
      <c r="N61" s="1397">
        <v>1.0845484556102495E-2</v>
      </c>
      <c r="O61" s="1396">
        <v>2.5502510735696739E-2</v>
      </c>
      <c r="P61" s="1397">
        <v>3.2782179394167242E-2</v>
      </c>
      <c r="Q61" s="1397" t="s">
        <v>390</v>
      </c>
      <c r="R61" s="1396">
        <v>2.2853305148699409E-3</v>
      </c>
      <c r="S61" s="1397">
        <v>4.3769155210079255E-3</v>
      </c>
      <c r="T61" s="1398">
        <v>4.7290734719638008E-3</v>
      </c>
      <c r="U61" s="1399">
        <v>5.9600442517664248E-2</v>
      </c>
      <c r="V61" s="1398">
        <v>5.6866328047103662E-2</v>
      </c>
      <c r="W61" s="1397">
        <v>3.2886026657169016E-3</v>
      </c>
      <c r="X61" s="1396">
        <v>2.1420370762924943E-3</v>
      </c>
      <c r="Y61" s="1399">
        <v>9.9074386579701926E-2</v>
      </c>
      <c r="Z61" s="1396">
        <v>8.1608245628101306E-4</v>
      </c>
      <c r="AA61" s="1397">
        <v>1.7136301062799131E-3</v>
      </c>
      <c r="AB61" s="1398">
        <v>1.4625416669147472E-2</v>
      </c>
      <c r="AC61" s="1399">
        <v>8.6611097573709541E-4</v>
      </c>
      <c r="AD61" s="1398">
        <v>1.3851099219218013E-3</v>
      </c>
      <c r="AE61" s="1399" t="s">
        <v>390</v>
      </c>
    </row>
    <row r="62" spans="1:31" ht="14" thickBot="1">
      <c r="A62" s="825">
        <v>1566</v>
      </c>
      <c r="B62" s="799" t="s">
        <v>1296</v>
      </c>
      <c r="C62" s="1396">
        <v>2.5805671206149908E-2</v>
      </c>
      <c r="D62" s="1397">
        <v>6.9551880988220202E-3</v>
      </c>
      <c r="E62" s="1396">
        <v>4.8777757777620341E-2</v>
      </c>
      <c r="F62" s="1397">
        <v>7.9331670521639169E-2</v>
      </c>
      <c r="G62" s="1396">
        <v>3.0009555710964666E-3</v>
      </c>
      <c r="H62" s="1397">
        <v>8.6048046736869596E-2</v>
      </c>
      <c r="I62" s="1396">
        <v>6.7942431480923814E-3</v>
      </c>
      <c r="J62" s="1397">
        <v>7.3645057062054339E-3</v>
      </c>
      <c r="K62" s="1396">
        <v>9.7716178916691983E-3</v>
      </c>
      <c r="L62" s="1397">
        <v>6.2543110366877347E-2</v>
      </c>
      <c r="M62" s="1396">
        <v>1.4161070073628804E-2</v>
      </c>
      <c r="N62" s="1397">
        <v>1.0489355055312259E-2</v>
      </c>
      <c r="O62" s="1396">
        <v>3.3666003412043026E-3</v>
      </c>
      <c r="P62" s="1397">
        <v>4.0728648410852768E-3</v>
      </c>
      <c r="Q62" s="1397" t="s">
        <v>390</v>
      </c>
      <c r="R62" s="1396">
        <v>7.6938010313804872E-2</v>
      </c>
      <c r="S62" s="1397">
        <v>8.5901746997442921E-2</v>
      </c>
      <c r="T62" s="1398">
        <v>1.1783631661361054E-2</v>
      </c>
      <c r="U62" s="1399">
        <v>2.0098115941399118E-2</v>
      </c>
      <c r="V62" s="1398">
        <v>2.967233747523253E-2</v>
      </c>
      <c r="W62" s="1397">
        <v>5.3746669177189864E-2</v>
      </c>
      <c r="X62" s="1396">
        <v>9.150975801847162E-3</v>
      </c>
      <c r="Y62" s="1399">
        <v>3.0767893817138692E-3</v>
      </c>
      <c r="Z62" s="1396">
        <v>1.6763008381517914E-3</v>
      </c>
      <c r="AA62" s="1397">
        <v>6.1913165149555638E-2</v>
      </c>
      <c r="AB62" s="1398">
        <v>5.7422586792073545E-3</v>
      </c>
      <c r="AC62" s="1399">
        <v>5.1487362047850733E-4</v>
      </c>
      <c r="AD62" s="1398">
        <v>2.0842466998881093E-2</v>
      </c>
      <c r="AE62" s="1399" t="s">
        <v>390</v>
      </c>
    </row>
    <row r="63" spans="1:31" ht="14" thickBot="1">
      <c r="A63" s="825">
        <v>1568</v>
      </c>
      <c r="B63" s="799" t="s">
        <v>1355</v>
      </c>
      <c r="C63" s="1396">
        <v>1.0219910871216575E-2</v>
      </c>
      <c r="D63" s="1397">
        <v>1.090108616810281E-2</v>
      </c>
      <c r="E63" s="1396">
        <v>3.3633469521224101E-3</v>
      </c>
      <c r="F63" s="1397">
        <v>3.5945601507455988E-2</v>
      </c>
      <c r="G63" s="1396">
        <v>1.2839355158009012E-2</v>
      </c>
      <c r="H63" s="1397">
        <v>1.5457665166201824E-2</v>
      </c>
      <c r="I63" s="1396">
        <v>7.2617928919970921E-3</v>
      </c>
      <c r="J63" s="1397">
        <v>1.2142024334300189E-2</v>
      </c>
      <c r="K63" s="1396">
        <v>1.6247001764068104E-2</v>
      </c>
      <c r="L63" s="1397">
        <v>3.398898092855636E-3</v>
      </c>
      <c r="M63" s="1396">
        <v>6.4269724827061112E-4</v>
      </c>
      <c r="N63" s="1397">
        <v>1.3239256330780927E-2</v>
      </c>
      <c r="O63" s="1396">
        <v>7.0153514494871371E-3</v>
      </c>
      <c r="P63" s="1397">
        <v>1.1912574147785189E-3</v>
      </c>
      <c r="Q63" s="1397" t="s">
        <v>390</v>
      </c>
      <c r="R63" s="1396">
        <v>1.4734994184295819E-2</v>
      </c>
      <c r="S63" s="1397">
        <v>1.992702567007271E-2</v>
      </c>
      <c r="T63" s="1398">
        <v>1.2350515801580475E-2</v>
      </c>
      <c r="U63" s="1399">
        <v>2.8530305989836392E-2</v>
      </c>
      <c r="V63" s="1398">
        <v>8.4718718485581549E-3</v>
      </c>
      <c r="W63" s="1397">
        <v>1.3533021383179819E-2</v>
      </c>
      <c r="X63" s="1396">
        <v>1.1779443871085536E-2</v>
      </c>
      <c r="Y63" s="1399">
        <v>2.4521674363934848E-4</v>
      </c>
      <c r="Z63" s="1396">
        <v>1.1546517893612473E-2</v>
      </c>
      <c r="AA63" s="1397">
        <v>2.611962416251956E-4</v>
      </c>
      <c r="AB63" s="1398">
        <v>6.3867579943630397E-3</v>
      </c>
      <c r="AC63" s="1399">
        <v>4.84223627346419E-4</v>
      </c>
      <c r="AD63" s="1398">
        <v>8.0181033434514824E-5</v>
      </c>
      <c r="AE63" s="1399" t="s">
        <v>390</v>
      </c>
    </row>
    <row r="64" spans="1:31" ht="14" thickBot="1">
      <c r="A64" s="825">
        <v>1569</v>
      </c>
      <c r="B64" s="799" t="s">
        <v>1298</v>
      </c>
      <c r="C64" s="1396">
        <v>1.9091947437677198E-2</v>
      </c>
      <c r="D64" s="1397">
        <v>1.3392916837058726E-2</v>
      </c>
      <c r="E64" s="1396">
        <v>1.9158624736851444E-2</v>
      </c>
      <c r="F64" s="1397">
        <v>1.5224559912956246E-2</v>
      </c>
      <c r="G64" s="1396">
        <v>0.11147456791113718</v>
      </c>
      <c r="H64" s="1397">
        <v>1.1304919866280742E-2</v>
      </c>
      <c r="I64" s="1396">
        <v>4.9076731553536333E-2</v>
      </c>
      <c r="J64" s="1397">
        <v>4.0271280916162576E-3</v>
      </c>
      <c r="K64" s="1396">
        <v>0.11656320455082235</v>
      </c>
      <c r="L64" s="1397">
        <v>8.4665379341882195E-3</v>
      </c>
      <c r="M64" s="1396">
        <v>7.5730673171973302E-3</v>
      </c>
      <c r="N64" s="1397">
        <v>4.8437618707448726E-2</v>
      </c>
      <c r="O64" s="1396">
        <v>1.7423372412394549E-2</v>
      </c>
      <c r="P64" s="1397">
        <v>1.3344601850880428E-2</v>
      </c>
      <c r="Q64" s="1397" t="s">
        <v>390</v>
      </c>
      <c r="R64" s="1396">
        <v>1.2749119006238267E-2</v>
      </c>
      <c r="S64" s="1397">
        <v>4.7866998244490658E-2</v>
      </c>
      <c r="T64" s="1398">
        <v>4.0363410526156669E-2</v>
      </c>
      <c r="U64" s="1399">
        <v>1.8245885818746945E-2</v>
      </c>
      <c r="V64" s="1398">
        <v>4.4141463152358701E-2</v>
      </c>
      <c r="W64" s="1397">
        <v>8.7402473041807618E-3</v>
      </c>
      <c r="X64" s="1396">
        <v>1.3115649500455679E-2</v>
      </c>
      <c r="Y64" s="1399">
        <v>2.4593877885106745E-2</v>
      </c>
      <c r="Z64" s="1396">
        <v>1.7392600431662254E-3</v>
      </c>
      <c r="AA64" s="1397">
        <v>8.5410257205345813E-2</v>
      </c>
      <c r="AB64" s="1398">
        <v>2.5998850606975344E-3</v>
      </c>
      <c r="AC64" s="1399">
        <v>3.7842910388256536E-3</v>
      </c>
      <c r="AD64" s="1398">
        <v>5.5555973891382171E-2</v>
      </c>
      <c r="AE64" s="1399" t="s">
        <v>390</v>
      </c>
    </row>
    <row r="65" spans="1:31" ht="14" thickBot="1">
      <c r="A65" s="825">
        <v>1570</v>
      </c>
      <c r="B65" s="799" t="s">
        <v>1356</v>
      </c>
      <c r="C65" s="1396">
        <v>7.6065182032588052E-3</v>
      </c>
      <c r="D65" s="1397">
        <v>1.112047809791737E-3</v>
      </c>
      <c r="E65" s="1396">
        <v>1.8956295456734655E-2</v>
      </c>
      <c r="F65" s="1397">
        <v>1.6443969436998355E-3</v>
      </c>
      <c r="G65" s="1396">
        <v>8.6338396941058437E-4</v>
      </c>
      <c r="H65" s="1397">
        <v>1.0877829523169389E-3</v>
      </c>
      <c r="I65" s="1396">
        <v>1.6127078123089988E-3</v>
      </c>
      <c r="J65" s="1397">
        <v>1.6971968830526252E-3</v>
      </c>
      <c r="K65" s="1396">
        <v>1.1838594063404729E-2</v>
      </c>
      <c r="L65" s="1397">
        <v>8.757108930864602E-3</v>
      </c>
      <c r="M65" s="1396">
        <v>4.4938633735760979E-3</v>
      </c>
      <c r="N65" s="1397">
        <v>2.2344617279839913E-3</v>
      </c>
      <c r="O65" s="1396">
        <v>3.6542393550651445E-3</v>
      </c>
      <c r="P65" s="1397">
        <v>1.3756911469818108E-2</v>
      </c>
      <c r="Q65" s="1397" t="s">
        <v>390</v>
      </c>
      <c r="R65" s="1396">
        <v>4.66800960867714E-2</v>
      </c>
      <c r="S65" s="1397">
        <v>8.9286649911286924E-3</v>
      </c>
      <c r="T65" s="1398">
        <v>2.2939911540879277E-3</v>
      </c>
      <c r="U65" s="1399">
        <v>3.7834448207451081E-3</v>
      </c>
      <c r="V65" s="1398">
        <v>1.4151112393936574E-3</v>
      </c>
      <c r="W65" s="1397">
        <v>5.7209871044555339E-3</v>
      </c>
      <c r="X65" s="1396">
        <v>5.0344157180456421E-2</v>
      </c>
      <c r="Y65" s="1399">
        <v>2.9025756951880041E-3</v>
      </c>
      <c r="Z65" s="1396">
        <v>3.1612270956223151E-3</v>
      </c>
      <c r="AA65" s="1397">
        <v>8.4438119823250397E-3</v>
      </c>
      <c r="AB65" s="1398">
        <v>3.0015205216554551E-3</v>
      </c>
      <c r="AC65" s="1399">
        <v>4.9828329966768933E-3</v>
      </c>
      <c r="AD65" s="1398">
        <v>3.4826457565687091E-3</v>
      </c>
      <c r="AE65" s="1399" t="s">
        <v>390</v>
      </c>
    </row>
    <row r="66" spans="1:31" ht="14" thickBot="1">
      <c r="A66" s="825">
        <v>1574</v>
      </c>
      <c r="B66" s="799" t="s">
        <v>1300</v>
      </c>
      <c r="C66" s="1396">
        <v>2.1590672168419236E-4</v>
      </c>
      <c r="D66" s="1397">
        <v>5.7582578578300439E-4</v>
      </c>
      <c r="E66" s="1396">
        <v>1.7885433429858325E-4</v>
      </c>
      <c r="F66" s="1397">
        <v>8.7917794291641593E-6</v>
      </c>
      <c r="G66" s="1396" t="s">
        <v>390</v>
      </c>
      <c r="H66" s="1397">
        <v>3.3097515740185562E-5</v>
      </c>
      <c r="I66" s="1396">
        <v>2.7104332979983172E-5</v>
      </c>
      <c r="J66" s="1397" t="s">
        <v>390</v>
      </c>
      <c r="K66" s="1396">
        <v>3.5251146795343426E-4</v>
      </c>
      <c r="L66" s="1397">
        <v>5.8097186981840923E-5</v>
      </c>
      <c r="M66" s="1396">
        <v>1.5821648157394988E-4</v>
      </c>
      <c r="N66" s="1397">
        <v>5.6588454909666632E-5</v>
      </c>
      <c r="O66" s="1396">
        <v>3.7089571754847701E-4</v>
      </c>
      <c r="P66" s="1397">
        <v>1.462788975463977E-4</v>
      </c>
      <c r="Q66" s="1397" t="s">
        <v>390</v>
      </c>
      <c r="R66" s="1396">
        <v>1.5356683939096925E-4</v>
      </c>
      <c r="S66" s="1397">
        <v>6.1219458522162267E-5</v>
      </c>
      <c r="T66" s="1398" t="s">
        <v>390</v>
      </c>
      <c r="U66" s="1399">
        <v>1.7506785256568979E-5</v>
      </c>
      <c r="V66" s="1398">
        <v>1.1740943587890262E-5</v>
      </c>
      <c r="W66" s="1397">
        <v>2.9806161645683247E-5</v>
      </c>
      <c r="X66" s="1396">
        <v>1.9824722376521957E-4</v>
      </c>
      <c r="Y66" s="1399">
        <v>6.7840859105954685E-5</v>
      </c>
      <c r="Z66" s="1396">
        <v>4.6245998749761083E-4</v>
      </c>
      <c r="AA66" s="1397">
        <v>1.6372359168926253E-4</v>
      </c>
      <c r="AB66" s="1398">
        <v>1.4601317407407093E-4</v>
      </c>
      <c r="AC66" s="1399">
        <v>1.7927354473485629E-5</v>
      </c>
      <c r="AD66" s="1398">
        <v>5.5778110215314658E-5</v>
      </c>
      <c r="AE66" s="1399" t="s">
        <v>390</v>
      </c>
    </row>
    <row r="67" spans="1:31" ht="14" thickBot="1">
      <c r="A67" s="825">
        <v>1575</v>
      </c>
      <c r="B67" s="799" t="s">
        <v>1301</v>
      </c>
      <c r="C67" s="1396">
        <v>3.5108403880641592E-3</v>
      </c>
      <c r="D67" s="1397">
        <v>5.2537869421325489E-3</v>
      </c>
      <c r="E67" s="1396">
        <v>1.0455608047332173E-2</v>
      </c>
      <c r="F67" s="1397">
        <v>1.5044225606828799E-3</v>
      </c>
      <c r="G67" s="1396">
        <v>9.190861609854608E-4</v>
      </c>
      <c r="H67" s="1397">
        <v>2.0458236429323502E-3</v>
      </c>
      <c r="I67" s="1396">
        <v>2.2591461538815972E-3</v>
      </c>
      <c r="J67" s="1397">
        <v>1.8914383483870467E-3</v>
      </c>
      <c r="K67" s="1396">
        <v>5.5185670308110129E-3</v>
      </c>
      <c r="L67" s="1397">
        <v>3.0772795511596761E-3</v>
      </c>
      <c r="M67" s="1396">
        <v>1.4829023649041602E-3</v>
      </c>
      <c r="N67" s="1397">
        <v>4.968069496880557E-3</v>
      </c>
      <c r="O67" s="1396">
        <v>4.0847923151373254E-3</v>
      </c>
      <c r="P67" s="1397">
        <v>2.7741239216771685E-3</v>
      </c>
      <c r="Q67" s="1397" t="s">
        <v>390</v>
      </c>
      <c r="R67" s="1396">
        <v>9.9856837313977756E-4</v>
      </c>
      <c r="S67" s="1397">
        <v>1.9706047324296013E-3</v>
      </c>
      <c r="T67" s="1398">
        <v>4.4090988683732825E-4</v>
      </c>
      <c r="U67" s="1399">
        <v>1.4740590760959353E-3</v>
      </c>
      <c r="V67" s="1398">
        <v>2.4964370267436023E-3</v>
      </c>
      <c r="W67" s="1397">
        <v>2.1897919000589943E-3</v>
      </c>
      <c r="X67" s="1396">
        <v>6.9612820270807641E-4</v>
      </c>
      <c r="Y67" s="1399">
        <v>3.1806441625722298E-4</v>
      </c>
      <c r="Z67" s="1396">
        <v>2.0028271138858348E-3</v>
      </c>
      <c r="AA67" s="1397">
        <v>4.8657128439893581E-4</v>
      </c>
      <c r="AB67" s="1398">
        <v>2.5297987371419805E-3</v>
      </c>
      <c r="AC67" s="1399">
        <v>5.7177851338789394E-4</v>
      </c>
      <c r="AD67" s="1398">
        <v>1.7975890469640531E-3</v>
      </c>
      <c r="AE67" s="1399" t="s">
        <v>390</v>
      </c>
    </row>
    <row r="68" spans="1:31" ht="14" thickBot="1">
      <c r="A68" s="825">
        <v>1577</v>
      </c>
      <c r="B68" s="799" t="s">
        <v>1302</v>
      </c>
      <c r="C68" s="1396">
        <v>7.7803191556906097E-3</v>
      </c>
      <c r="D68" s="1397">
        <v>5.149489233128946E-3</v>
      </c>
      <c r="E68" s="1396">
        <v>1.2607042055098787E-3</v>
      </c>
      <c r="F68" s="1397">
        <v>5.3871499917416412E-4</v>
      </c>
      <c r="G68" s="1396">
        <v>1.1474651464424541E-4</v>
      </c>
      <c r="H68" s="1397">
        <v>7.1358243935840072E-4</v>
      </c>
      <c r="I68" s="1396">
        <v>3.3202807900479386E-4</v>
      </c>
      <c r="J68" s="1397">
        <v>5.1531970840587181E-4</v>
      </c>
      <c r="K68" s="1396">
        <v>1.0381462731228639E-3</v>
      </c>
      <c r="L68" s="1397">
        <v>6.4034498330790401E-4</v>
      </c>
      <c r="M68" s="1396">
        <v>9.7415179337381787E-3</v>
      </c>
      <c r="N68" s="1397">
        <v>4.4219203145264938E-2</v>
      </c>
      <c r="O68" s="1396">
        <v>4.7692864538269688E-4</v>
      </c>
      <c r="P68" s="1397">
        <v>9.1401511435213485E-3</v>
      </c>
      <c r="Q68" s="1397" t="s">
        <v>390</v>
      </c>
      <c r="R68" s="1396">
        <v>1.0674175061333954E-3</v>
      </c>
      <c r="S68" s="1397">
        <v>1.0922066158563543E-3</v>
      </c>
      <c r="T68" s="1398">
        <v>1.9400035020842443E-4</v>
      </c>
      <c r="U68" s="1399">
        <v>2.0226294991494417E-2</v>
      </c>
      <c r="V68" s="1398">
        <v>5.0269379069868341E-4</v>
      </c>
      <c r="W68" s="1397">
        <v>2.3622281069961799E-2</v>
      </c>
      <c r="X68" s="1396">
        <v>1.4385089333100207E-2</v>
      </c>
      <c r="Y68" s="1399">
        <v>3.7331504255542607E-5</v>
      </c>
      <c r="Z68" s="1396">
        <v>1.15776888053128E-3</v>
      </c>
      <c r="AA68" s="1397">
        <v>1.799460866589123E-2</v>
      </c>
      <c r="AB68" s="1398">
        <v>3.0158099662638688E-3</v>
      </c>
      <c r="AC68" s="1399">
        <v>5.9023790547801198E-4</v>
      </c>
      <c r="AD68" s="1398">
        <v>1.6524265151286969E-3</v>
      </c>
      <c r="AE68" s="1399" t="s">
        <v>390</v>
      </c>
    </row>
    <row r="69" spans="1:31" ht="14" thickBot="1">
      <c r="A69" s="825" t="s">
        <v>390</v>
      </c>
      <c r="B69" s="799" t="s">
        <v>390</v>
      </c>
      <c r="C69" s="1396" t="s">
        <v>390</v>
      </c>
      <c r="D69" s="1397" t="s">
        <v>390</v>
      </c>
      <c r="E69" s="1396" t="s">
        <v>390</v>
      </c>
      <c r="F69" s="1397" t="s">
        <v>390</v>
      </c>
      <c r="G69" s="1396" t="s">
        <v>390</v>
      </c>
      <c r="H69" s="1397" t="s">
        <v>390</v>
      </c>
      <c r="I69" s="1396" t="s">
        <v>390</v>
      </c>
      <c r="J69" s="1397" t="s">
        <v>390</v>
      </c>
      <c r="K69" s="1396" t="s">
        <v>390</v>
      </c>
      <c r="L69" s="1397" t="s">
        <v>390</v>
      </c>
      <c r="M69" s="1396" t="s">
        <v>390</v>
      </c>
      <c r="N69" s="1397" t="s">
        <v>390</v>
      </c>
      <c r="O69" s="1396" t="s">
        <v>390</v>
      </c>
      <c r="P69" s="1397" t="s">
        <v>390</v>
      </c>
      <c r="Q69" s="1397" t="s">
        <v>390</v>
      </c>
      <c r="R69" s="1396" t="s">
        <v>390</v>
      </c>
      <c r="S69" s="1397" t="s">
        <v>390</v>
      </c>
      <c r="T69" s="1398" t="s">
        <v>390</v>
      </c>
      <c r="U69" s="1399" t="s">
        <v>390</v>
      </c>
      <c r="V69" s="1398" t="s">
        <v>390</v>
      </c>
      <c r="W69" s="1397" t="s">
        <v>390</v>
      </c>
      <c r="X69" s="1396" t="s">
        <v>390</v>
      </c>
      <c r="Y69" s="1399" t="s">
        <v>390</v>
      </c>
      <c r="Z69" s="1396" t="s">
        <v>390</v>
      </c>
      <c r="AA69" s="1397" t="s">
        <v>390</v>
      </c>
      <c r="AB69" s="1398" t="s">
        <v>390</v>
      </c>
      <c r="AC69" s="1399" t="s">
        <v>390</v>
      </c>
      <c r="AD69" s="1398" t="s">
        <v>390</v>
      </c>
      <c r="AE69" s="1399" t="s">
        <v>390</v>
      </c>
    </row>
    <row r="70" spans="1:31" ht="14" thickBot="1">
      <c r="A70" s="825" t="s">
        <v>390</v>
      </c>
      <c r="B70" s="799" t="s">
        <v>390</v>
      </c>
      <c r="C70" s="1396" t="s">
        <v>390</v>
      </c>
      <c r="D70" s="1397" t="s">
        <v>390</v>
      </c>
      <c r="E70" s="1396" t="s">
        <v>390</v>
      </c>
      <c r="F70" s="1397" t="s">
        <v>390</v>
      </c>
      <c r="G70" s="1396" t="s">
        <v>390</v>
      </c>
      <c r="H70" s="1397" t="s">
        <v>390</v>
      </c>
      <c r="I70" s="1396" t="s">
        <v>390</v>
      </c>
      <c r="J70" s="1397" t="s">
        <v>390</v>
      </c>
      <c r="K70" s="1396" t="s">
        <v>390</v>
      </c>
      <c r="L70" s="1397" t="s">
        <v>390</v>
      </c>
      <c r="M70" s="1396" t="s">
        <v>390</v>
      </c>
      <c r="N70" s="1397" t="s">
        <v>390</v>
      </c>
      <c r="O70" s="1396" t="s">
        <v>390</v>
      </c>
      <c r="P70" s="1397" t="s">
        <v>390</v>
      </c>
      <c r="Q70" s="1397" t="s">
        <v>390</v>
      </c>
      <c r="R70" s="1396" t="s">
        <v>390</v>
      </c>
      <c r="S70" s="1397" t="s">
        <v>390</v>
      </c>
      <c r="T70" s="1398" t="s">
        <v>390</v>
      </c>
      <c r="U70" s="1399" t="s">
        <v>390</v>
      </c>
      <c r="V70" s="1398" t="s">
        <v>390</v>
      </c>
      <c r="W70" s="1397" t="s">
        <v>390</v>
      </c>
      <c r="X70" s="1396" t="s">
        <v>390</v>
      </c>
      <c r="Y70" s="1399" t="s">
        <v>390</v>
      </c>
      <c r="Z70" s="1396" t="s">
        <v>390</v>
      </c>
      <c r="AA70" s="1397" t="s">
        <v>390</v>
      </c>
      <c r="AB70" s="1398" t="s">
        <v>390</v>
      </c>
      <c r="AC70" s="1399" t="s">
        <v>390</v>
      </c>
      <c r="AD70" s="1398" t="s">
        <v>390</v>
      </c>
      <c r="AE70" s="1399" t="s">
        <v>390</v>
      </c>
    </row>
    <row r="71" spans="1:31" ht="14" thickBot="1">
      <c r="A71" s="825" t="s">
        <v>390</v>
      </c>
      <c r="B71" s="799" t="s">
        <v>390</v>
      </c>
      <c r="C71" s="1396" t="s">
        <v>390</v>
      </c>
      <c r="D71" s="1397" t="s">
        <v>390</v>
      </c>
      <c r="E71" s="1396" t="s">
        <v>390</v>
      </c>
      <c r="F71" s="1397" t="s">
        <v>390</v>
      </c>
      <c r="G71" s="1396" t="s">
        <v>390</v>
      </c>
      <c r="H71" s="1397" t="s">
        <v>390</v>
      </c>
      <c r="I71" s="1396" t="s">
        <v>390</v>
      </c>
      <c r="J71" s="1397" t="s">
        <v>390</v>
      </c>
      <c r="K71" s="1396" t="s">
        <v>390</v>
      </c>
      <c r="L71" s="1397" t="s">
        <v>390</v>
      </c>
      <c r="M71" s="1396" t="s">
        <v>390</v>
      </c>
      <c r="N71" s="1397" t="s">
        <v>390</v>
      </c>
      <c r="O71" s="1396" t="s">
        <v>390</v>
      </c>
      <c r="P71" s="1397" t="s">
        <v>390</v>
      </c>
      <c r="Q71" s="1397" t="s">
        <v>390</v>
      </c>
      <c r="R71" s="1396" t="s">
        <v>390</v>
      </c>
      <c r="S71" s="1397" t="s">
        <v>390</v>
      </c>
      <c r="T71" s="1398" t="s">
        <v>390</v>
      </c>
      <c r="U71" s="1399" t="s">
        <v>390</v>
      </c>
      <c r="V71" s="1398" t="s">
        <v>390</v>
      </c>
      <c r="W71" s="1397" t="s">
        <v>390</v>
      </c>
      <c r="X71" s="1396" t="s">
        <v>390</v>
      </c>
      <c r="Y71" s="1399" t="s">
        <v>390</v>
      </c>
      <c r="Z71" s="1396" t="s">
        <v>390</v>
      </c>
      <c r="AA71" s="1397" t="s">
        <v>390</v>
      </c>
      <c r="AB71" s="1398" t="s">
        <v>390</v>
      </c>
      <c r="AC71" s="1399" t="s">
        <v>390</v>
      </c>
      <c r="AD71" s="1398" t="s">
        <v>390</v>
      </c>
      <c r="AE71" s="1399" t="s">
        <v>390</v>
      </c>
    </row>
    <row r="72" spans="1:31" ht="14" thickBot="1">
      <c r="A72" s="825" t="s">
        <v>390</v>
      </c>
      <c r="B72" s="799" t="s">
        <v>390</v>
      </c>
      <c r="C72" s="1396" t="s">
        <v>390</v>
      </c>
      <c r="D72" s="1397" t="s">
        <v>390</v>
      </c>
      <c r="E72" s="1396" t="s">
        <v>390</v>
      </c>
      <c r="F72" s="1397" t="s">
        <v>390</v>
      </c>
      <c r="G72" s="1396" t="s">
        <v>390</v>
      </c>
      <c r="H72" s="1397" t="s">
        <v>390</v>
      </c>
      <c r="I72" s="1396" t="s">
        <v>390</v>
      </c>
      <c r="J72" s="1397" t="s">
        <v>390</v>
      </c>
      <c r="K72" s="1396" t="s">
        <v>390</v>
      </c>
      <c r="L72" s="1397" t="s">
        <v>390</v>
      </c>
      <c r="M72" s="1396" t="s">
        <v>390</v>
      </c>
      <c r="N72" s="1397" t="s">
        <v>390</v>
      </c>
      <c r="O72" s="1396" t="s">
        <v>390</v>
      </c>
      <c r="P72" s="1397" t="s">
        <v>390</v>
      </c>
      <c r="Q72" s="1397" t="s">
        <v>390</v>
      </c>
      <c r="R72" s="1396" t="s">
        <v>390</v>
      </c>
      <c r="S72" s="1397" t="s">
        <v>390</v>
      </c>
      <c r="T72" s="1398" t="s">
        <v>390</v>
      </c>
      <c r="U72" s="1399" t="s">
        <v>390</v>
      </c>
      <c r="V72" s="1398" t="s">
        <v>390</v>
      </c>
      <c r="W72" s="1397" t="s">
        <v>390</v>
      </c>
      <c r="X72" s="1396" t="s">
        <v>390</v>
      </c>
      <c r="Y72" s="1399" t="s">
        <v>390</v>
      </c>
      <c r="Z72" s="1396" t="s">
        <v>390</v>
      </c>
      <c r="AA72" s="1397" t="s">
        <v>390</v>
      </c>
      <c r="AB72" s="1398" t="s">
        <v>390</v>
      </c>
      <c r="AC72" s="1399" t="s">
        <v>390</v>
      </c>
      <c r="AD72" s="1398" t="s">
        <v>390</v>
      </c>
      <c r="AE72" s="1399" t="s">
        <v>390</v>
      </c>
    </row>
    <row r="73" spans="1:31" ht="14" thickBot="1">
      <c r="A73" s="825" t="s">
        <v>390</v>
      </c>
      <c r="B73" s="799" t="s">
        <v>390</v>
      </c>
      <c r="C73" s="1396" t="s">
        <v>390</v>
      </c>
      <c r="D73" s="1397" t="s">
        <v>390</v>
      </c>
      <c r="E73" s="1396" t="s">
        <v>390</v>
      </c>
      <c r="F73" s="1397" t="s">
        <v>390</v>
      </c>
      <c r="G73" s="1396" t="s">
        <v>390</v>
      </c>
      <c r="H73" s="1397" t="s">
        <v>390</v>
      </c>
      <c r="I73" s="1396" t="s">
        <v>390</v>
      </c>
      <c r="J73" s="1397" t="s">
        <v>390</v>
      </c>
      <c r="K73" s="1396" t="s">
        <v>390</v>
      </c>
      <c r="L73" s="1397" t="s">
        <v>390</v>
      </c>
      <c r="M73" s="1396" t="s">
        <v>390</v>
      </c>
      <c r="N73" s="1397" t="s">
        <v>390</v>
      </c>
      <c r="O73" s="1396" t="s">
        <v>390</v>
      </c>
      <c r="P73" s="1397" t="s">
        <v>390</v>
      </c>
      <c r="Q73" s="1397" t="s">
        <v>390</v>
      </c>
      <c r="R73" s="1396" t="s">
        <v>390</v>
      </c>
      <c r="S73" s="1397" t="s">
        <v>390</v>
      </c>
      <c r="T73" s="1398" t="s">
        <v>390</v>
      </c>
      <c r="U73" s="1399" t="s">
        <v>390</v>
      </c>
      <c r="V73" s="1398" t="s">
        <v>390</v>
      </c>
      <c r="W73" s="1397" t="s">
        <v>390</v>
      </c>
      <c r="X73" s="1396" t="s">
        <v>390</v>
      </c>
      <c r="Y73" s="1399" t="s">
        <v>390</v>
      </c>
      <c r="Z73" s="1396" t="s">
        <v>390</v>
      </c>
      <c r="AA73" s="1397" t="s">
        <v>390</v>
      </c>
      <c r="AB73" s="1398" t="s">
        <v>390</v>
      </c>
      <c r="AC73" s="1399" t="s">
        <v>390</v>
      </c>
      <c r="AD73" s="1398" t="s">
        <v>390</v>
      </c>
      <c r="AE73" s="1399" t="s">
        <v>390</v>
      </c>
    </row>
    <row r="74" spans="1:31" ht="14" thickBot="1">
      <c r="A74" s="825" t="s">
        <v>390</v>
      </c>
      <c r="B74" s="799" t="s">
        <v>390</v>
      </c>
      <c r="C74" s="1396" t="s">
        <v>390</v>
      </c>
      <c r="D74" s="1397" t="s">
        <v>390</v>
      </c>
      <c r="E74" s="1396" t="s">
        <v>390</v>
      </c>
      <c r="F74" s="1397" t="s">
        <v>390</v>
      </c>
      <c r="G74" s="1396" t="s">
        <v>390</v>
      </c>
      <c r="H74" s="1397" t="s">
        <v>390</v>
      </c>
      <c r="I74" s="1396" t="s">
        <v>390</v>
      </c>
      <c r="J74" s="1397" t="s">
        <v>390</v>
      </c>
      <c r="K74" s="1396" t="s">
        <v>390</v>
      </c>
      <c r="L74" s="1397" t="s">
        <v>390</v>
      </c>
      <c r="M74" s="1396" t="s">
        <v>390</v>
      </c>
      <c r="N74" s="1397" t="s">
        <v>390</v>
      </c>
      <c r="O74" s="1396" t="s">
        <v>390</v>
      </c>
      <c r="P74" s="1397" t="s">
        <v>390</v>
      </c>
      <c r="Q74" s="1397" t="s">
        <v>390</v>
      </c>
      <c r="R74" s="1396" t="s">
        <v>390</v>
      </c>
      <c r="S74" s="1397" t="s">
        <v>390</v>
      </c>
      <c r="T74" s="1398" t="s">
        <v>390</v>
      </c>
      <c r="U74" s="1399" t="s">
        <v>390</v>
      </c>
      <c r="V74" s="1398" t="s">
        <v>390</v>
      </c>
      <c r="W74" s="1397" t="s">
        <v>390</v>
      </c>
      <c r="X74" s="1396" t="s">
        <v>390</v>
      </c>
      <c r="Y74" s="1399" t="s">
        <v>390</v>
      </c>
      <c r="Z74" s="1396" t="s">
        <v>390</v>
      </c>
      <c r="AA74" s="1397" t="s">
        <v>390</v>
      </c>
      <c r="AB74" s="1398" t="s">
        <v>390</v>
      </c>
      <c r="AC74" s="1399" t="s">
        <v>390</v>
      </c>
      <c r="AD74" s="1398" t="s">
        <v>390</v>
      </c>
      <c r="AE74" s="1399" t="s">
        <v>390</v>
      </c>
    </row>
    <row r="75" spans="1:31" s="200" customFormat="1" ht="14" thickBot="1">
      <c r="A75" s="867" t="s">
        <v>1095</v>
      </c>
      <c r="B75" s="867"/>
      <c r="C75" s="1402">
        <f>COUNT(C9:C74)</f>
        <v>60</v>
      </c>
      <c r="D75" s="901">
        <f>COUNT(D9:D74)</f>
        <v>51</v>
      </c>
      <c r="E75" s="1402">
        <f t="shared" ref="E75:AE75" si="0">COUNT(E9:E74)</f>
        <v>47</v>
      </c>
      <c r="F75" s="901">
        <f t="shared" si="0"/>
        <v>46</v>
      </c>
      <c r="G75" s="1402">
        <f t="shared" si="0"/>
        <v>43</v>
      </c>
      <c r="H75" s="901">
        <f t="shared" si="0"/>
        <v>47</v>
      </c>
      <c r="I75" s="1402">
        <f t="shared" si="0"/>
        <v>41</v>
      </c>
      <c r="J75" s="901">
        <f t="shared" si="0"/>
        <v>41</v>
      </c>
      <c r="K75" s="1402">
        <f t="shared" si="0"/>
        <v>44</v>
      </c>
      <c r="L75" s="901">
        <f t="shared" si="0"/>
        <v>46</v>
      </c>
      <c r="M75" s="1402">
        <f t="shared" si="0"/>
        <v>41</v>
      </c>
      <c r="N75" s="901">
        <f t="shared" si="0"/>
        <v>45</v>
      </c>
      <c r="O75" s="1402">
        <f t="shared" si="0"/>
        <v>44</v>
      </c>
      <c r="P75" s="901">
        <f t="shared" si="0"/>
        <v>44</v>
      </c>
      <c r="Q75" s="1403">
        <f t="shared" si="0"/>
        <v>0</v>
      </c>
      <c r="R75" s="1404">
        <f t="shared" si="0"/>
        <v>41</v>
      </c>
      <c r="S75" s="1403">
        <f t="shared" si="0"/>
        <v>42</v>
      </c>
      <c r="T75" s="1404">
        <f t="shared" si="0"/>
        <v>38</v>
      </c>
      <c r="U75" s="1403">
        <f t="shared" si="0"/>
        <v>45</v>
      </c>
      <c r="V75" s="1404">
        <f t="shared" si="0"/>
        <v>47</v>
      </c>
      <c r="W75" s="1403">
        <f t="shared" si="0"/>
        <v>48</v>
      </c>
      <c r="X75" s="1404">
        <f t="shared" si="0"/>
        <v>43</v>
      </c>
      <c r="Y75" s="1403">
        <f t="shared" si="0"/>
        <v>40</v>
      </c>
      <c r="Z75" s="1404">
        <f t="shared" si="0"/>
        <v>39</v>
      </c>
      <c r="AA75" s="1403">
        <f t="shared" si="0"/>
        <v>46</v>
      </c>
      <c r="AB75" s="1404">
        <f t="shared" si="0"/>
        <v>38</v>
      </c>
      <c r="AC75" s="1403">
        <f t="shared" si="0"/>
        <v>38</v>
      </c>
      <c r="AD75" s="1404">
        <f t="shared" si="0"/>
        <v>38</v>
      </c>
      <c r="AE75" s="1403">
        <f t="shared" si="0"/>
        <v>2</v>
      </c>
    </row>
    <row r="76" spans="1:31" ht="15.75" customHeight="1">
      <c r="A76" s="1405"/>
      <c r="C76" s="1406" t="s">
        <v>346</v>
      </c>
      <c r="E76" s="328"/>
      <c r="F76" s="328"/>
      <c r="G76" s="328"/>
      <c r="H76" s="1407"/>
      <c r="I76" s="1407"/>
      <c r="J76" s="1408"/>
      <c r="K76" s="328"/>
      <c r="L76" s="328"/>
      <c r="N76" s="328"/>
      <c r="R76" s="1406" t="s">
        <v>346</v>
      </c>
      <c r="T76" s="328"/>
      <c r="U76" s="328"/>
      <c r="V76" s="328"/>
      <c r="W76" s="1407"/>
      <c r="X76" s="1407"/>
      <c r="Y76" s="1408"/>
      <c r="Z76" s="328"/>
      <c r="AA76" s="328"/>
      <c r="AB76" s="201"/>
      <c r="AC76" s="328"/>
      <c r="AD76" s="328"/>
      <c r="AE76" s="328"/>
    </row>
    <row r="77" spans="1:31">
      <c r="A77" s="245"/>
      <c r="C77" s="328"/>
      <c r="E77" s="328"/>
      <c r="F77" s="328"/>
      <c r="G77" s="328"/>
      <c r="H77" s="1407"/>
      <c r="I77" s="1407"/>
      <c r="J77" s="328"/>
      <c r="K77" s="328"/>
      <c r="L77" s="328"/>
      <c r="N77" s="328"/>
      <c r="R77" s="328"/>
      <c r="T77" s="328"/>
      <c r="U77" s="328"/>
      <c r="V77" s="328"/>
      <c r="W77" s="1407"/>
      <c r="X77" s="1407"/>
      <c r="Y77" s="328"/>
      <c r="Z77" s="328"/>
      <c r="AA77" s="328"/>
      <c r="AB77" s="201"/>
      <c r="AC77" s="328"/>
      <c r="AD77" s="328"/>
      <c r="AE77" s="328"/>
    </row>
    <row r="78" spans="1:31" ht="17.5" customHeight="1">
      <c r="A78" s="80"/>
      <c r="C78" s="328" t="s">
        <v>2090</v>
      </c>
      <c r="D78" s="679"/>
      <c r="E78" s="679"/>
      <c r="F78" s="679"/>
      <c r="G78" s="679"/>
      <c r="H78" s="679"/>
      <c r="I78" s="679"/>
      <c r="J78" s="679"/>
      <c r="K78" s="679"/>
      <c r="L78" s="679"/>
      <c r="M78" s="679"/>
      <c r="N78" s="679"/>
      <c r="O78" s="328"/>
      <c r="P78" s="328"/>
      <c r="R78" s="328" t="s">
        <v>2091</v>
      </c>
      <c r="S78" s="679"/>
      <c r="T78" s="679"/>
      <c r="U78" s="679"/>
      <c r="V78" s="679"/>
      <c r="W78" s="679"/>
      <c r="X78" s="679"/>
      <c r="Y78" s="679"/>
      <c r="Z78" s="679"/>
      <c r="AA78" s="679"/>
      <c r="AB78" s="679"/>
      <c r="AC78" s="679"/>
      <c r="AD78" s="328"/>
      <c r="AE78" s="328"/>
    </row>
    <row r="79" spans="1:31" ht="16.75" customHeight="1">
      <c r="A79" s="80"/>
      <c r="C79" s="328" t="s">
        <v>1331</v>
      </c>
      <c r="D79" s="679"/>
      <c r="E79" s="328"/>
      <c r="F79" s="328"/>
      <c r="G79" s="328"/>
      <c r="H79" s="1407"/>
      <c r="I79" s="1407"/>
      <c r="J79" s="328"/>
      <c r="K79" s="328"/>
      <c r="L79" s="328"/>
      <c r="N79" s="328"/>
      <c r="R79" s="328" t="s">
        <v>1331</v>
      </c>
      <c r="S79" s="679"/>
      <c r="T79" s="328"/>
      <c r="U79" s="328"/>
      <c r="V79" s="328"/>
      <c r="W79" s="1407"/>
      <c r="X79" s="1407"/>
      <c r="Y79" s="328"/>
      <c r="Z79" s="328"/>
      <c r="AA79" s="328"/>
      <c r="AB79" s="201"/>
      <c r="AC79" s="328"/>
      <c r="AD79" s="328"/>
      <c r="AE79" s="328"/>
    </row>
    <row r="80" spans="1:31" ht="13.25" customHeight="1">
      <c r="A80" s="1409"/>
      <c r="C80" s="1410" t="s">
        <v>1332</v>
      </c>
      <c r="D80" s="1411"/>
      <c r="E80" s="1411"/>
      <c r="F80" s="1411"/>
      <c r="G80" s="1411"/>
      <c r="H80" s="1411"/>
      <c r="I80" s="1411"/>
      <c r="J80" s="1411"/>
      <c r="K80" s="1411"/>
      <c r="L80" s="1411"/>
      <c r="M80" s="1411"/>
      <c r="N80" s="1411"/>
      <c r="O80" s="679"/>
      <c r="P80" s="679"/>
      <c r="R80" s="1410" t="s">
        <v>1332</v>
      </c>
      <c r="S80" s="1412"/>
      <c r="T80" s="1412"/>
      <c r="U80" s="1412"/>
      <c r="V80" s="1412"/>
      <c r="W80" s="1412"/>
      <c r="X80" s="1412"/>
      <c r="Y80" s="1412"/>
      <c r="Z80" s="1412"/>
      <c r="AA80" s="1412"/>
      <c r="AB80" s="1412"/>
      <c r="AC80" s="1412"/>
      <c r="AD80" s="328"/>
      <c r="AE80" s="328"/>
    </row>
    <row r="81" spans="1:31">
      <c r="A81" s="245"/>
      <c r="C81" s="328" t="s">
        <v>2092</v>
      </c>
      <c r="E81" s="328"/>
      <c r="F81" s="328"/>
      <c r="G81" s="328"/>
      <c r="H81" s="1407"/>
      <c r="I81" s="1407"/>
      <c r="J81" s="328"/>
      <c r="K81" s="328"/>
      <c r="L81" s="328"/>
      <c r="N81" s="328"/>
      <c r="R81" s="328" t="s">
        <v>2092</v>
      </c>
      <c r="T81" s="328"/>
      <c r="U81" s="328"/>
      <c r="V81" s="328"/>
      <c r="W81" s="1407"/>
      <c r="X81" s="1407"/>
      <c r="Y81" s="328"/>
      <c r="Z81" s="328"/>
      <c r="AA81" s="328"/>
      <c r="AB81" s="201"/>
      <c r="AC81" s="328"/>
      <c r="AD81" s="328"/>
      <c r="AE81" s="328"/>
    </row>
    <row r="82" spans="1:31">
      <c r="A82" s="245"/>
      <c r="C82" s="328"/>
      <c r="E82" s="328"/>
      <c r="F82" s="328"/>
      <c r="G82" s="328"/>
      <c r="H82" s="1407"/>
      <c r="I82" s="1407"/>
      <c r="J82" s="328"/>
      <c r="K82" s="328"/>
      <c r="L82" s="328"/>
      <c r="N82" s="328"/>
      <c r="R82" s="328"/>
      <c r="T82" s="328"/>
      <c r="U82" s="328"/>
      <c r="V82" s="328"/>
      <c r="W82" s="1407"/>
      <c r="X82" s="1407"/>
      <c r="Y82" s="328"/>
      <c r="Z82" s="328"/>
      <c r="AA82" s="328"/>
      <c r="AB82" s="201"/>
      <c r="AC82" s="328"/>
      <c r="AD82" s="328"/>
      <c r="AE82" s="328"/>
    </row>
    <row r="83" spans="1:31" ht="17.5" customHeight="1">
      <c r="A83" s="328"/>
      <c r="B83" s="679"/>
      <c r="C83" s="328"/>
      <c r="E83" s="328"/>
      <c r="F83" s="328"/>
      <c r="G83" s="328"/>
      <c r="H83" s="1407"/>
      <c r="I83" s="1407"/>
      <c r="J83" s="328"/>
      <c r="K83" s="328"/>
      <c r="L83" s="328"/>
      <c r="N83" s="328"/>
      <c r="R83" s="328"/>
      <c r="T83" s="328"/>
      <c r="U83" s="328"/>
      <c r="V83" s="328"/>
      <c r="W83" s="1407"/>
      <c r="X83" s="1407"/>
      <c r="Y83" s="328"/>
      <c r="Z83" s="328"/>
      <c r="AA83" s="328"/>
      <c r="AB83" s="201"/>
      <c r="AC83" s="328"/>
      <c r="AD83" s="328"/>
      <c r="AE83" s="328"/>
    </row>
    <row r="84" spans="1:31">
      <c r="C84" s="328" t="s">
        <v>302</v>
      </c>
      <c r="H84" s="1413"/>
      <c r="R84" s="328" t="s">
        <v>302</v>
      </c>
      <c r="Z84" s="17"/>
      <c r="AA84" s="17"/>
      <c r="AB84" s="17"/>
    </row>
    <row r="85" spans="1:31" ht="24" customHeight="1">
      <c r="A85" s="17"/>
      <c r="B85" s="1414"/>
      <c r="C85" s="607"/>
      <c r="D85" s="607"/>
      <c r="E85" s="17"/>
      <c r="F85" s="1415"/>
      <c r="G85" s="1415"/>
      <c r="H85" s="1416"/>
      <c r="I85" s="1413"/>
      <c r="J85" s="46"/>
      <c r="K85" s="46"/>
      <c r="L85" s="46"/>
      <c r="M85" s="1417"/>
      <c r="N85" s="46"/>
      <c r="O85" s="46"/>
      <c r="Z85" s="17"/>
      <c r="AA85" s="17"/>
      <c r="AB85" s="17"/>
    </row>
    <row r="86" spans="1:31">
      <c r="A86" s="17"/>
      <c r="B86" s="1414"/>
      <c r="C86" s="607"/>
      <c r="D86" s="607"/>
      <c r="E86" s="17"/>
      <c r="F86" s="17"/>
      <c r="G86" s="17"/>
      <c r="H86" s="1413"/>
      <c r="Z86" s="1418"/>
      <c r="AA86" s="17"/>
      <c r="AB86" s="1418"/>
    </row>
    <row r="87" spans="1:31">
      <c r="A87" s="17"/>
      <c r="B87" s="1414"/>
      <c r="C87" s="607"/>
      <c r="D87" s="607"/>
      <c r="E87" s="17"/>
      <c r="F87" s="17"/>
      <c r="G87" s="17"/>
      <c r="H87" s="1413"/>
      <c r="Z87" s="17"/>
      <c r="AA87" s="17"/>
      <c r="AB87" s="17"/>
    </row>
    <row r="88" spans="1:31">
      <c r="A88" s="17" t="s">
        <v>2093</v>
      </c>
      <c r="B88" s="1419" t="s">
        <v>2094</v>
      </c>
      <c r="C88" s="1420">
        <f>SUM(C9:C74)/C$75</f>
        <v>1.6666666666666666E-2</v>
      </c>
      <c r="D88" s="1420">
        <f t="shared" ref="D88:AE88" si="1">SUM(D9:D74)/D$75</f>
        <v>1.9607843137254895E-2</v>
      </c>
      <c r="E88" s="1420">
        <f t="shared" si="1"/>
        <v>2.1276595744680847E-2</v>
      </c>
      <c r="F88" s="1420">
        <f t="shared" si="1"/>
        <v>2.1739130434782608E-2</v>
      </c>
      <c r="G88" s="1420">
        <f t="shared" si="1"/>
        <v>2.3255813953488368E-2</v>
      </c>
      <c r="H88" s="1420">
        <f t="shared" si="1"/>
        <v>2.1276595744680851E-2</v>
      </c>
      <c r="I88" s="1420">
        <f t="shared" si="1"/>
        <v>2.4390243902439022E-2</v>
      </c>
      <c r="J88" s="1420">
        <f t="shared" si="1"/>
        <v>2.4390243902439018E-2</v>
      </c>
      <c r="K88" s="1420">
        <f t="shared" si="1"/>
        <v>2.2727272727272731E-2</v>
      </c>
      <c r="L88" s="1420">
        <f t="shared" si="1"/>
        <v>2.1739130434782605E-2</v>
      </c>
      <c r="M88" s="1420">
        <f t="shared" si="1"/>
        <v>2.4390243902439018E-2</v>
      </c>
      <c r="N88" s="1420">
        <f t="shared" si="1"/>
        <v>2.2222222222222223E-2</v>
      </c>
      <c r="O88" s="1420">
        <f t="shared" si="1"/>
        <v>2.2727272727272728E-2</v>
      </c>
      <c r="P88" s="1420">
        <f t="shared" si="1"/>
        <v>2.2727272727272731E-2</v>
      </c>
      <c r="Q88" s="1420" t="e">
        <f t="shared" si="1"/>
        <v>#DIV/0!</v>
      </c>
      <c r="R88" s="1420">
        <f t="shared" si="1"/>
        <v>2.4390243902439025E-2</v>
      </c>
      <c r="S88" s="1420">
        <f t="shared" si="1"/>
        <v>2.3809523809523805E-2</v>
      </c>
      <c r="T88" s="1420">
        <f t="shared" si="1"/>
        <v>2.6315789473684216E-2</v>
      </c>
      <c r="U88" s="1420">
        <f t="shared" si="1"/>
        <v>2.222222222222222E-2</v>
      </c>
      <c r="V88" s="1420">
        <f t="shared" si="1"/>
        <v>2.1276595744680847E-2</v>
      </c>
      <c r="W88" s="1420">
        <f t="shared" si="1"/>
        <v>2.0833333333333329E-2</v>
      </c>
      <c r="X88" s="1420">
        <f t="shared" si="1"/>
        <v>2.3255813953488368E-2</v>
      </c>
      <c r="Y88" s="1420">
        <f t="shared" si="1"/>
        <v>2.4999999999999998E-2</v>
      </c>
      <c r="Z88" s="1420">
        <f t="shared" si="1"/>
        <v>2.5641025641025654E-2</v>
      </c>
      <c r="AA88" s="1420">
        <f t="shared" si="1"/>
        <v>2.1739130434782605E-2</v>
      </c>
      <c r="AB88" s="1420">
        <f t="shared" si="1"/>
        <v>2.6315789473684206E-2</v>
      </c>
      <c r="AC88" s="1420">
        <f t="shared" si="1"/>
        <v>2.6315789473684209E-2</v>
      </c>
      <c r="AD88" s="1420">
        <f t="shared" si="1"/>
        <v>2.6315789473684209E-2</v>
      </c>
      <c r="AE88" s="1420">
        <f t="shared" si="1"/>
        <v>0.5</v>
      </c>
    </row>
    <row r="89" spans="1:31">
      <c r="Z89" s="605"/>
      <c r="AA89" s="17"/>
      <c r="AB89" s="1421"/>
      <c r="AD89" s="1422"/>
      <c r="AE89" s="17"/>
    </row>
    <row r="90" spans="1:31">
      <c r="Z90" s="17"/>
      <c r="AA90" s="17"/>
      <c r="AB90" s="17"/>
      <c r="AD90" s="17"/>
      <c r="AE90" s="17"/>
    </row>
  </sheetData>
  <conditionalFormatting sqref="C9:C74">
    <cfRule type="cellIs" dxfId="27" priority="28" stopIfTrue="1" operator="greaterThan">
      <formula>C$88</formula>
    </cfRule>
  </conditionalFormatting>
  <conditionalFormatting sqref="D9:D74">
    <cfRule type="cellIs" dxfId="26" priority="27" stopIfTrue="1" operator="greaterThan">
      <formula>$D$88</formula>
    </cfRule>
  </conditionalFormatting>
  <conditionalFormatting sqref="E9:E74">
    <cfRule type="cellIs" dxfId="25" priority="26" stopIfTrue="1" operator="greaterThan">
      <formula>$E$88</formula>
    </cfRule>
  </conditionalFormatting>
  <conditionalFormatting sqref="F9:F74">
    <cfRule type="cellIs" dxfId="24" priority="25" stopIfTrue="1" operator="greaterThan">
      <formula>$F$88</formula>
    </cfRule>
  </conditionalFormatting>
  <conditionalFormatting sqref="G9:G74">
    <cfRule type="cellIs" dxfId="23" priority="24" stopIfTrue="1" operator="greaterThan">
      <formula>$G$88</formula>
    </cfRule>
  </conditionalFormatting>
  <conditionalFormatting sqref="H9:H74">
    <cfRule type="cellIs" dxfId="22" priority="23" stopIfTrue="1" operator="greaterThan">
      <formula>$H$88</formula>
    </cfRule>
  </conditionalFormatting>
  <conditionalFormatting sqref="I9:I74">
    <cfRule type="cellIs" dxfId="21" priority="22" stopIfTrue="1" operator="greaterThan">
      <formula>$I$88</formula>
    </cfRule>
  </conditionalFormatting>
  <conditionalFormatting sqref="J9:J74">
    <cfRule type="cellIs" dxfId="20" priority="21" stopIfTrue="1" operator="greaterThan">
      <formula>$J$88</formula>
    </cfRule>
  </conditionalFormatting>
  <conditionalFormatting sqref="K9:K74">
    <cfRule type="cellIs" dxfId="19" priority="20" stopIfTrue="1" operator="greaterThan">
      <formula>$K$88</formula>
    </cfRule>
  </conditionalFormatting>
  <conditionalFormatting sqref="L9:L74">
    <cfRule type="cellIs" dxfId="18" priority="19" stopIfTrue="1" operator="greaterThan">
      <formula>$L$88</formula>
    </cfRule>
  </conditionalFormatting>
  <conditionalFormatting sqref="M9:M74">
    <cfRule type="cellIs" dxfId="17" priority="18" stopIfTrue="1" operator="greaterThan">
      <formula>$M$88</formula>
    </cfRule>
  </conditionalFormatting>
  <conditionalFormatting sqref="N9:N74">
    <cfRule type="cellIs" dxfId="16" priority="17" stopIfTrue="1" operator="greaterThan">
      <formula>$N$88</formula>
    </cfRule>
  </conditionalFormatting>
  <conditionalFormatting sqref="O9:O74">
    <cfRule type="cellIs" dxfId="15" priority="16" stopIfTrue="1" operator="greaterThan">
      <formula>$O$88</formula>
    </cfRule>
  </conditionalFormatting>
  <conditionalFormatting sqref="P9:P74">
    <cfRule type="cellIs" dxfId="14" priority="15" stopIfTrue="1" operator="greaterThan">
      <formula>$P$88</formula>
    </cfRule>
  </conditionalFormatting>
  <conditionalFormatting sqref="R9:R74">
    <cfRule type="cellIs" dxfId="13" priority="14" stopIfTrue="1" operator="greaterThan">
      <formula>$R$88</formula>
    </cfRule>
  </conditionalFormatting>
  <conditionalFormatting sqref="S9:S74">
    <cfRule type="cellIs" dxfId="12" priority="13" stopIfTrue="1" operator="greaterThan">
      <formula>$S$88</formula>
    </cfRule>
  </conditionalFormatting>
  <conditionalFormatting sqref="T9:T74">
    <cfRule type="cellIs" dxfId="11" priority="12" stopIfTrue="1" operator="greaterThan">
      <formula>$T$88</formula>
    </cfRule>
  </conditionalFormatting>
  <conditionalFormatting sqref="U9:U74">
    <cfRule type="cellIs" dxfId="10" priority="11" stopIfTrue="1" operator="greaterThan">
      <formula>$U$88</formula>
    </cfRule>
  </conditionalFormatting>
  <conditionalFormatting sqref="V9:V74">
    <cfRule type="cellIs" dxfId="9" priority="10" stopIfTrue="1" operator="greaterThan">
      <formula>$V$88</formula>
    </cfRule>
  </conditionalFormatting>
  <conditionalFormatting sqref="W9:W74">
    <cfRule type="cellIs" dxfId="8" priority="9" stopIfTrue="1" operator="greaterThan">
      <formula>$W$88</formula>
    </cfRule>
  </conditionalFormatting>
  <conditionalFormatting sqref="X9:X74">
    <cfRule type="cellIs" dxfId="7" priority="8" stopIfTrue="1" operator="greaterThan">
      <formula>$X$88</formula>
    </cfRule>
  </conditionalFormatting>
  <conditionalFormatting sqref="Y9:Y74">
    <cfRule type="cellIs" dxfId="6" priority="7" stopIfTrue="1" operator="greaterThan">
      <formula>$Y$88</formula>
    </cfRule>
  </conditionalFormatting>
  <conditionalFormatting sqref="Z9:Z74">
    <cfRule type="cellIs" dxfId="5" priority="6" stopIfTrue="1" operator="greaterThan">
      <formula>$Z$88</formula>
    </cfRule>
  </conditionalFormatting>
  <conditionalFormatting sqref="AA9:AA74">
    <cfRule type="cellIs" dxfId="4" priority="5" stopIfTrue="1" operator="greaterThan">
      <formula>$AA$88</formula>
    </cfRule>
  </conditionalFormatting>
  <conditionalFormatting sqref="AB9:AB74">
    <cfRule type="cellIs" dxfId="3" priority="4" stopIfTrue="1" operator="greaterThan">
      <formula>$AB$88</formula>
    </cfRule>
  </conditionalFormatting>
  <conditionalFormatting sqref="AC9:AC74">
    <cfRule type="cellIs" dxfId="2" priority="3" stopIfTrue="1" operator="greaterThan">
      <formula>$AC$88</formula>
    </cfRule>
  </conditionalFormatting>
  <conditionalFormatting sqref="AD9:AD74">
    <cfRule type="cellIs" dxfId="1" priority="2" stopIfTrue="1" operator="greaterThan">
      <formula>$AD$88</formula>
    </cfRule>
  </conditionalFormatting>
  <conditionalFormatting sqref="AE9:AE74">
    <cfRule type="cellIs" dxfId="0" priority="1" stopIfTrue="1" operator="greaterThan">
      <formula>$AE$88</formula>
    </cfRule>
  </conditionalFormatting>
  <pageMargins left="0.39370078740157483" right="0.19685039370078741" top="0.23622047244094491" bottom="0.19685039370078741" header="0.19685039370078741" footer="0.15748031496062992"/>
  <pageSetup paperSize="9" scale="48" fitToWidth="2" pageOrder="overThenDown" orientation="landscape"/>
  <headerFooter alignWithMargins="0">
    <oddFooter>&amp;R&amp;P/&amp;N</oddFooter>
  </headerFooter>
  <colBreaks count="1" manualBreakCount="1">
    <brk id="17" max="1048575" man="1"/>
  </colBreak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B9348-18F8-FB49-81E8-6BF23D5AF67A}">
  <sheetPr>
    <pageSetUpPr fitToPage="1"/>
  </sheetPr>
  <dimension ref="A1:B11"/>
  <sheetViews>
    <sheetView workbookViewId="0">
      <selection activeCell="B2" sqref="B2"/>
    </sheetView>
  </sheetViews>
  <sheetFormatPr baseColWidth="10" defaultColWidth="11.59765625" defaultRowHeight="13"/>
  <cols>
    <col min="1" max="1" width="5.59765625" style="393" customWidth="1"/>
    <col min="2" max="16384" width="11.59765625" style="393"/>
  </cols>
  <sheetData>
    <row r="1" spans="1:2" ht="16">
      <c r="A1" s="392" t="s">
        <v>605</v>
      </c>
    </row>
    <row r="2" spans="1:2" ht="16">
      <c r="A2" s="394"/>
    </row>
    <row r="3" spans="1:2">
      <c r="A3" s="393">
        <v>6.01</v>
      </c>
      <c r="B3" s="395" t="s">
        <v>606</v>
      </c>
    </row>
    <row r="4" spans="1:2">
      <c r="A4" s="393">
        <v>6.02</v>
      </c>
      <c r="B4" s="395" t="s">
        <v>607</v>
      </c>
    </row>
    <row r="5" spans="1:2">
      <c r="A5" s="393">
        <v>6.03</v>
      </c>
      <c r="B5" s="395" t="s">
        <v>608</v>
      </c>
    </row>
    <row r="6" spans="1:2">
      <c r="A6" s="393">
        <v>6.04</v>
      </c>
      <c r="B6" s="395" t="s">
        <v>609</v>
      </c>
    </row>
    <row r="7" spans="1:2">
      <c r="A7" s="393">
        <v>6.05</v>
      </c>
      <c r="B7" s="395" t="s">
        <v>610</v>
      </c>
    </row>
    <row r="8" spans="1:2">
      <c r="A8" s="393">
        <v>6.06</v>
      </c>
      <c r="B8" s="395" t="s">
        <v>611</v>
      </c>
    </row>
    <row r="11" spans="1:2">
      <c r="A11" s="396" t="s">
        <v>302</v>
      </c>
    </row>
  </sheetData>
  <pageMargins left="0.46" right="0.35" top="0.69" bottom="0.984251969" header="0.36" footer="0.4921259845"/>
  <pageSetup paperSize="9" orientation="portrait"/>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26D1E-7742-7F42-B29B-6E412A4FFF3D}">
  <sheetPr>
    <pageSetUpPr fitToPage="1"/>
  </sheetPr>
  <dimension ref="A1:G33"/>
  <sheetViews>
    <sheetView zoomScaleNormal="100" workbookViewId="0">
      <selection activeCell="I21" sqref="I21"/>
    </sheetView>
  </sheetViews>
  <sheetFormatPr baseColWidth="10" defaultColWidth="11.3984375" defaultRowHeight="13"/>
  <cols>
    <col min="1" max="1" width="16.796875" style="3" customWidth="1"/>
    <col min="2" max="4" width="14.59765625" style="3" customWidth="1"/>
    <col min="5" max="5" width="15.3984375" style="3" customWidth="1"/>
    <col min="6" max="7" width="14.59765625" style="3" customWidth="1"/>
    <col min="8" max="16384" width="11.3984375" style="3"/>
  </cols>
  <sheetData>
    <row r="1" spans="1:7" s="1" customFormat="1" ht="14" customHeight="1"/>
    <row r="2" spans="1:7" s="1" customFormat="1" ht="22.75" customHeight="1">
      <c r="A2" s="2010" t="s">
        <v>1105</v>
      </c>
      <c r="B2" s="2011"/>
      <c r="C2" s="2011"/>
      <c r="D2" s="2011"/>
      <c r="E2" s="2011"/>
      <c r="F2" s="2011"/>
      <c r="G2" s="223"/>
    </row>
    <row r="3" spans="1:7" ht="24" customHeight="1">
      <c r="A3" s="224" t="s">
        <v>460</v>
      </c>
      <c r="B3" s="267" t="s">
        <v>91</v>
      </c>
      <c r="C3" s="268" t="s">
        <v>91</v>
      </c>
      <c r="D3" s="267" t="s">
        <v>693</v>
      </c>
      <c r="E3" s="268" t="s">
        <v>693</v>
      </c>
      <c r="F3" s="267" t="s">
        <v>1106</v>
      </c>
      <c r="G3" s="268" t="s">
        <v>1106</v>
      </c>
    </row>
    <row r="4" spans="1:7" ht="15" customHeight="1">
      <c r="A4" s="269"/>
      <c r="B4" s="270" t="s">
        <v>843</v>
      </c>
      <c r="C4" s="271" t="s">
        <v>1107</v>
      </c>
      <c r="D4" s="270" t="s">
        <v>843</v>
      </c>
      <c r="E4" s="271" t="s">
        <v>1107</v>
      </c>
      <c r="F4" s="270" t="s">
        <v>1108</v>
      </c>
      <c r="G4" s="271" t="s">
        <v>1109</v>
      </c>
    </row>
    <row r="5" spans="1:7" ht="15" customHeight="1">
      <c r="A5" s="269"/>
      <c r="B5" s="270"/>
      <c r="C5" s="271" t="s">
        <v>1110</v>
      </c>
      <c r="D5" s="270"/>
      <c r="E5" s="271" t="s">
        <v>1110</v>
      </c>
      <c r="F5" s="270" t="s">
        <v>1111</v>
      </c>
      <c r="G5" s="271" t="s">
        <v>1112</v>
      </c>
    </row>
    <row r="6" spans="1:7" ht="24" customHeight="1">
      <c r="A6" s="273"/>
      <c r="B6" s="274"/>
      <c r="C6" s="275" t="s">
        <v>1113</v>
      </c>
      <c r="D6" s="274"/>
      <c r="E6" s="275" t="s">
        <v>1113</v>
      </c>
      <c r="F6" s="274"/>
      <c r="G6" s="275"/>
    </row>
    <row r="7" spans="1:7" ht="1.5" customHeight="1" thickBot="1">
      <c r="A7" s="277">
        <v>1996</v>
      </c>
      <c r="B7" s="667">
        <v>834.29346030999989</v>
      </c>
      <c r="C7" s="147">
        <v>147.33000000000001</v>
      </c>
      <c r="D7" s="667">
        <v>872.50191104999999</v>
      </c>
      <c r="E7" s="147">
        <v>174.02</v>
      </c>
      <c r="F7" s="148">
        <v>1497811</v>
      </c>
      <c r="G7" s="668">
        <v>150</v>
      </c>
    </row>
    <row r="8" spans="1:7" ht="0.75" customHeight="1" thickBot="1">
      <c r="A8" s="280">
        <v>1997</v>
      </c>
      <c r="B8" s="161">
        <v>560.57016199999998</v>
      </c>
      <c r="C8" s="156">
        <v>177.97135605247547</v>
      </c>
      <c r="D8" s="161">
        <v>621.52611999999999</v>
      </c>
      <c r="E8" s="156">
        <v>219.40142149615536</v>
      </c>
      <c r="F8" s="157">
        <v>962507</v>
      </c>
      <c r="G8" s="669">
        <v>134</v>
      </c>
    </row>
    <row r="9" spans="1:7" ht="0.75" hidden="1" customHeight="1" thickBot="1">
      <c r="A9" s="280">
        <v>1998</v>
      </c>
      <c r="B9" s="161">
        <v>511.39633099999998</v>
      </c>
      <c r="C9" s="156">
        <v>210.006745555365</v>
      </c>
      <c r="D9" s="161">
        <v>456.36259100000001</v>
      </c>
      <c r="E9" s="156">
        <v>198.92326535477412</v>
      </c>
      <c r="F9" s="157">
        <v>822171</v>
      </c>
      <c r="G9" s="669">
        <v>115</v>
      </c>
    </row>
    <row r="10" spans="1:7" ht="19.75" hidden="1" customHeight="1" thickBot="1">
      <c r="A10" s="280">
        <v>1999</v>
      </c>
      <c r="B10" s="161">
        <v>464.48300699999999</v>
      </c>
      <c r="C10" s="156">
        <v>208.58087392018217</v>
      </c>
      <c r="D10" s="161">
        <v>412.14915300000001</v>
      </c>
      <c r="E10" s="156">
        <v>192.54405491703864</v>
      </c>
      <c r="F10" s="157">
        <v>727206</v>
      </c>
      <c r="G10" s="669">
        <v>109</v>
      </c>
    </row>
    <row r="11" spans="1:7" ht="19.75" hidden="1" customHeight="1" thickBot="1">
      <c r="A11" s="280">
        <v>2000</v>
      </c>
      <c r="B11" s="161">
        <v>439.22602000000001</v>
      </c>
      <c r="C11" s="156">
        <v>209.03</v>
      </c>
      <c r="D11" s="161">
        <v>381.63992000000002</v>
      </c>
      <c r="E11" s="156">
        <v>199.95</v>
      </c>
      <c r="F11" s="157">
        <v>639885</v>
      </c>
      <c r="G11" s="669">
        <v>102</v>
      </c>
    </row>
    <row r="12" spans="1:7" ht="20" hidden="1" customHeight="1" thickBot="1">
      <c r="A12" s="280">
        <v>2001</v>
      </c>
      <c r="B12" s="161">
        <v>400.71188914999999</v>
      </c>
      <c r="C12" s="156">
        <v>221.99</v>
      </c>
      <c r="D12" s="161">
        <v>351.97137099999998</v>
      </c>
      <c r="E12" s="156">
        <v>196.51</v>
      </c>
      <c r="F12" s="157">
        <v>561848</v>
      </c>
      <c r="G12" s="669">
        <v>102</v>
      </c>
    </row>
    <row r="13" spans="1:7" ht="20" hidden="1" customHeight="1" thickBot="1">
      <c r="A13" s="280">
        <v>2002</v>
      </c>
      <c r="B13" s="161">
        <v>371.74367599999999</v>
      </c>
      <c r="C13" s="156">
        <v>218.55</v>
      </c>
      <c r="D13" s="161">
        <v>329.14910600000002</v>
      </c>
      <c r="E13" s="156">
        <v>192.51</v>
      </c>
      <c r="F13" s="157">
        <v>495344</v>
      </c>
      <c r="G13" s="669">
        <v>93</v>
      </c>
    </row>
    <row r="14" spans="1:7" ht="21.5" customHeight="1" thickBot="1">
      <c r="A14" s="280">
        <v>2003</v>
      </c>
      <c r="B14" s="161">
        <v>357.14315599999998</v>
      </c>
      <c r="C14" s="156">
        <v>230.55</v>
      </c>
      <c r="D14" s="161">
        <v>309.91303299999998</v>
      </c>
      <c r="E14" s="156">
        <v>196.87</v>
      </c>
      <c r="F14" s="157">
        <v>439082</v>
      </c>
      <c r="G14" s="669">
        <v>92</v>
      </c>
    </row>
    <row r="15" spans="1:7" ht="21.5" customHeight="1" thickBot="1">
      <c r="A15" s="280">
        <v>2004</v>
      </c>
      <c r="B15" s="161">
        <v>356.58952599999998</v>
      </c>
      <c r="C15" s="156">
        <v>237.95</v>
      </c>
      <c r="D15" s="161">
        <v>277.93515500000001</v>
      </c>
      <c r="E15" s="156">
        <v>191.46</v>
      </c>
      <c r="F15" s="157">
        <v>384858</v>
      </c>
      <c r="G15" s="669">
        <v>93</v>
      </c>
    </row>
    <row r="16" spans="1:7" ht="21.5" customHeight="1" thickBot="1">
      <c r="A16" s="280">
        <v>2005</v>
      </c>
      <c r="B16" s="161">
        <v>342.30109299999998</v>
      </c>
      <c r="C16" s="156">
        <v>202.99</v>
      </c>
      <c r="D16" s="161">
        <v>251.061485</v>
      </c>
      <c r="E16" s="156">
        <v>158.24</v>
      </c>
      <c r="F16" s="157">
        <v>409989</v>
      </c>
      <c r="G16" s="669">
        <v>82</v>
      </c>
    </row>
    <row r="17" spans="1:7" ht="21.5" customHeight="1" thickBot="1">
      <c r="A17" s="280">
        <v>2006</v>
      </c>
      <c r="B17" s="161">
        <v>318.09682500000002</v>
      </c>
      <c r="C17" s="156">
        <v>203.43</v>
      </c>
      <c r="D17" s="161">
        <v>220.62135799999999</v>
      </c>
      <c r="E17" s="156">
        <v>148.53</v>
      </c>
      <c r="F17" s="157">
        <v>376229</v>
      </c>
      <c r="G17" s="669">
        <v>81</v>
      </c>
    </row>
    <row r="18" spans="1:7" ht="21.5" customHeight="1" thickBot="1">
      <c r="A18" s="280">
        <v>2007</v>
      </c>
      <c r="B18" s="161">
        <v>302.25500452</v>
      </c>
      <c r="C18" s="156">
        <v>192.28</v>
      </c>
      <c r="D18" s="161">
        <v>207.71949053</v>
      </c>
      <c r="E18" s="156">
        <v>139.46</v>
      </c>
      <c r="F18" s="157">
        <v>342046.54</v>
      </c>
      <c r="G18" s="669">
        <v>81</v>
      </c>
    </row>
    <row r="19" spans="1:7" ht="21.5" customHeight="1" thickBot="1">
      <c r="A19" s="280">
        <v>2008</v>
      </c>
      <c r="B19" s="161">
        <v>280.99848664999996</v>
      </c>
      <c r="C19" s="156">
        <v>185.89</v>
      </c>
      <c r="D19" s="161">
        <v>198.28856277</v>
      </c>
      <c r="E19" s="156">
        <v>126.72</v>
      </c>
      <c r="F19" s="157">
        <v>314150.3</v>
      </c>
      <c r="G19" s="669">
        <v>82</v>
      </c>
    </row>
    <row r="20" spans="1:7" ht="21.5" customHeight="1" thickBot="1">
      <c r="A20" s="280">
        <v>2009</v>
      </c>
      <c r="B20" s="161">
        <v>267.72326984</v>
      </c>
      <c r="C20" s="156">
        <v>176.37</v>
      </c>
      <c r="D20" s="161">
        <v>197.19709437999998</v>
      </c>
      <c r="E20" s="156">
        <v>135.19999999999999</v>
      </c>
      <c r="F20" s="157">
        <v>285966.94</v>
      </c>
      <c r="G20" s="669">
        <v>74</v>
      </c>
    </row>
    <row r="21" spans="1:7" ht="21.5" customHeight="1" thickBot="1">
      <c r="A21" s="280">
        <v>2010</v>
      </c>
      <c r="B21" s="161">
        <v>248.75569699000002</v>
      </c>
      <c r="C21" s="156">
        <v>187.17</v>
      </c>
      <c r="D21" s="161">
        <v>191.6446435</v>
      </c>
      <c r="E21" s="156">
        <v>146.13</v>
      </c>
      <c r="F21" s="157">
        <v>245655.8</v>
      </c>
      <c r="G21" s="669">
        <v>78</v>
      </c>
    </row>
    <row r="22" spans="1:7" ht="21.5" customHeight="1" thickBot="1">
      <c r="A22" s="280">
        <v>2011</v>
      </c>
      <c r="B22" s="161">
        <v>239.7804921</v>
      </c>
      <c r="C22" s="156">
        <v>188.13</v>
      </c>
      <c r="D22" s="161">
        <v>188.23914503</v>
      </c>
      <c r="E22" s="156">
        <v>127.69</v>
      </c>
      <c r="F22" s="157">
        <v>217512.65</v>
      </c>
      <c r="G22" s="669">
        <v>62</v>
      </c>
    </row>
    <row r="23" spans="1:7" ht="21.5" customHeight="1" thickBot="1">
      <c r="A23" s="280">
        <v>2012</v>
      </c>
      <c r="B23" s="161">
        <v>252.67021822000001</v>
      </c>
      <c r="C23" s="156">
        <v>163.22999999999999</v>
      </c>
      <c r="D23" s="161">
        <v>188.25055</v>
      </c>
      <c r="E23" s="156">
        <v>120.28</v>
      </c>
      <c r="F23" s="157">
        <v>223570.5</v>
      </c>
      <c r="G23" s="672">
        <v>60</v>
      </c>
    </row>
    <row r="24" spans="1:7" ht="25.75" customHeight="1" thickBot="1">
      <c r="A24" s="391">
        <v>2013</v>
      </c>
      <c r="B24" s="670">
        <v>248.17233038000001</v>
      </c>
      <c r="C24" s="373">
        <v>164.31</v>
      </c>
      <c r="D24" s="670">
        <v>191.23809276</v>
      </c>
      <c r="E24" s="373">
        <v>122.75</v>
      </c>
      <c r="F24" s="372">
        <v>205182</v>
      </c>
      <c r="G24" s="671">
        <v>60</v>
      </c>
    </row>
    <row r="25" spans="1:7" ht="20" customHeight="1">
      <c r="A25" s="189" t="s">
        <v>346</v>
      </c>
      <c r="B25" s="189"/>
      <c r="C25" s="189"/>
      <c r="D25" s="189"/>
      <c r="E25" s="189"/>
      <c r="F25" s="189"/>
      <c r="G25" s="189"/>
    </row>
    <row r="26" spans="1:7" ht="13.5" customHeight="1">
      <c r="A26" s="219"/>
      <c r="B26" s="219"/>
      <c r="C26" s="219"/>
      <c r="D26" s="219"/>
      <c r="E26" s="219"/>
      <c r="F26" s="219"/>
      <c r="G26" s="219"/>
    </row>
    <row r="27" spans="1:7" ht="15.75" customHeight="1">
      <c r="A27" s="219" t="s">
        <v>1114</v>
      </c>
      <c r="B27" s="219"/>
      <c r="C27" s="219"/>
      <c r="D27" s="219"/>
      <c r="E27" s="219"/>
      <c r="F27" s="219"/>
      <c r="G27" s="219"/>
    </row>
    <row r="28" spans="1:7" ht="14.25" customHeight="1">
      <c r="A28" s="219"/>
      <c r="B28" s="219"/>
      <c r="C28" s="219"/>
      <c r="D28" s="219"/>
      <c r="E28" s="219"/>
      <c r="F28" s="219"/>
      <c r="G28" s="219"/>
    </row>
    <row r="29" spans="1:7" ht="12.75" customHeight="1">
      <c r="A29" s="219" t="s">
        <v>1115</v>
      </c>
      <c r="B29" s="219"/>
      <c r="C29" s="219"/>
      <c r="D29" s="219"/>
      <c r="E29" s="219"/>
      <c r="F29" s="219"/>
      <c r="G29" s="219"/>
    </row>
    <row r="30" spans="1:7">
      <c r="A30" s="3" t="s">
        <v>1116</v>
      </c>
    </row>
    <row r="33" spans="1:1">
      <c r="A33" s="3" t="s">
        <v>302</v>
      </c>
    </row>
  </sheetData>
  <mergeCells count="1">
    <mergeCell ref="A2:F2"/>
  </mergeCells>
  <pageMargins left="0.62" right="0.64" top="1.01" bottom="0.49" header="0.53" footer="0.4921259845"/>
  <pageSetup paperSize="9" scale="85" orientation="portrait" horizontalDpi="4294967292" verticalDpi="4294967292"/>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C017C-C0FD-9B4D-85AF-77F3A81CC74C}">
  <sheetPr>
    <pageSetUpPr fitToPage="1"/>
  </sheetPr>
  <dimension ref="A1:K30"/>
  <sheetViews>
    <sheetView zoomScaleNormal="100" workbookViewId="0">
      <selection activeCell="A3" sqref="A3"/>
    </sheetView>
  </sheetViews>
  <sheetFormatPr baseColWidth="10" defaultColWidth="11.3984375" defaultRowHeight="13"/>
  <cols>
    <col min="1" max="1" width="16.796875" style="3" customWidth="1"/>
    <col min="2" max="2" width="14.59765625" style="3" customWidth="1"/>
    <col min="3" max="3" width="14.59765625" style="245" customWidth="1"/>
    <col min="4" max="4" width="14.59765625" style="3" customWidth="1"/>
    <col min="5" max="5" width="14.59765625" style="245" customWidth="1"/>
    <col min="6" max="6" width="14.59765625" style="3" customWidth="1"/>
    <col min="7" max="7" width="15.3984375" style="245" customWidth="1"/>
    <col min="8" max="16384" width="11.3984375" style="3"/>
  </cols>
  <sheetData>
    <row r="1" spans="1:11" s="1" customFormat="1" ht="14" customHeight="1">
      <c r="C1" s="221"/>
      <c r="E1" s="221"/>
      <c r="G1" s="221"/>
    </row>
    <row r="2" spans="1:11" s="1" customFormat="1" ht="24.5" customHeight="1">
      <c r="A2" s="223" t="s">
        <v>594</v>
      </c>
      <c r="C2" s="221"/>
      <c r="E2" s="221"/>
      <c r="G2" s="223"/>
    </row>
    <row r="3" spans="1:11" ht="24" customHeight="1">
      <c r="A3" s="224" t="s">
        <v>460</v>
      </c>
      <c r="B3" s="267" t="s">
        <v>595</v>
      </c>
      <c r="C3" s="305" t="s">
        <v>475</v>
      </c>
      <c r="D3" s="267" t="s">
        <v>596</v>
      </c>
      <c r="E3" s="305" t="s">
        <v>475</v>
      </c>
      <c r="F3" s="267" t="s">
        <v>597</v>
      </c>
      <c r="G3" s="305" t="s">
        <v>475</v>
      </c>
    </row>
    <row r="4" spans="1:11" ht="15" customHeight="1">
      <c r="A4" s="269"/>
      <c r="B4" s="270" t="s">
        <v>597</v>
      </c>
      <c r="C4" s="306" t="s">
        <v>476</v>
      </c>
      <c r="D4" s="270" t="s">
        <v>598</v>
      </c>
      <c r="E4" s="306" t="s">
        <v>476</v>
      </c>
      <c r="F4" s="270" t="s">
        <v>599</v>
      </c>
      <c r="G4" s="306" t="s">
        <v>476</v>
      </c>
    </row>
    <row r="5" spans="1:11" ht="15" customHeight="1">
      <c r="A5" s="269"/>
      <c r="B5" s="270" t="s">
        <v>600</v>
      </c>
      <c r="C5" s="306" t="s">
        <v>477</v>
      </c>
      <c r="D5" s="270" t="s">
        <v>601</v>
      </c>
      <c r="E5" s="306" t="s">
        <v>477</v>
      </c>
      <c r="F5" s="270" t="s">
        <v>602</v>
      </c>
      <c r="G5" s="306" t="s">
        <v>477</v>
      </c>
    </row>
    <row r="6" spans="1:11" ht="24" customHeight="1">
      <c r="A6" s="273"/>
      <c r="B6" s="274"/>
      <c r="C6" s="307"/>
      <c r="D6" s="274" t="s">
        <v>603</v>
      </c>
      <c r="E6" s="307"/>
      <c r="F6" s="274"/>
      <c r="G6" s="307"/>
    </row>
    <row r="7" spans="1:11" ht="1.5" customHeight="1" thickBot="1">
      <c r="A7" s="277">
        <v>1996</v>
      </c>
      <c r="B7" s="287">
        <v>842626041.5999999</v>
      </c>
      <c r="C7" s="308">
        <v>-0.22395165786377283</v>
      </c>
      <c r="D7" s="287">
        <v>918792074.10000002</v>
      </c>
      <c r="E7" s="308">
        <v>-0.174100182026726</v>
      </c>
      <c r="F7" s="287">
        <v>-76164233.309999987</v>
      </c>
      <c r="G7" s="308">
        <v>-1.8543740517491432</v>
      </c>
      <c r="I7" s="8"/>
      <c r="J7" s="8"/>
      <c r="K7" s="8"/>
    </row>
    <row r="8" spans="1:11" ht="0.75" hidden="1" customHeight="1" thickBot="1">
      <c r="A8" s="280">
        <v>1997</v>
      </c>
      <c r="B8" s="289">
        <v>582586264.20000005</v>
      </c>
      <c r="C8" s="309">
        <v>-0.30860638594343665</v>
      </c>
      <c r="D8" s="289">
        <v>600844654.99000001</v>
      </c>
      <c r="E8" s="309">
        <v>-0.34604937076916387</v>
      </c>
      <c r="F8" s="289">
        <v>-18258290.829999998</v>
      </c>
      <c r="G8" s="309">
        <v>0.76027736331716245</v>
      </c>
    </row>
    <row r="9" spans="1:11" ht="19.5" hidden="1" customHeight="1" thickBot="1">
      <c r="A9" s="280">
        <v>1998</v>
      </c>
      <c r="B9" s="289">
        <v>506597985.24000001</v>
      </c>
      <c r="C9" s="309">
        <v>-0.13043266487641306</v>
      </c>
      <c r="D9" s="289">
        <v>466707907.44999999</v>
      </c>
      <c r="E9" s="309">
        <v>-0.22324696812395292</v>
      </c>
      <c r="F9" s="289">
        <v>39890107.789999999</v>
      </c>
      <c r="G9" s="309">
        <v>3.1847668087561076</v>
      </c>
    </row>
    <row r="10" spans="1:11" ht="0.5" customHeight="1" thickBot="1">
      <c r="A10" s="280">
        <v>1999</v>
      </c>
      <c r="B10" s="289">
        <v>464005598.98000002</v>
      </c>
      <c r="C10" s="309">
        <v>-8.4075317117224449E-2</v>
      </c>
      <c r="D10" s="289">
        <v>422158429.66000003</v>
      </c>
      <c r="E10" s="309">
        <v>-9.5454731061681661E-2</v>
      </c>
      <c r="F10" s="289">
        <v>41847169.719999999</v>
      </c>
      <c r="G10" s="309">
        <v>4.9061334712427351E-2</v>
      </c>
    </row>
    <row r="11" spans="1:11" ht="19.75" hidden="1" customHeight="1" thickBot="1">
      <c r="A11" s="280">
        <v>2000</v>
      </c>
      <c r="B11" s="289">
        <v>458973777.85000002</v>
      </c>
      <c r="C11" s="309">
        <v>-1.0844311234737667E-2</v>
      </c>
      <c r="D11" s="289">
        <v>416527371.23000002</v>
      </c>
      <c r="E11" s="309">
        <v>-1.3338732651945802E-2</v>
      </c>
      <c r="F11" s="289">
        <v>42446406.640000001</v>
      </c>
      <c r="G11" s="309">
        <v>1.4319652296905794E-2</v>
      </c>
    </row>
    <row r="12" spans="1:11" ht="20" hidden="1" customHeight="1" thickBot="1">
      <c r="A12" s="280">
        <v>2001</v>
      </c>
      <c r="B12" s="289">
        <v>405199385</v>
      </c>
      <c r="C12" s="309">
        <v>-0.11716223332387053</v>
      </c>
      <c r="D12" s="289">
        <v>389159830</v>
      </c>
      <c r="E12" s="309">
        <v>-6.5704064415224431E-2</v>
      </c>
      <c r="F12" s="289">
        <v>16039555</v>
      </c>
      <c r="G12" s="309">
        <v>-0.62212219432292559</v>
      </c>
    </row>
    <row r="13" spans="1:11" ht="20" hidden="1" customHeight="1" thickBot="1">
      <c r="A13" s="280">
        <v>2002</v>
      </c>
      <c r="B13" s="289">
        <v>372184863.34999996</v>
      </c>
      <c r="C13" s="309">
        <v>-8.147722546518682E-2</v>
      </c>
      <c r="D13" s="289">
        <v>361726442.44999999</v>
      </c>
      <c r="E13" s="309">
        <v>-7.0493883065988625E-2</v>
      </c>
      <c r="F13" s="289">
        <v>10458420.890000001</v>
      </c>
      <c r="G13" s="309">
        <v>-0.34796065788608221</v>
      </c>
    </row>
    <row r="14" spans="1:11" ht="20" customHeight="1" thickBot="1">
      <c r="A14" s="280">
        <v>2003</v>
      </c>
      <c r="B14" s="289">
        <v>364678826.25</v>
      </c>
      <c r="C14" s="309">
        <v>-2.016749695954545E-2</v>
      </c>
      <c r="D14" s="289">
        <v>338730046.06999999</v>
      </c>
      <c r="E14" s="309">
        <v>-6.357399869427216E-2</v>
      </c>
      <c r="F14" s="289">
        <v>25948780.16</v>
      </c>
      <c r="G14" s="309">
        <v>1.4811374903463079</v>
      </c>
    </row>
    <row r="15" spans="1:11" ht="20" customHeight="1" thickBot="1">
      <c r="A15" s="280">
        <v>2004</v>
      </c>
      <c r="B15" s="289">
        <v>363267822.86999995</v>
      </c>
      <c r="C15" s="309">
        <v>-3.8691672738706551E-3</v>
      </c>
      <c r="D15" s="289">
        <v>315178869.18000001</v>
      </c>
      <c r="E15" s="309">
        <v>-6.9527864927379501E-2</v>
      </c>
      <c r="F15" s="289">
        <v>48088953.700000003</v>
      </c>
      <c r="G15" s="309">
        <v>0.85322598609583356</v>
      </c>
    </row>
    <row r="16" spans="1:11" ht="20" customHeight="1" thickBot="1">
      <c r="A16" s="280">
        <v>2005</v>
      </c>
      <c r="B16" s="289">
        <v>347836052.75999999</v>
      </c>
      <c r="C16" s="309">
        <v>-4.2480421161668391E-2</v>
      </c>
      <c r="D16" s="289">
        <v>299546558.91000003</v>
      </c>
      <c r="E16" s="309">
        <v>-4.9598218023532259E-2</v>
      </c>
      <c r="F16" s="289">
        <v>48289493.789999999</v>
      </c>
      <c r="G16" s="309">
        <v>4.1701903362476589E-3</v>
      </c>
    </row>
    <row r="17" spans="1:7" ht="20" customHeight="1" thickBot="1">
      <c r="A17" s="280">
        <v>2006</v>
      </c>
      <c r="B17" s="289">
        <v>318876960.83999997</v>
      </c>
      <c r="C17" s="309">
        <v>-8.3255003873854427E-2</v>
      </c>
      <c r="D17" s="289">
        <v>268580125.52999997</v>
      </c>
      <c r="E17" s="309">
        <v>-0.10337769691857501</v>
      </c>
      <c r="F17" s="289">
        <v>50296835.340000004</v>
      </c>
      <c r="G17" s="309">
        <v>4.1568908523445636E-2</v>
      </c>
    </row>
    <row r="18" spans="1:7" ht="20" customHeight="1" thickBot="1">
      <c r="A18" s="280">
        <v>2007</v>
      </c>
      <c r="B18" s="289">
        <v>303789909.62</v>
      </c>
      <c r="C18" s="309">
        <v>-4.7313080193241208E-2</v>
      </c>
      <c r="D18" s="289">
        <v>263420170.53999999</v>
      </c>
      <c r="E18" s="309">
        <v>-1.9211976239186135E-2</v>
      </c>
      <c r="F18" s="289">
        <v>40369739.060000002</v>
      </c>
      <c r="G18" s="309">
        <v>-0.19737019661165822</v>
      </c>
    </row>
    <row r="19" spans="1:7" ht="20" customHeight="1" thickBot="1">
      <c r="A19" s="280">
        <v>2008</v>
      </c>
      <c r="B19" s="289">
        <v>271278805.46999997</v>
      </c>
      <c r="C19" s="309">
        <v>-0.10701838053366231</v>
      </c>
      <c r="D19" s="289">
        <v>245016339.53</v>
      </c>
      <c r="E19" s="309">
        <v>-6.9864927094508089E-2</v>
      </c>
      <c r="F19" s="289">
        <v>26262465.899999999</v>
      </c>
      <c r="G19" s="309">
        <v>-0.34945168060246568</v>
      </c>
    </row>
    <row r="20" spans="1:7" ht="20" customHeight="1" thickBot="1">
      <c r="A20" s="280">
        <v>2009</v>
      </c>
      <c r="B20" s="289">
        <v>277148196.68000001</v>
      </c>
      <c r="C20" s="309">
        <v>2.1636010966028518E-2</v>
      </c>
      <c r="D20" s="289">
        <v>250833615.63</v>
      </c>
      <c r="E20" s="309">
        <v>2.374240065441735E-2</v>
      </c>
      <c r="F20" s="289">
        <v>26314581.050000001</v>
      </c>
      <c r="G20" s="309">
        <v>1.9843966746475594E-3</v>
      </c>
    </row>
    <row r="21" spans="1:7" ht="20" customHeight="1" thickBot="1">
      <c r="A21" s="280">
        <v>2010</v>
      </c>
      <c r="B21" s="289">
        <v>251294287.29999998</v>
      </c>
      <c r="C21" s="309">
        <v>-9.3285504613444759E-2</v>
      </c>
      <c r="D21" s="289">
        <v>234293636.81</v>
      </c>
      <c r="E21" s="309">
        <v>-6.5940040685765977E-2</v>
      </c>
      <c r="F21" s="289">
        <v>17000650.449999999</v>
      </c>
      <c r="G21" s="309">
        <v>-0.35394561601808217</v>
      </c>
    </row>
    <row r="22" spans="1:7" ht="20" customHeight="1" thickBot="1">
      <c r="A22" s="280">
        <v>2011</v>
      </c>
      <c r="B22" s="289">
        <v>243823250.67999998</v>
      </c>
      <c r="C22" s="309">
        <v>-2.9730228650526103E-2</v>
      </c>
      <c r="D22" s="289">
        <v>229950931.72999999</v>
      </c>
      <c r="E22" s="309">
        <v>-1.8535309533488142E-2</v>
      </c>
      <c r="F22" s="289">
        <v>13872318.99</v>
      </c>
      <c r="G22" s="309">
        <v>-0.18401245700572588</v>
      </c>
    </row>
    <row r="23" spans="1:7" ht="20" customHeight="1" thickBot="1">
      <c r="A23" s="280">
        <v>2012</v>
      </c>
      <c r="B23" s="289">
        <v>267604829.08000004</v>
      </c>
      <c r="C23" s="309">
        <v>9.7536138713906428E-2</v>
      </c>
      <c r="D23" s="289">
        <v>255111672.71999994</v>
      </c>
      <c r="E23" s="309">
        <v>0.10941786928501251</v>
      </c>
      <c r="F23" s="289">
        <v>12493156.360000111</v>
      </c>
      <c r="G23" s="309">
        <v>-9.9418318667129246E-2</v>
      </c>
    </row>
    <row r="24" spans="1:7" ht="27" customHeight="1" thickBot="1">
      <c r="A24" s="391">
        <v>2013</v>
      </c>
      <c r="B24" s="363">
        <v>248916318.78999999</v>
      </c>
      <c r="C24" s="310">
        <v>-6.9836222142363291E-2</v>
      </c>
      <c r="D24" s="363">
        <v>231266437.41999999</v>
      </c>
      <c r="E24" s="310">
        <v>-9.3469793231184317E-2</v>
      </c>
      <c r="F24" s="363">
        <v>17649881.370000008</v>
      </c>
      <c r="G24" s="310">
        <v>0.41276398544969872</v>
      </c>
    </row>
    <row r="25" spans="1:7" ht="20" customHeight="1">
      <c r="A25" s="189" t="s">
        <v>346</v>
      </c>
      <c r="B25" s="189"/>
      <c r="C25" s="301"/>
      <c r="D25" s="189"/>
      <c r="E25" s="301"/>
      <c r="F25" s="189"/>
      <c r="G25" s="301"/>
    </row>
    <row r="26" spans="1:7" ht="15.75" customHeight="1">
      <c r="A26" s="219"/>
      <c r="B26" s="219"/>
      <c r="C26" s="218"/>
      <c r="D26" s="219"/>
      <c r="E26" s="218"/>
      <c r="F26" s="219"/>
      <c r="G26" s="218"/>
    </row>
    <row r="27" spans="1:7" ht="15.75" customHeight="1">
      <c r="A27" s="3" t="s">
        <v>604</v>
      </c>
      <c r="B27" s="219"/>
      <c r="C27" s="218"/>
      <c r="D27" s="219"/>
      <c r="E27" s="218"/>
      <c r="F27" s="219"/>
      <c r="G27" s="218"/>
    </row>
    <row r="30" spans="1:7">
      <c r="A30" s="3" t="s">
        <v>302</v>
      </c>
    </row>
  </sheetData>
  <pageMargins left="0.57999999999999996" right="0.65" top="0.96" bottom="0.49" header="0.49" footer="0.4921259845"/>
  <pageSetup paperSize="9" scale="84" orientation="portrait" horizontalDpi="4294967292" verticalDpi="4294967292"/>
  <headerFooter alignWithMargins="0"/>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6B45C-BDC8-2C47-87B1-3775DEDD26A8}">
  <sheetPr>
    <pageSetUpPr fitToPage="1"/>
  </sheetPr>
  <dimension ref="A1:H39"/>
  <sheetViews>
    <sheetView zoomScaleNormal="100" workbookViewId="0"/>
  </sheetViews>
  <sheetFormatPr baseColWidth="10" defaultColWidth="11.3984375" defaultRowHeight="13"/>
  <cols>
    <col min="1" max="1" width="33.796875" style="3" customWidth="1"/>
    <col min="2" max="3" width="17.59765625" style="3" customWidth="1"/>
    <col min="4" max="4" width="17.59765625" style="200" customWidth="1"/>
    <col min="5" max="5" width="17.59765625" style="530" customWidth="1"/>
    <col min="6" max="6" width="11.3984375" style="3"/>
    <col min="7" max="7" width="14.59765625" style="3" hidden="1" customWidth="1"/>
    <col min="8" max="8" width="14.3984375" style="3" hidden="1" customWidth="1"/>
    <col min="9" max="16384" width="11.3984375" style="3"/>
  </cols>
  <sheetData>
    <row r="1" spans="1:8" s="1" customFormat="1" ht="14" customHeight="1">
      <c r="D1" s="194"/>
      <c r="E1" s="518"/>
    </row>
    <row r="2" spans="1:8" s="1" customFormat="1" ht="40.5" customHeight="1">
      <c r="A2" s="2010" t="s">
        <v>1087</v>
      </c>
      <c r="B2" s="2011"/>
      <c r="C2" s="2011"/>
      <c r="D2" s="2011"/>
      <c r="E2" s="223">
        <v>2013</v>
      </c>
    </row>
    <row r="3" spans="1:8" ht="24" customHeight="1">
      <c r="A3" s="224" t="s">
        <v>1088</v>
      </c>
      <c r="B3" s="267" t="s">
        <v>1089</v>
      </c>
      <c r="C3" s="268" t="s">
        <v>1090</v>
      </c>
      <c r="D3" s="465" t="s">
        <v>381</v>
      </c>
      <c r="E3" s="519" t="s">
        <v>475</v>
      </c>
    </row>
    <row r="4" spans="1:8" ht="15" customHeight="1">
      <c r="A4" s="269"/>
      <c r="B4" s="270" t="s">
        <v>1091</v>
      </c>
      <c r="C4" s="271" t="s">
        <v>1092</v>
      </c>
      <c r="D4" s="129"/>
      <c r="E4" s="521" t="s">
        <v>476</v>
      </c>
    </row>
    <row r="5" spans="1:8" ht="15" customHeight="1">
      <c r="A5" s="269"/>
      <c r="B5" s="270"/>
      <c r="C5" s="271"/>
      <c r="D5" s="129"/>
      <c r="E5" s="521" t="s">
        <v>477</v>
      </c>
    </row>
    <row r="6" spans="1:8" ht="24" customHeight="1">
      <c r="A6" s="273"/>
      <c r="B6" s="274"/>
      <c r="C6" s="275"/>
      <c r="D6" s="140"/>
      <c r="E6" s="471"/>
      <c r="G6" s="655" t="s">
        <v>1093</v>
      </c>
      <c r="H6" s="655" t="s">
        <v>1094</v>
      </c>
    </row>
    <row r="7" spans="1:8" ht="30" customHeight="1" thickBot="1">
      <c r="A7" s="656" t="s">
        <v>1095</v>
      </c>
      <c r="B7" s="287">
        <v>57</v>
      </c>
      <c r="C7" s="288">
        <v>33</v>
      </c>
      <c r="D7" s="657">
        <v>60</v>
      </c>
      <c r="E7" s="658">
        <v>0</v>
      </c>
      <c r="F7" s="6"/>
      <c r="G7" s="352">
        <v>109</v>
      </c>
      <c r="H7" s="352">
        <v>109</v>
      </c>
    </row>
    <row r="8" spans="1:8" ht="25.5" customHeight="1" thickBot="1">
      <c r="A8" s="659" t="s">
        <v>1096</v>
      </c>
      <c r="B8" s="289"/>
      <c r="C8" s="159"/>
      <c r="D8" s="660"/>
      <c r="E8" s="309"/>
      <c r="G8" s="289"/>
      <c r="H8" s="289"/>
    </row>
    <row r="9" spans="1:8" ht="20" customHeight="1" thickBot="1">
      <c r="A9" s="156" t="s">
        <v>1050</v>
      </c>
      <c r="B9" s="289">
        <v>88111</v>
      </c>
      <c r="C9" s="159" t="s">
        <v>153</v>
      </c>
      <c r="D9" s="660" t="s">
        <v>153</v>
      </c>
      <c r="E9" s="309">
        <v>-8.5007935345032995E-2</v>
      </c>
      <c r="G9" s="289">
        <v>747913</v>
      </c>
      <c r="H9" s="289">
        <v>541989</v>
      </c>
    </row>
    <row r="10" spans="1:8" ht="20" customHeight="1" thickBot="1">
      <c r="A10" s="156" t="s">
        <v>1051</v>
      </c>
      <c r="B10" s="289">
        <v>117071</v>
      </c>
      <c r="C10" s="159" t="s">
        <v>153</v>
      </c>
      <c r="D10" s="660" t="s">
        <v>153</v>
      </c>
      <c r="E10" s="309">
        <v>-8.0161941029510589E-2</v>
      </c>
      <c r="G10" s="289">
        <v>671493</v>
      </c>
      <c r="H10" s="289">
        <v>525355</v>
      </c>
    </row>
    <row r="11" spans="1:8" ht="20" customHeight="1" thickBot="1">
      <c r="A11" s="156" t="s">
        <v>381</v>
      </c>
      <c r="B11" s="289">
        <v>205182</v>
      </c>
      <c r="C11" s="159" t="s">
        <v>153</v>
      </c>
      <c r="D11" s="660" t="s">
        <v>153</v>
      </c>
      <c r="E11" s="309">
        <v>-8.2249223399330412E-2</v>
      </c>
      <c r="G11" s="289">
        <v>1419406</v>
      </c>
      <c r="H11" s="289">
        <v>1067344</v>
      </c>
    </row>
    <row r="12" spans="1:8" ht="24" customHeight="1" thickBot="1">
      <c r="A12" s="659" t="s">
        <v>1097</v>
      </c>
      <c r="B12" s="289"/>
      <c r="C12" s="159"/>
      <c r="D12" s="660"/>
      <c r="E12" s="309"/>
      <c r="G12" s="289"/>
      <c r="H12" s="289"/>
    </row>
    <row r="13" spans="1:8" ht="20" customHeight="1" thickBot="1">
      <c r="A13" s="156" t="s">
        <v>1050</v>
      </c>
      <c r="B13" s="289">
        <v>20519956.100000001</v>
      </c>
      <c r="C13" s="159">
        <v>155040133.21000001</v>
      </c>
      <c r="D13" s="660">
        <v>175560089.34</v>
      </c>
      <c r="E13" s="661">
        <v>-1.0615344224037163E-2</v>
      </c>
      <c r="G13" s="289">
        <v>346254879</v>
      </c>
      <c r="H13" s="289">
        <v>346254879</v>
      </c>
    </row>
    <row r="14" spans="1:8" ht="20" customHeight="1" thickBot="1">
      <c r="A14" s="156" t="s">
        <v>1051</v>
      </c>
      <c r="B14" s="289">
        <v>13193659.189999999</v>
      </c>
      <c r="C14" s="159">
        <v>59418581.880000003</v>
      </c>
      <c r="D14" s="660">
        <v>72612241.049999997</v>
      </c>
      <c r="E14" s="661">
        <v>-3.4751870871100536E-2</v>
      </c>
      <c r="G14" s="289">
        <v>118228128</v>
      </c>
      <c r="H14" s="289">
        <v>118228128</v>
      </c>
    </row>
    <row r="15" spans="1:8" ht="20" customHeight="1" thickBot="1">
      <c r="A15" s="156" t="s">
        <v>381</v>
      </c>
      <c r="B15" s="289">
        <v>33713615.289999999</v>
      </c>
      <c r="C15" s="159">
        <v>214458715.09</v>
      </c>
      <c r="D15" s="660">
        <v>248172330.38</v>
      </c>
      <c r="E15" s="661">
        <v>-1.7801416691237002E-2</v>
      </c>
      <c r="G15" s="289">
        <v>464483007</v>
      </c>
      <c r="H15" s="289">
        <v>464483007</v>
      </c>
    </row>
    <row r="16" spans="1:8" ht="33.75" customHeight="1" thickBot="1">
      <c r="A16" s="662" t="s">
        <v>1098</v>
      </c>
      <c r="B16" s="289"/>
      <c r="C16" s="159"/>
      <c r="D16" s="660"/>
      <c r="E16" s="309"/>
      <c r="G16" s="289"/>
      <c r="H16" s="289"/>
    </row>
    <row r="17" spans="1:8" ht="20" customHeight="1" thickBot="1">
      <c r="A17" s="156" t="s">
        <v>1050</v>
      </c>
      <c r="B17" s="289">
        <v>232.89</v>
      </c>
      <c r="C17" s="159" t="s">
        <v>153</v>
      </c>
      <c r="D17" s="660" t="s">
        <v>153</v>
      </c>
      <c r="E17" s="309">
        <v>5.1793344555224165E-3</v>
      </c>
      <c r="G17" s="289">
        <v>462.96</v>
      </c>
      <c r="H17" s="289">
        <v>638.86</v>
      </c>
    </row>
    <row r="18" spans="1:8" ht="20" customHeight="1" thickBot="1">
      <c r="A18" s="156" t="s">
        <v>1051</v>
      </c>
      <c r="B18" s="289">
        <v>112.7</v>
      </c>
      <c r="C18" s="159" t="s">
        <v>153</v>
      </c>
      <c r="D18" s="660" t="s">
        <v>153</v>
      </c>
      <c r="E18" s="309">
        <v>1.1306532663316628E-2</v>
      </c>
      <c r="G18" s="289">
        <v>176.07</v>
      </c>
      <c r="H18" s="289">
        <v>225.04</v>
      </c>
    </row>
    <row r="19" spans="1:8" ht="20" customHeight="1" thickBot="1">
      <c r="A19" s="156" t="s">
        <v>498</v>
      </c>
      <c r="B19" s="289">
        <v>164.31</v>
      </c>
      <c r="C19" s="159" t="s">
        <v>153</v>
      </c>
      <c r="D19" s="660" t="s">
        <v>153</v>
      </c>
      <c r="E19" s="309">
        <v>6.616430803161261E-3</v>
      </c>
      <c r="G19" s="289">
        <v>327.24</v>
      </c>
      <c r="H19" s="289">
        <v>435.18</v>
      </c>
    </row>
    <row r="20" spans="1:8" ht="24" customHeight="1" thickBot="1">
      <c r="A20" s="659" t="s">
        <v>1099</v>
      </c>
      <c r="B20" s="289"/>
      <c r="C20" s="159"/>
      <c r="D20" s="660"/>
      <c r="E20" s="309"/>
      <c r="G20" s="289"/>
      <c r="H20" s="289"/>
    </row>
    <row r="21" spans="1:8" ht="20" customHeight="1" thickBot="1">
      <c r="A21" s="156" t="s">
        <v>1050</v>
      </c>
      <c r="B21" s="289">
        <v>16494625.91</v>
      </c>
      <c r="C21" s="159">
        <v>121153197.73999999</v>
      </c>
      <c r="D21" s="660">
        <v>137647823.63999999</v>
      </c>
      <c r="E21" s="661">
        <v>1.173811534735777E-2</v>
      </c>
      <c r="G21" s="289">
        <v>297772901</v>
      </c>
      <c r="H21" s="289">
        <v>297772901</v>
      </c>
    </row>
    <row r="22" spans="1:8" ht="20" customHeight="1" thickBot="1">
      <c r="A22" s="156" t="s">
        <v>1051</v>
      </c>
      <c r="B22" s="289">
        <v>8691593.8800000008</v>
      </c>
      <c r="C22" s="159">
        <v>44898675.229999997</v>
      </c>
      <c r="D22" s="660">
        <v>53590269.119999997</v>
      </c>
      <c r="E22" s="661">
        <v>2.6639273549866609E-2</v>
      </c>
      <c r="G22" s="289">
        <v>114376252</v>
      </c>
      <c r="H22" s="289">
        <v>114376252</v>
      </c>
    </row>
    <row r="23" spans="1:8" ht="20" customHeight="1" thickBot="1">
      <c r="A23" s="156" t="s">
        <v>381</v>
      </c>
      <c r="B23" s="289">
        <v>25186219.789999999</v>
      </c>
      <c r="C23" s="159">
        <v>166051872.97</v>
      </c>
      <c r="D23" s="660">
        <v>191238092.75999999</v>
      </c>
      <c r="E23" s="661">
        <v>1.5870034695781715E-2</v>
      </c>
      <c r="G23" s="289">
        <v>412149153</v>
      </c>
      <c r="H23" s="289">
        <v>412149153</v>
      </c>
    </row>
    <row r="24" spans="1:8" ht="19.75" customHeight="1" thickBot="1">
      <c r="A24" s="583" t="s">
        <v>1100</v>
      </c>
      <c r="B24" s="289">
        <v>164975.4</v>
      </c>
      <c r="C24" s="159">
        <v>3676365.62</v>
      </c>
      <c r="D24" s="660">
        <v>3841341.02</v>
      </c>
      <c r="E24" s="661">
        <v>-0.11144359945063914</v>
      </c>
      <c r="G24" s="390">
        <v>21005933</v>
      </c>
      <c r="H24" s="390">
        <v>21005933</v>
      </c>
    </row>
    <row r="25" spans="1:8" ht="34.75" customHeight="1" thickBot="1">
      <c r="A25" s="662" t="s">
        <v>1101</v>
      </c>
      <c r="B25" s="289"/>
      <c r="C25" s="159"/>
      <c r="D25" s="660"/>
      <c r="E25" s="309"/>
      <c r="G25" s="289"/>
      <c r="H25" s="289"/>
    </row>
    <row r="26" spans="1:8" ht="20" customHeight="1" thickBot="1">
      <c r="A26" s="156" t="s">
        <v>1050</v>
      </c>
      <c r="B26" s="289">
        <v>187.2</v>
      </c>
      <c r="C26" s="159" t="s">
        <v>153</v>
      </c>
      <c r="D26" s="660" t="s">
        <v>153</v>
      </c>
      <c r="E26" s="309">
        <v>1.1181332036946974E-2</v>
      </c>
      <c r="G26" s="289">
        <v>398.14</v>
      </c>
      <c r="H26" s="289">
        <v>549.41</v>
      </c>
    </row>
    <row r="27" spans="1:8" ht="20" customHeight="1" thickBot="1">
      <c r="A27" s="156" t="s">
        <v>1051</v>
      </c>
      <c r="B27" s="289">
        <v>74.239999999999995</v>
      </c>
      <c r="C27" s="159" t="s">
        <v>153</v>
      </c>
      <c r="D27" s="660" t="s">
        <v>153</v>
      </c>
      <c r="E27" s="309">
        <v>4.2403819151923559E-2</v>
      </c>
      <c r="G27" s="289">
        <v>170.33</v>
      </c>
      <c r="H27" s="289">
        <v>217.71</v>
      </c>
    </row>
    <row r="28" spans="1:8" ht="30" customHeight="1" thickBot="1">
      <c r="A28" s="663" t="s">
        <v>498</v>
      </c>
      <c r="B28" s="390">
        <v>122.75</v>
      </c>
      <c r="C28" s="588" t="s">
        <v>153</v>
      </c>
      <c r="D28" s="363" t="s">
        <v>153</v>
      </c>
      <c r="E28" s="664">
        <v>2.0535417359494504E-2</v>
      </c>
      <c r="G28" s="665">
        <v>290.37</v>
      </c>
      <c r="H28" s="665">
        <v>386.14</v>
      </c>
    </row>
    <row r="29" spans="1:8" ht="20" customHeight="1">
      <c r="A29" s="189" t="s">
        <v>346</v>
      </c>
      <c r="B29" s="189"/>
      <c r="C29" s="189"/>
      <c r="D29" s="666"/>
      <c r="E29" s="528"/>
    </row>
    <row r="30" spans="1:8" ht="14.25" customHeight="1">
      <c r="A30" s="219"/>
      <c r="B30" s="219"/>
      <c r="C30" s="219"/>
      <c r="D30" s="190"/>
      <c r="E30" s="529"/>
    </row>
    <row r="31" spans="1:8" ht="14.25" customHeight="1">
      <c r="A31" s="219" t="s">
        <v>1102</v>
      </c>
      <c r="B31" s="219"/>
      <c r="C31" s="219"/>
      <c r="D31" s="190"/>
      <c r="E31" s="529"/>
    </row>
    <row r="32" spans="1:8" ht="14.25" customHeight="1">
      <c r="A32" s="219"/>
      <c r="B32" s="219"/>
      <c r="C32" s="219"/>
      <c r="D32" s="190"/>
      <c r="E32" s="529"/>
    </row>
    <row r="33" spans="1:1">
      <c r="A33" s="219" t="s">
        <v>576</v>
      </c>
    </row>
    <row r="34" spans="1:1">
      <c r="A34" s="3" t="s">
        <v>577</v>
      </c>
    </row>
    <row r="35" spans="1:1">
      <c r="A35" s="3" t="s">
        <v>1103</v>
      </c>
    </row>
    <row r="36" spans="1:1">
      <c r="A36" s="3" t="s">
        <v>1104</v>
      </c>
    </row>
    <row r="39" spans="1:1">
      <c r="A39" s="3" t="s">
        <v>302</v>
      </c>
    </row>
  </sheetData>
  <mergeCells count="1">
    <mergeCell ref="A2:D2"/>
  </mergeCells>
  <pageMargins left="0.55118110236220474" right="0.55118110236220474" top="0.94488188976377963" bottom="0.47244094488188981" header="0.55118110236220474" footer="0.51181102362204722"/>
  <pageSetup paperSize="9" scale="89" orientation="portrait" horizontalDpi="1200" verticalDpi="1200"/>
  <headerFooter alignWithMargins="0"/>
  <legacy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17702-C1F8-0249-A624-D94DFC32F07F}">
  <sheetPr>
    <pageSetUpPr fitToPage="1"/>
  </sheetPr>
  <dimension ref="A1:H59"/>
  <sheetViews>
    <sheetView zoomScaleNormal="100" workbookViewId="0"/>
  </sheetViews>
  <sheetFormatPr baseColWidth="10" defaultColWidth="11.3984375" defaultRowHeight="13"/>
  <cols>
    <col min="1" max="1" width="21.796875" style="3" customWidth="1"/>
    <col min="2" max="2" width="68.59765625" style="245" customWidth="1"/>
    <col min="3" max="3" width="7.59765625" style="245" customWidth="1"/>
    <col min="4" max="4" width="20.19921875" style="246" customWidth="1"/>
    <col min="5" max="16384" width="11.3984375" style="3"/>
  </cols>
  <sheetData>
    <row r="1" spans="1:8" s="1" customFormat="1" ht="14" customHeight="1">
      <c r="B1" s="221"/>
      <c r="C1" s="221"/>
      <c r="D1" s="222"/>
    </row>
    <row r="2" spans="1:8" s="1" customFormat="1" ht="26.5" customHeight="1">
      <c r="A2" s="2010" t="s">
        <v>578</v>
      </c>
      <c r="B2" s="2011"/>
      <c r="D2" s="223">
        <v>2013</v>
      </c>
      <c r="E2" s="223"/>
    </row>
    <row r="3" spans="1:8" ht="39" customHeight="1">
      <c r="A3" s="224" t="s">
        <v>380</v>
      </c>
      <c r="B3" s="224"/>
      <c r="C3" s="225"/>
      <c r="D3" s="226" t="s">
        <v>381</v>
      </c>
    </row>
    <row r="4" spans="1:8" ht="38" customHeight="1">
      <c r="A4" s="227"/>
      <c r="B4" s="228"/>
      <c r="C4" s="229"/>
      <c r="D4" s="230" t="s">
        <v>382</v>
      </c>
    </row>
    <row r="5" spans="1:8" ht="20" customHeight="1" thickBot="1">
      <c r="A5" s="231" t="s">
        <v>579</v>
      </c>
      <c r="B5" s="231" t="s">
        <v>427</v>
      </c>
      <c r="C5" s="232"/>
      <c r="D5" s="233" vm="171">
        <v>248172330.23000002</v>
      </c>
      <c r="F5" s="43"/>
      <c r="G5" s="43"/>
      <c r="H5" s="43"/>
    </row>
    <row r="6" spans="1:8" ht="20" customHeight="1" thickBot="1">
      <c r="A6" s="234">
        <v>330</v>
      </c>
      <c r="B6" s="234" t="s">
        <v>385</v>
      </c>
      <c r="C6" s="235" t="s">
        <v>386</v>
      </c>
      <c r="D6" s="233" vm="170">
        <v>-13137123.120000001</v>
      </c>
      <c r="F6" s="43"/>
      <c r="G6" s="43"/>
      <c r="H6" s="43"/>
    </row>
    <row r="7" spans="1:8" ht="20" customHeight="1" thickBot="1">
      <c r="A7" s="234">
        <v>3500</v>
      </c>
      <c r="B7" s="234" t="s">
        <v>387</v>
      </c>
      <c r="C7" s="235" t="s">
        <v>386</v>
      </c>
      <c r="D7" s="233" vm="169">
        <v>-1095762.77</v>
      </c>
      <c r="F7" s="43"/>
      <c r="G7" s="43"/>
      <c r="H7" s="43"/>
    </row>
    <row r="8" spans="1:8" ht="20" customHeight="1" thickBot="1">
      <c r="A8" s="234">
        <v>36</v>
      </c>
      <c r="B8" s="234" t="s">
        <v>388</v>
      </c>
      <c r="C8" s="235"/>
      <c r="D8" s="233" vm="168">
        <v>5843.9300000000012</v>
      </c>
      <c r="F8" s="43"/>
      <c r="G8" s="43"/>
      <c r="H8" s="43"/>
    </row>
    <row r="9" spans="1:8" ht="20" customHeight="1" thickBot="1">
      <c r="A9" s="234">
        <v>37</v>
      </c>
      <c r="B9" s="234" t="s">
        <v>389</v>
      </c>
      <c r="C9" s="235" t="s">
        <v>386</v>
      </c>
      <c r="D9" s="233">
        <v>0</v>
      </c>
      <c r="F9" s="43"/>
      <c r="G9" s="43"/>
      <c r="H9" s="43"/>
    </row>
    <row r="10" spans="1:8" ht="20" customHeight="1" thickBot="1">
      <c r="A10" s="234"/>
      <c r="B10" s="234"/>
      <c r="C10" s="235"/>
      <c r="D10" s="233" t="s">
        <v>390</v>
      </c>
      <c r="F10" s="43"/>
      <c r="G10" s="43"/>
      <c r="H10" s="43"/>
    </row>
    <row r="11" spans="1:8" ht="20" customHeight="1" thickBot="1">
      <c r="A11" s="234">
        <v>3</v>
      </c>
      <c r="B11" s="234" t="s">
        <v>391</v>
      </c>
      <c r="C11" s="235"/>
      <c r="D11" s="233">
        <v>233945288.26999998</v>
      </c>
      <c r="F11" s="43"/>
      <c r="G11" s="43"/>
      <c r="H11" s="43"/>
    </row>
    <row r="12" spans="1:8" ht="20" customHeight="1" thickBot="1">
      <c r="A12" s="234"/>
      <c r="B12" s="234"/>
      <c r="C12" s="235"/>
      <c r="D12" s="233" t="s">
        <v>390</v>
      </c>
      <c r="F12" s="43"/>
      <c r="G12" s="43"/>
      <c r="H12" s="43"/>
    </row>
    <row r="13" spans="1:8" ht="20" customHeight="1" thickBot="1">
      <c r="A13" s="234" t="s">
        <v>580</v>
      </c>
      <c r="B13" s="234" t="s">
        <v>428</v>
      </c>
      <c r="C13" s="235" t="s">
        <v>386</v>
      </c>
      <c r="D13" s="233" vm="167">
        <v>-191238092.75</v>
      </c>
      <c r="F13" s="43"/>
      <c r="G13" s="43"/>
      <c r="H13" s="43"/>
    </row>
    <row r="14" spans="1:8" ht="20" customHeight="1" thickBot="1">
      <c r="A14" s="236">
        <v>4320</v>
      </c>
      <c r="B14" s="234" t="s">
        <v>398</v>
      </c>
      <c r="C14" s="235" t="s">
        <v>386</v>
      </c>
      <c r="D14" s="233" vm="166">
        <v>-1376977.8399999999</v>
      </c>
      <c r="F14" s="43"/>
      <c r="G14" s="43"/>
      <c r="H14" s="43"/>
    </row>
    <row r="15" spans="1:8" ht="20" customHeight="1" thickBot="1">
      <c r="A15" s="234">
        <v>450</v>
      </c>
      <c r="B15" s="234" t="s">
        <v>399</v>
      </c>
      <c r="C15" s="235"/>
      <c r="D15" s="233" vm="165">
        <v>3096.5900000000838</v>
      </c>
      <c r="F15" s="43"/>
      <c r="G15" s="43"/>
      <c r="H15" s="43"/>
    </row>
    <row r="16" spans="1:8" ht="20" customHeight="1" thickBot="1">
      <c r="A16" s="234">
        <v>4400</v>
      </c>
      <c r="B16" s="234" t="s">
        <v>400</v>
      </c>
      <c r="C16" s="235"/>
      <c r="D16" s="233" vm="164">
        <v>928977.35</v>
      </c>
      <c r="F16" s="43"/>
      <c r="G16" s="43"/>
      <c r="H16" s="237"/>
    </row>
    <row r="17" spans="1:8" ht="20" customHeight="1" thickBot="1">
      <c r="A17" s="234"/>
      <c r="B17" s="234"/>
      <c r="C17" s="235"/>
      <c r="D17" s="233" t="s">
        <v>390</v>
      </c>
      <c r="F17" s="43"/>
      <c r="G17" s="43"/>
      <c r="H17" s="43"/>
    </row>
    <row r="18" spans="1:8" ht="20" customHeight="1" thickBot="1">
      <c r="A18" s="234">
        <v>4</v>
      </c>
      <c r="B18" s="234" t="s">
        <v>402</v>
      </c>
      <c r="C18" s="235"/>
      <c r="D18" s="233">
        <v>-191682996.64999998</v>
      </c>
      <c r="F18" s="43"/>
      <c r="G18" s="43"/>
      <c r="H18" s="238"/>
    </row>
    <row r="19" spans="1:8" ht="20" customHeight="1" thickBot="1">
      <c r="A19" s="234"/>
      <c r="B19" s="234"/>
      <c r="C19" s="235"/>
      <c r="D19" s="233" t="s">
        <v>390</v>
      </c>
      <c r="F19" s="43"/>
      <c r="G19" s="43"/>
      <c r="H19" s="43"/>
    </row>
    <row r="20" spans="1:8" ht="20" customHeight="1" thickBot="1">
      <c r="A20" s="234">
        <v>992</v>
      </c>
      <c r="B20" s="234" t="s">
        <v>403</v>
      </c>
      <c r="C20" s="235"/>
      <c r="D20" s="233">
        <v>42262291.620000005</v>
      </c>
      <c r="F20" s="43"/>
      <c r="G20" s="43"/>
      <c r="H20" s="43"/>
    </row>
    <row r="21" spans="1:8" ht="20" customHeight="1" thickBot="1">
      <c r="A21" s="234"/>
      <c r="B21" s="234"/>
      <c r="C21" s="235"/>
      <c r="D21" s="233" t="s">
        <v>390</v>
      </c>
      <c r="F21" s="43"/>
      <c r="G21" s="43"/>
      <c r="H21" s="43"/>
    </row>
    <row r="22" spans="1:8" ht="20" customHeight="1" thickBot="1">
      <c r="A22" s="234">
        <v>500</v>
      </c>
      <c r="B22" s="234" t="s">
        <v>404</v>
      </c>
      <c r="C22" s="235" t="s">
        <v>386</v>
      </c>
      <c r="D22" s="233" vm="162">
        <v>-47362979.660000004</v>
      </c>
      <c r="F22" s="43"/>
      <c r="G22" s="43"/>
      <c r="H22" s="43"/>
    </row>
    <row r="23" spans="1:8" ht="20" customHeight="1" thickBot="1">
      <c r="A23" s="234">
        <v>501</v>
      </c>
      <c r="B23" s="234" t="s">
        <v>405</v>
      </c>
      <c r="C23" s="235" t="s">
        <v>386</v>
      </c>
      <c r="D23" s="233" vm="163">
        <v>-17359.150000000001</v>
      </c>
      <c r="F23" s="43"/>
      <c r="G23" s="43"/>
      <c r="H23" s="43"/>
    </row>
    <row r="24" spans="1:8" ht="20" customHeight="1" thickBot="1">
      <c r="A24" s="234">
        <v>510</v>
      </c>
      <c r="B24" s="234" t="s">
        <v>406</v>
      </c>
      <c r="C24" s="235" t="s">
        <v>386</v>
      </c>
      <c r="D24" s="233" vm="160">
        <v>13846234.279999997</v>
      </c>
      <c r="F24" s="43"/>
      <c r="G24" s="43"/>
      <c r="H24" s="43"/>
    </row>
    <row r="25" spans="1:8" ht="20" customHeight="1" thickBot="1">
      <c r="A25" s="234">
        <v>516</v>
      </c>
      <c r="B25" s="234" t="s">
        <v>407</v>
      </c>
      <c r="C25" s="235" t="s">
        <v>386</v>
      </c>
      <c r="D25" s="233" vm="161">
        <v>-2783925.310000001</v>
      </c>
      <c r="F25" s="43"/>
      <c r="G25" s="43"/>
      <c r="H25" s="43"/>
    </row>
    <row r="26" spans="1:8" ht="20" customHeight="1" thickBot="1">
      <c r="A26" s="234">
        <v>517</v>
      </c>
      <c r="B26" s="234" t="s">
        <v>408</v>
      </c>
      <c r="C26" s="235" t="s">
        <v>386</v>
      </c>
      <c r="D26" s="233" vm="158">
        <v>-1953938.0099999998</v>
      </c>
      <c r="F26" s="43"/>
      <c r="G26" s="43"/>
      <c r="H26" s="43"/>
    </row>
    <row r="27" spans="1:8" ht="20" customHeight="1" thickBot="1">
      <c r="A27" s="234">
        <v>519</v>
      </c>
      <c r="B27" s="234" t="s">
        <v>409</v>
      </c>
      <c r="C27" s="235" t="s">
        <v>386</v>
      </c>
      <c r="D27" s="233" vm="159">
        <v>-1311472.92</v>
      </c>
      <c r="F27" s="43"/>
      <c r="G27" s="43"/>
      <c r="H27" s="43"/>
    </row>
    <row r="28" spans="1:8" ht="20" customHeight="1" thickBot="1">
      <c r="A28" s="234"/>
      <c r="B28" s="234"/>
      <c r="C28" s="235"/>
      <c r="D28" s="233" t="s">
        <v>390</v>
      </c>
      <c r="F28" s="43"/>
      <c r="G28" s="43"/>
      <c r="H28" s="43"/>
    </row>
    <row r="29" spans="1:8" ht="20" customHeight="1" thickBot="1">
      <c r="A29" s="234">
        <v>5</v>
      </c>
      <c r="B29" s="234" t="s">
        <v>410</v>
      </c>
      <c r="C29" s="235"/>
      <c r="D29" s="233">
        <v>-39583440.770000003</v>
      </c>
      <c r="F29" s="43"/>
      <c r="G29" s="43"/>
      <c r="H29" s="43"/>
    </row>
    <row r="30" spans="1:8" ht="20" customHeight="1" thickBot="1">
      <c r="A30" s="234"/>
      <c r="B30" s="234"/>
      <c r="C30" s="235"/>
      <c r="D30" s="233" t="s">
        <v>390</v>
      </c>
      <c r="F30" s="43"/>
      <c r="G30" s="43"/>
      <c r="H30" s="43"/>
    </row>
    <row r="31" spans="1:8" ht="20" customHeight="1" thickBot="1">
      <c r="A31" s="234">
        <v>993</v>
      </c>
      <c r="B31" s="234" t="s">
        <v>411</v>
      </c>
      <c r="C31" s="235" t="s">
        <v>386</v>
      </c>
      <c r="D31" s="233">
        <v>-231266437.41999999</v>
      </c>
      <c r="F31" s="43"/>
      <c r="G31" s="43"/>
      <c r="H31" s="43"/>
    </row>
    <row r="32" spans="1:8" ht="20" customHeight="1" thickBot="1">
      <c r="A32" s="234"/>
      <c r="B32" s="234"/>
      <c r="C32" s="235"/>
      <c r="D32" s="233" t="s">
        <v>390</v>
      </c>
      <c r="F32" s="43"/>
      <c r="G32" s="43"/>
      <c r="H32" s="43"/>
    </row>
    <row r="33" spans="1:8" ht="20" customHeight="1" thickBot="1">
      <c r="A33" s="234">
        <v>994</v>
      </c>
      <c r="B33" s="234" t="s">
        <v>412</v>
      </c>
      <c r="C33" s="235"/>
      <c r="D33" s="233">
        <v>2678850.8500000089</v>
      </c>
      <c r="F33" s="43"/>
      <c r="G33" s="43"/>
      <c r="H33" s="43"/>
    </row>
    <row r="34" spans="1:8" ht="20" customHeight="1" thickBot="1">
      <c r="A34" s="234"/>
      <c r="B34" s="234"/>
      <c r="C34" s="235"/>
      <c r="D34" s="233" t="s">
        <v>390</v>
      </c>
      <c r="F34" s="43"/>
      <c r="G34" s="43"/>
      <c r="H34" s="43"/>
    </row>
    <row r="35" spans="1:8" ht="20" customHeight="1" thickBot="1">
      <c r="A35" s="234">
        <v>70</v>
      </c>
      <c r="B35" s="234" t="s">
        <v>413</v>
      </c>
      <c r="C35" s="235"/>
      <c r="D35" s="233" vm="157">
        <v>2383572.7999999998</v>
      </c>
      <c r="F35" s="43"/>
      <c r="G35" s="43"/>
      <c r="H35" s="43"/>
    </row>
    <row r="36" spans="1:8" ht="20" customHeight="1" thickBot="1">
      <c r="A36" s="234">
        <v>71</v>
      </c>
      <c r="B36" s="234" t="s">
        <v>414</v>
      </c>
      <c r="C36" s="235" t="s">
        <v>386</v>
      </c>
      <c r="D36" s="233" vm="156">
        <v>-52887.25</v>
      </c>
      <c r="F36" s="43"/>
      <c r="G36" s="43"/>
      <c r="H36" s="43"/>
    </row>
    <row r="37" spans="1:8" ht="20" customHeight="1" thickBot="1">
      <c r="A37" s="234">
        <v>73</v>
      </c>
      <c r="B37" s="234" t="s">
        <v>415</v>
      </c>
      <c r="C37" s="235"/>
      <c r="D37" s="233" vm="156">
        <v>12602369.140000001</v>
      </c>
      <c r="F37" s="43"/>
      <c r="G37" s="43"/>
      <c r="H37" s="43"/>
    </row>
    <row r="38" spans="1:8" ht="20" customHeight="1" thickBot="1">
      <c r="A38" s="234">
        <v>810</v>
      </c>
      <c r="B38" s="234" t="s">
        <v>416</v>
      </c>
      <c r="C38" s="235"/>
      <c r="D38" s="233" vm="155">
        <v>160577.40999999997</v>
      </c>
      <c r="F38" s="43"/>
      <c r="G38" s="43"/>
      <c r="H38" s="43"/>
    </row>
    <row r="39" spans="1:8" ht="20" customHeight="1" thickBot="1">
      <c r="A39" s="234">
        <v>820</v>
      </c>
      <c r="B39" s="234" t="s">
        <v>417</v>
      </c>
      <c r="C39" s="235" t="s">
        <v>386</v>
      </c>
      <c r="D39" s="233" vm="155">
        <v>-122601.58</v>
      </c>
      <c r="F39" s="43"/>
      <c r="G39" s="43"/>
      <c r="H39" s="43"/>
    </row>
    <row r="40" spans="1:8" ht="20" customHeight="1" thickBot="1">
      <c r="A40" s="234">
        <v>9</v>
      </c>
      <c r="B40" s="234" t="s">
        <v>418</v>
      </c>
      <c r="C40" s="235"/>
      <c r="D40" s="233" t="s">
        <v>390</v>
      </c>
      <c r="F40" s="43"/>
      <c r="G40" s="43"/>
      <c r="H40" s="43"/>
    </row>
    <row r="41" spans="1:8" ht="20" customHeight="1" thickBot="1">
      <c r="A41" s="234"/>
      <c r="B41" s="234"/>
      <c r="C41" s="235"/>
      <c r="D41" s="233" t="s">
        <v>390</v>
      </c>
      <c r="F41" s="43"/>
      <c r="G41" s="43"/>
      <c r="H41" s="43"/>
    </row>
    <row r="42" spans="1:8" ht="20" customHeight="1" thickBot="1">
      <c r="A42" s="234">
        <v>995</v>
      </c>
      <c r="B42" s="234" t="s">
        <v>1867</v>
      </c>
      <c r="C42" s="235"/>
      <c r="D42" s="233">
        <v>14971030.52</v>
      </c>
      <c r="F42" s="43"/>
      <c r="G42" s="43"/>
      <c r="H42" s="43"/>
    </row>
    <row r="43" spans="1:8" ht="20" customHeight="1" thickBot="1">
      <c r="A43" s="234"/>
      <c r="B43" s="234"/>
      <c r="C43" s="235"/>
      <c r="D43" s="233" t="s">
        <v>390</v>
      </c>
      <c r="F43" s="43"/>
      <c r="G43" s="43"/>
      <c r="H43" s="43"/>
    </row>
    <row r="44" spans="1:8" ht="20" customHeight="1" thickBot="1">
      <c r="A44" s="242">
        <v>999</v>
      </c>
      <c r="B44" s="242" t="s">
        <v>419</v>
      </c>
      <c r="C44" s="243"/>
      <c r="D44" s="265">
        <v>17649881.370000008</v>
      </c>
      <c r="F44" s="43"/>
      <c r="G44" s="43"/>
      <c r="H44" s="43"/>
    </row>
    <row r="45" spans="1:8" ht="15.5" customHeight="1">
      <c r="A45" s="189" t="s">
        <v>346</v>
      </c>
    </row>
    <row r="47" spans="1:8">
      <c r="A47" s="3" t="s">
        <v>581</v>
      </c>
    </row>
    <row r="50" spans="1:4">
      <c r="A50" s="3" t="s">
        <v>302</v>
      </c>
    </row>
    <row r="56" spans="1:4">
      <c r="B56" s="259"/>
      <c r="C56" s="259"/>
      <c r="D56" s="43"/>
    </row>
    <row r="59" spans="1:4" ht="14">
      <c r="A59" s="260"/>
      <c r="B59" s="260"/>
      <c r="C59" s="261"/>
      <c r="D59" s="262"/>
    </row>
  </sheetData>
  <mergeCells count="1">
    <mergeCell ref="A2:B2"/>
  </mergeCells>
  <pageMargins left="0.6" right="0.63" top="0.78" bottom="0.49" header="0.42" footer="0.4921259845"/>
  <pageSetup paperSize="9" scale="76" orientation="portrait"/>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72567-29BA-A946-A815-5F6B1BDAC863}">
  <sheetPr>
    <pageSetUpPr fitToPage="1"/>
  </sheetPr>
  <dimension ref="A1:H61"/>
  <sheetViews>
    <sheetView zoomScaleNormal="100" workbookViewId="0"/>
  </sheetViews>
  <sheetFormatPr baseColWidth="10" defaultColWidth="11.3984375" defaultRowHeight="13"/>
  <cols>
    <col min="1" max="1" width="21.796875" style="3" customWidth="1"/>
    <col min="2" max="2" width="68.59765625" style="245" customWidth="1"/>
    <col min="3" max="3" width="7.59765625" style="245" customWidth="1"/>
    <col min="4" max="4" width="20.19921875" style="246" customWidth="1"/>
    <col min="5" max="16384" width="11.3984375" style="3"/>
  </cols>
  <sheetData>
    <row r="1" spans="1:8" s="1" customFormat="1" ht="14" customHeight="1">
      <c r="B1" s="221"/>
      <c r="C1" s="221"/>
      <c r="D1" s="222"/>
    </row>
    <row r="2" spans="1:8" s="1" customFormat="1" ht="28.75" customHeight="1">
      <c r="A2" s="2010" t="s">
        <v>582</v>
      </c>
      <c r="B2" s="2011"/>
      <c r="D2" s="223">
        <v>2013</v>
      </c>
      <c r="E2" s="223"/>
    </row>
    <row r="3" spans="1:8" ht="39" customHeight="1">
      <c r="A3" s="224" t="s">
        <v>380</v>
      </c>
      <c r="B3" s="224"/>
      <c r="C3" s="225"/>
      <c r="D3" s="226" t="s">
        <v>381</v>
      </c>
    </row>
    <row r="4" spans="1:8" ht="38" customHeight="1">
      <c r="A4" s="227"/>
      <c r="B4" s="228"/>
      <c r="C4" s="229"/>
      <c r="D4" s="230" t="s">
        <v>382</v>
      </c>
    </row>
    <row r="5" spans="1:8" ht="20" customHeight="1" thickBot="1">
      <c r="A5" s="231">
        <v>3000</v>
      </c>
      <c r="B5" s="231" t="s">
        <v>427</v>
      </c>
      <c r="C5" s="232"/>
      <c r="D5" s="233" vm="171">
        <v>33713615.140000001</v>
      </c>
      <c r="F5" s="43"/>
      <c r="G5" s="43"/>
      <c r="H5" s="43"/>
    </row>
    <row r="6" spans="1:8" ht="20" customHeight="1" thickBot="1">
      <c r="A6" s="234">
        <v>330</v>
      </c>
      <c r="B6" s="234" t="s">
        <v>385</v>
      </c>
      <c r="C6" s="235" t="s">
        <v>386</v>
      </c>
      <c r="D6" s="233" vm="170">
        <v>-266450.95999999996</v>
      </c>
      <c r="F6" s="43"/>
      <c r="G6" s="43"/>
      <c r="H6" s="43"/>
    </row>
    <row r="7" spans="1:8" ht="20" customHeight="1" thickBot="1">
      <c r="A7" s="234">
        <v>3500</v>
      </c>
      <c r="B7" s="234" t="s">
        <v>387</v>
      </c>
      <c r="C7" s="235" t="s">
        <v>386</v>
      </c>
      <c r="D7" s="233" vm="169">
        <v>-304951</v>
      </c>
      <c r="F7" s="43"/>
      <c r="G7" s="43"/>
      <c r="H7" s="43"/>
    </row>
    <row r="8" spans="1:8" ht="20" customHeight="1" thickBot="1">
      <c r="A8" s="234">
        <v>36</v>
      </c>
      <c r="B8" s="234" t="s">
        <v>388</v>
      </c>
      <c r="C8" s="235"/>
      <c r="D8" s="233" vm="168">
        <v>4962.2100000000009</v>
      </c>
      <c r="F8" s="43"/>
      <c r="G8" s="43"/>
      <c r="H8" s="43"/>
    </row>
    <row r="9" spans="1:8" ht="20" customHeight="1" thickBot="1">
      <c r="A9" s="234">
        <v>37</v>
      </c>
      <c r="B9" s="234" t="s">
        <v>389</v>
      </c>
      <c r="C9" s="235" t="s">
        <v>386</v>
      </c>
      <c r="D9" s="233">
        <v>0</v>
      </c>
      <c r="F9" s="43"/>
      <c r="G9" s="43"/>
      <c r="H9" s="43"/>
    </row>
    <row r="10" spans="1:8" ht="20" customHeight="1" thickBot="1">
      <c r="A10" s="234"/>
      <c r="B10" s="234"/>
      <c r="C10" s="235"/>
      <c r="D10" s="233" t="s">
        <v>390</v>
      </c>
      <c r="F10" s="43"/>
      <c r="G10" s="43"/>
      <c r="H10" s="43"/>
    </row>
    <row r="11" spans="1:8" ht="20" customHeight="1" thickBot="1">
      <c r="A11" s="234">
        <v>3</v>
      </c>
      <c r="B11" s="234" t="s">
        <v>391</v>
      </c>
      <c r="C11" s="235"/>
      <c r="D11" s="233">
        <v>33147175.390000001</v>
      </c>
      <c r="F11" s="43"/>
      <c r="G11" s="43"/>
      <c r="H11" s="43"/>
    </row>
    <row r="12" spans="1:8" ht="20" customHeight="1" thickBot="1">
      <c r="A12" s="234"/>
      <c r="B12" s="234"/>
      <c r="C12" s="235"/>
      <c r="D12" s="233" t="s">
        <v>390</v>
      </c>
      <c r="F12" s="43"/>
      <c r="G12" s="43"/>
      <c r="H12" s="43"/>
    </row>
    <row r="13" spans="1:8" ht="20" customHeight="1" thickBot="1">
      <c r="A13" s="234">
        <v>4000</v>
      </c>
      <c r="B13" s="234" t="s">
        <v>428</v>
      </c>
      <c r="C13" s="235" t="s">
        <v>386</v>
      </c>
      <c r="D13" s="233" vm="168">
        <v>-25186219.769999996</v>
      </c>
      <c r="F13" s="43"/>
      <c r="G13" s="43"/>
      <c r="H13" s="43"/>
    </row>
    <row r="14" spans="1:8" ht="20" customHeight="1" thickBot="1">
      <c r="A14" s="236">
        <v>4320</v>
      </c>
      <c r="B14" s="234" t="s">
        <v>398</v>
      </c>
      <c r="C14" s="235" t="s">
        <v>386</v>
      </c>
      <c r="D14" s="233" vm="166">
        <v>-64843.529999999992</v>
      </c>
      <c r="F14" s="43"/>
      <c r="G14" s="43"/>
      <c r="H14" s="43"/>
    </row>
    <row r="15" spans="1:8" ht="20" customHeight="1" thickBot="1">
      <c r="A15" s="234">
        <v>450</v>
      </c>
      <c r="B15" s="234" t="s">
        <v>399</v>
      </c>
      <c r="C15" s="235"/>
      <c r="D15" s="233" vm="165">
        <v>1466324.8200000003</v>
      </c>
      <c r="F15" s="43"/>
      <c r="G15" s="43"/>
      <c r="H15" s="43"/>
    </row>
    <row r="16" spans="1:8" ht="20" customHeight="1" thickBot="1">
      <c r="A16" s="234">
        <v>4400</v>
      </c>
      <c r="B16" s="234" t="s">
        <v>400</v>
      </c>
      <c r="C16" s="235"/>
      <c r="D16" s="233" vm="164">
        <v>305107.08999999997</v>
      </c>
      <c r="F16" s="43"/>
      <c r="G16" s="43"/>
      <c r="H16" s="237"/>
    </row>
    <row r="17" spans="1:8" ht="20" customHeight="1" thickBot="1">
      <c r="A17" s="234"/>
      <c r="B17" s="234"/>
      <c r="C17" s="235"/>
      <c r="D17" s="233" t="s">
        <v>390</v>
      </c>
      <c r="F17" s="43"/>
      <c r="G17" s="43"/>
      <c r="H17" s="43"/>
    </row>
    <row r="18" spans="1:8" ht="20" customHeight="1" thickBot="1">
      <c r="A18" s="234">
        <v>4</v>
      </c>
      <c r="B18" s="234" t="s">
        <v>402</v>
      </c>
      <c r="C18" s="235"/>
      <c r="D18" s="233">
        <v>-23479631.389999997</v>
      </c>
      <c r="F18" s="43"/>
      <c r="G18" s="43"/>
      <c r="H18" s="238"/>
    </row>
    <row r="19" spans="1:8" ht="20" customHeight="1" thickBot="1">
      <c r="A19" s="234"/>
      <c r="B19" s="234"/>
      <c r="C19" s="235"/>
      <c r="D19" s="233" t="s">
        <v>390</v>
      </c>
      <c r="F19" s="43"/>
      <c r="G19" s="43"/>
      <c r="H19" s="43"/>
    </row>
    <row r="20" spans="1:8" ht="20" customHeight="1" thickBot="1">
      <c r="A20" s="234">
        <v>992</v>
      </c>
      <c r="B20" s="234" t="s">
        <v>403</v>
      </c>
      <c r="C20" s="235"/>
      <c r="D20" s="233">
        <v>9667544.0000000037</v>
      </c>
      <c r="F20" s="43"/>
      <c r="G20" s="43"/>
      <c r="H20" s="43"/>
    </row>
    <row r="21" spans="1:8" ht="20" customHeight="1" thickBot="1">
      <c r="A21" s="234"/>
      <c r="B21" s="234"/>
      <c r="C21" s="235"/>
      <c r="D21" s="233" t="s">
        <v>390</v>
      </c>
      <c r="F21" s="43"/>
      <c r="G21" s="43"/>
      <c r="H21" s="43"/>
    </row>
    <row r="22" spans="1:8" ht="20" customHeight="1" thickBot="1">
      <c r="A22" s="234">
        <v>500</v>
      </c>
      <c r="B22" s="234" t="s">
        <v>404</v>
      </c>
      <c r="C22" s="235" t="s">
        <v>386</v>
      </c>
      <c r="D22" s="233" vm="162">
        <v>-5794584.8200000003</v>
      </c>
      <c r="F22" s="43"/>
      <c r="G22" s="43"/>
      <c r="H22" s="43"/>
    </row>
    <row r="23" spans="1:8" ht="20" customHeight="1" thickBot="1">
      <c r="A23" s="234">
        <v>501</v>
      </c>
      <c r="B23" s="234" t="s">
        <v>405</v>
      </c>
      <c r="C23" s="235" t="s">
        <v>386</v>
      </c>
      <c r="D23" s="233" vm="164">
        <v>-4295.3500000000004</v>
      </c>
      <c r="F23" s="43"/>
      <c r="G23" s="43"/>
      <c r="H23" s="43"/>
    </row>
    <row r="24" spans="1:8" ht="20" customHeight="1" thickBot="1">
      <c r="A24" s="234">
        <v>510</v>
      </c>
      <c r="B24" s="234" t="s">
        <v>406</v>
      </c>
      <c r="C24" s="235" t="s">
        <v>386</v>
      </c>
      <c r="D24" s="233" vm="160">
        <v>169024.49999999994</v>
      </c>
      <c r="F24" s="43"/>
      <c r="G24" s="43"/>
      <c r="H24" s="43"/>
    </row>
    <row r="25" spans="1:8" ht="20" customHeight="1" thickBot="1">
      <c r="A25" s="234">
        <v>516</v>
      </c>
      <c r="B25" s="234" t="s">
        <v>407</v>
      </c>
      <c r="C25" s="235" t="s">
        <v>386</v>
      </c>
      <c r="D25" s="233" vm="161">
        <v>-332806.58000000007</v>
      </c>
      <c r="F25" s="43"/>
      <c r="G25" s="43"/>
      <c r="H25" s="43"/>
    </row>
    <row r="26" spans="1:8" ht="20" customHeight="1" thickBot="1">
      <c r="A26" s="234">
        <v>517</v>
      </c>
      <c r="B26" s="234" t="s">
        <v>408</v>
      </c>
      <c r="C26" s="235" t="s">
        <v>386</v>
      </c>
      <c r="D26" s="233" vm="158">
        <v>-136247.51</v>
      </c>
      <c r="F26" s="43"/>
      <c r="G26" s="43"/>
      <c r="H26" s="43"/>
    </row>
    <row r="27" spans="1:8" ht="20" customHeight="1" thickBot="1">
      <c r="A27" s="234">
        <v>519</v>
      </c>
      <c r="B27" s="234" t="s">
        <v>409</v>
      </c>
      <c r="C27" s="235" t="s">
        <v>386</v>
      </c>
      <c r="D27" s="233" vm="159">
        <v>-140040.57000000004</v>
      </c>
      <c r="F27" s="43"/>
      <c r="G27" s="43"/>
      <c r="H27" s="43"/>
    </row>
    <row r="28" spans="1:8" ht="20" customHeight="1" thickBot="1">
      <c r="A28" s="234"/>
      <c r="B28" s="234"/>
      <c r="C28" s="235"/>
      <c r="D28" s="233" t="s">
        <v>390</v>
      </c>
      <c r="F28" s="43"/>
      <c r="G28" s="43"/>
      <c r="H28" s="43"/>
    </row>
    <row r="29" spans="1:8" ht="20" customHeight="1" thickBot="1">
      <c r="A29" s="234">
        <v>5</v>
      </c>
      <c r="B29" s="234" t="s">
        <v>410</v>
      </c>
      <c r="C29" s="235"/>
      <c r="D29" s="233">
        <v>-6238950.3300000001</v>
      </c>
      <c r="F29" s="43"/>
      <c r="G29" s="43"/>
      <c r="H29" s="43"/>
    </row>
    <row r="30" spans="1:8" ht="20" customHeight="1" thickBot="1">
      <c r="A30" s="234"/>
      <c r="B30" s="234"/>
      <c r="C30" s="235"/>
      <c r="D30" s="233" t="s">
        <v>390</v>
      </c>
      <c r="F30" s="43"/>
      <c r="G30" s="43"/>
      <c r="H30" s="43"/>
    </row>
    <row r="31" spans="1:8" ht="20" customHeight="1" thickBot="1">
      <c r="A31" s="234">
        <v>993</v>
      </c>
      <c r="B31" s="234" t="s">
        <v>411</v>
      </c>
      <c r="C31" s="235" t="s">
        <v>386</v>
      </c>
      <c r="D31" s="233">
        <v>-29718581.719999999</v>
      </c>
      <c r="F31" s="43"/>
      <c r="G31" s="43"/>
      <c r="H31" s="43"/>
    </row>
    <row r="32" spans="1:8" ht="20" customHeight="1" thickBot="1">
      <c r="A32" s="234"/>
      <c r="B32" s="234"/>
      <c r="C32" s="235"/>
      <c r="D32" s="233" t="s">
        <v>390</v>
      </c>
      <c r="F32" s="43"/>
      <c r="G32" s="43"/>
      <c r="H32" s="43"/>
    </row>
    <row r="33" spans="1:8" ht="20" customHeight="1" thickBot="1">
      <c r="A33" s="234">
        <v>994</v>
      </c>
      <c r="B33" s="234" t="s">
        <v>412</v>
      </c>
      <c r="C33" s="235"/>
      <c r="D33" s="233">
        <v>3428593.6700000018</v>
      </c>
      <c r="F33" s="43"/>
      <c r="G33" s="43"/>
      <c r="H33" s="43"/>
    </row>
    <row r="34" spans="1:8" ht="20" customHeight="1" thickBot="1">
      <c r="A34" s="234"/>
      <c r="B34" s="234"/>
      <c r="C34" s="235"/>
      <c r="D34" s="233" t="s">
        <v>390</v>
      </c>
      <c r="F34" s="43"/>
      <c r="G34" s="43"/>
      <c r="H34" s="43"/>
    </row>
    <row r="35" spans="1:8" ht="20" customHeight="1" thickBot="1">
      <c r="A35" s="234">
        <v>70</v>
      </c>
      <c r="B35" s="234" t="s">
        <v>413</v>
      </c>
      <c r="C35" s="235"/>
      <c r="D35" s="233" vm="158">
        <v>583305.13000000012</v>
      </c>
      <c r="F35" s="43"/>
      <c r="G35" s="43"/>
      <c r="H35" s="43"/>
    </row>
    <row r="36" spans="1:8" ht="20" customHeight="1" thickBot="1">
      <c r="A36" s="234">
        <v>71</v>
      </c>
      <c r="B36" s="234" t="s">
        <v>414</v>
      </c>
      <c r="C36" s="235" t="s">
        <v>386</v>
      </c>
      <c r="D36" s="233" vm="156">
        <v>1940.5600000000009</v>
      </c>
      <c r="F36" s="43"/>
      <c r="G36" s="43"/>
      <c r="H36" s="43"/>
    </row>
    <row r="37" spans="1:8" ht="20" customHeight="1" thickBot="1">
      <c r="A37" s="234">
        <v>73</v>
      </c>
      <c r="B37" s="234" t="s">
        <v>415</v>
      </c>
      <c r="C37" s="235"/>
      <c r="D37" s="233" vm="172">
        <v>1387474.31</v>
      </c>
      <c r="F37" s="43"/>
      <c r="G37" s="43"/>
      <c r="H37" s="43"/>
    </row>
    <row r="38" spans="1:8" ht="20" customHeight="1" thickBot="1">
      <c r="A38" s="234">
        <v>810</v>
      </c>
      <c r="B38" s="234" t="s">
        <v>416</v>
      </c>
      <c r="C38" s="235"/>
      <c r="D38" s="233" vm="155">
        <v>12507.29</v>
      </c>
      <c r="F38" s="43"/>
      <c r="G38" s="43"/>
      <c r="H38" s="43"/>
    </row>
    <row r="39" spans="1:8" ht="20" customHeight="1" thickBot="1">
      <c r="A39" s="234">
        <v>820</v>
      </c>
      <c r="B39" s="234" t="s">
        <v>417</v>
      </c>
      <c r="C39" s="235" t="s">
        <v>386</v>
      </c>
      <c r="D39" s="233" vm="155">
        <v>-8620.92</v>
      </c>
      <c r="F39" s="43"/>
      <c r="G39" s="43"/>
      <c r="H39" s="43"/>
    </row>
    <row r="40" spans="1:8" ht="20" customHeight="1" thickBot="1">
      <c r="A40" s="234">
        <v>9</v>
      </c>
      <c r="B40" s="234" t="s">
        <v>418</v>
      </c>
      <c r="C40" s="235"/>
      <c r="D40" s="233">
        <v>0</v>
      </c>
      <c r="F40" s="43"/>
      <c r="G40" s="43"/>
      <c r="H40" s="43"/>
    </row>
    <row r="41" spans="1:8" ht="20" customHeight="1" thickBot="1">
      <c r="A41" s="234"/>
      <c r="B41" s="234"/>
      <c r="C41" s="235"/>
      <c r="D41" s="233" t="s">
        <v>390</v>
      </c>
      <c r="F41" s="43"/>
      <c r="G41" s="43"/>
      <c r="H41" s="43"/>
    </row>
    <row r="42" spans="1:8" ht="20" customHeight="1" thickBot="1">
      <c r="A42" s="234">
        <v>995</v>
      </c>
      <c r="B42" s="234" t="s">
        <v>1867</v>
      </c>
      <c r="C42" s="235"/>
      <c r="D42" s="233">
        <v>1976606.3700000003</v>
      </c>
      <c r="F42" s="43"/>
      <c r="G42" s="43"/>
      <c r="H42" s="43"/>
    </row>
    <row r="43" spans="1:8" ht="20" customHeight="1" thickBot="1">
      <c r="A43" s="234"/>
      <c r="B43" s="234"/>
      <c r="C43" s="235"/>
      <c r="D43" s="233" t="s">
        <v>390</v>
      </c>
      <c r="F43" s="43"/>
      <c r="G43" s="43"/>
      <c r="H43" s="43"/>
    </row>
    <row r="44" spans="1:8" ht="20" customHeight="1" thickBot="1">
      <c r="A44" s="242">
        <v>999</v>
      </c>
      <c r="B44" s="242" t="s">
        <v>419</v>
      </c>
      <c r="C44" s="243"/>
      <c r="D44" s="265">
        <v>5405200.0400000019</v>
      </c>
      <c r="F44" s="43"/>
      <c r="G44" s="43"/>
      <c r="H44" s="43"/>
    </row>
    <row r="45" spans="1:8" ht="15.5" customHeight="1">
      <c r="A45" s="189" t="s">
        <v>346</v>
      </c>
    </row>
    <row r="47" spans="1:8">
      <c r="A47" s="3" t="s">
        <v>583</v>
      </c>
    </row>
    <row r="49" spans="1:4">
      <c r="A49" s="219" t="s">
        <v>576</v>
      </c>
    </row>
    <row r="50" spans="1:4">
      <c r="A50" s="3" t="s">
        <v>577</v>
      </c>
    </row>
    <row r="52" spans="1:4">
      <c r="A52" s="3" t="s">
        <v>302</v>
      </c>
    </row>
    <row r="58" spans="1:4">
      <c r="B58" s="259"/>
      <c r="C58" s="259"/>
      <c r="D58" s="43"/>
    </row>
    <row r="61" spans="1:4" ht="14">
      <c r="A61" s="260"/>
      <c r="B61" s="260"/>
      <c r="C61" s="261"/>
      <c r="D61" s="262"/>
    </row>
  </sheetData>
  <mergeCells count="1">
    <mergeCell ref="A2:B2"/>
  </mergeCells>
  <pageMargins left="0.6" right="0.63" top="0.78" bottom="0.49" header="0.42" footer="0.4921259845"/>
  <pageSetup paperSize="9" scale="76" orientation="portrait"/>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4266-B629-854B-B6B2-1CB9B1B5A637}">
  <sheetPr>
    <pageSetUpPr fitToPage="1"/>
  </sheetPr>
  <dimension ref="A1:H61"/>
  <sheetViews>
    <sheetView zoomScaleNormal="100" workbookViewId="0"/>
  </sheetViews>
  <sheetFormatPr baseColWidth="10" defaultColWidth="11.3984375" defaultRowHeight="13"/>
  <cols>
    <col min="1" max="1" width="21.796875" style="3" customWidth="1"/>
    <col min="2" max="2" width="68.59765625" style="245" customWidth="1"/>
    <col min="3" max="3" width="7.59765625" style="245" customWidth="1"/>
    <col min="4" max="4" width="20.796875" style="246" customWidth="1"/>
    <col min="5" max="16384" width="11.3984375" style="3"/>
  </cols>
  <sheetData>
    <row r="1" spans="1:8" s="1" customFormat="1" ht="14" customHeight="1">
      <c r="B1" s="221"/>
      <c r="C1" s="221"/>
      <c r="D1" s="222"/>
    </row>
    <row r="2" spans="1:8" s="1" customFormat="1" ht="28.75" customHeight="1">
      <c r="A2" s="2010" t="s">
        <v>574</v>
      </c>
      <c r="B2" s="2011"/>
      <c r="D2" s="223">
        <v>2013</v>
      </c>
      <c r="E2" s="223"/>
    </row>
    <row r="3" spans="1:8" ht="39" customHeight="1">
      <c r="A3" s="224" t="s">
        <v>380</v>
      </c>
      <c r="B3" s="224"/>
      <c r="C3" s="225"/>
      <c r="D3" s="226" t="s">
        <v>381</v>
      </c>
    </row>
    <row r="4" spans="1:8" ht="38" customHeight="1">
      <c r="A4" s="227"/>
      <c r="B4" s="228"/>
      <c r="C4" s="229"/>
      <c r="D4" s="230" t="s">
        <v>382</v>
      </c>
    </row>
    <row r="5" spans="1:8" ht="20" customHeight="1" thickBot="1">
      <c r="A5" s="231">
        <v>3005</v>
      </c>
      <c r="B5" s="231" t="s">
        <v>427</v>
      </c>
      <c r="C5" s="232"/>
      <c r="D5" s="233" vm="154">
        <v>214458715.09</v>
      </c>
      <c r="F5" s="43"/>
      <c r="G5" s="43"/>
      <c r="H5" s="43"/>
    </row>
    <row r="6" spans="1:8" ht="20" customHeight="1" thickBot="1">
      <c r="A6" s="234">
        <v>330</v>
      </c>
      <c r="B6" s="234" t="s">
        <v>385</v>
      </c>
      <c r="C6" s="235" t="s">
        <v>386</v>
      </c>
      <c r="D6" s="233" vm="153">
        <v>-12870672.16</v>
      </c>
      <c r="F6" s="43"/>
      <c r="G6" s="43"/>
      <c r="H6" s="43"/>
    </row>
    <row r="7" spans="1:8" ht="20" customHeight="1" thickBot="1">
      <c r="A7" s="234">
        <v>3500</v>
      </c>
      <c r="B7" s="234" t="s">
        <v>387</v>
      </c>
      <c r="C7" s="235" t="s">
        <v>386</v>
      </c>
      <c r="D7" s="233" vm="152">
        <v>-790811.7699999999</v>
      </c>
      <c r="F7" s="43"/>
      <c r="G7" s="43"/>
      <c r="H7" s="43"/>
    </row>
    <row r="8" spans="1:8" ht="20" customHeight="1" thickBot="1">
      <c r="A8" s="234">
        <v>36</v>
      </c>
      <c r="B8" s="234" t="s">
        <v>388</v>
      </c>
      <c r="C8" s="235"/>
      <c r="D8" s="233" vm="151">
        <v>881.72</v>
      </c>
      <c r="F8" s="43"/>
      <c r="G8" s="43"/>
      <c r="H8" s="43"/>
    </row>
    <row r="9" spans="1:8" ht="20" customHeight="1" thickBot="1">
      <c r="A9" s="234">
        <v>37</v>
      </c>
      <c r="B9" s="234" t="s">
        <v>389</v>
      </c>
      <c r="C9" s="235" t="s">
        <v>386</v>
      </c>
      <c r="D9" s="233">
        <v>0</v>
      </c>
      <c r="F9" s="43"/>
      <c r="G9" s="43"/>
      <c r="H9" s="43"/>
    </row>
    <row r="10" spans="1:8" ht="20" customHeight="1" thickBot="1">
      <c r="A10" s="234"/>
      <c r="B10" s="234"/>
      <c r="C10" s="235"/>
      <c r="D10" s="233" t="s">
        <v>390</v>
      </c>
      <c r="F10" s="43"/>
      <c r="G10" s="43"/>
      <c r="H10" s="43"/>
    </row>
    <row r="11" spans="1:8" ht="20" customHeight="1" thickBot="1">
      <c r="A11" s="234">
        <v>3</v>
      </c>
      <c r="B11" s="234" t="s">
        <v>391</v>
      </c>
      <c r="C11" s="235"/>
      <c r="D11" s="233">
        <v>200798112.88</v>
      </c>
      <c r="F11" s="43"/>
      <c r="G11" s="43"/>
      <c r="H11" s="43"/>
    </row>
    <row r="12" spans="1:8" ht="20" customHeight="1" thickBot="1">
      <c r="A12" s="234"/>
      <c r="B12" s="234"/>
      <c r="C12" s="235"/>
      <c r="D12" s="233" t="s">
        <v>390</v>
      </c>
      <c r="F12" s="43"/>
      <c r="G12" s="43"/>
      <c r="H12" s="43"/>
    </row>
    <row r="13" spans="1:8" ht="20" customHeight="1" thickBot="1">
      <c r="A13" s="234">
        <v>4005</v>
      </c>
      <c r="B13" s="234" t="s">
        <v>428</v>
      </c>
      <c r="C13" s="235" t="s">
        <v>386</v>
      </c>
      <c r="D13" s="233" vm="150">
        <v>-166051872.97999999</v>
      </c>
      <c r="F13" s="43"/>
      <c r="G13" s="43"/>
      <c r="H13" s="43"/>
    </row>
    <row r="14" spans="1:8" ht="20" customHeight="1" thickBot="1">
      <c r="A14" s="236">
        <v>4320</v>
      </c>
      <c r="B14" s="234" t="s">
        <v>398</v>
      </c>
      <c r="C14" s="235" t="s">
        <v>386</v>
      </c>
      <c r="D14" s="233" vm="149">
        <v>-1312134.3099999998</v>
      </c>
      <c r="F14" s="43"/>
      <c r="G14" s="43"/>
      <c r="H14" s="43"/>
    </row>
    <row r="15" spans="1:8" ht="20" customHeight="1" thickBot="1">
      <c r="A15" s="234">
        <v>450</v>
      </c>
      <c r="B15" s="234" t="s">
        <v>399</v>
      </c>
      <c r="C15" s="235"/>
      <c r="D15" s="233" vm="148">
        <v>-1463228.2300000002</v>
      </c>
      <c r="F15" s="43"/>
      <c r="G15" s="43"/>
      <c r="H15" s="43"/>
    </row>
    <row r="16" spans="1:8" ht="20" customHeight="1" thickBot="1">
      <c r="A16" s="234">
        <v>4400</v>
      </c>
      <c r="B16" s="234" t="s">
        <v>400</v>
      </c>
      <c r="C16" s="235"/>
      <c r="D16" s="233" vm="147">
        <v>623870.26</v>
      </c>
      <c r="F16" s="43"/>
      <c r="G16" s="43"/>
      <c r="H16" s="237"/>
    </row>
    <row r="17" spans="1:8" ht="20" customHeight="1" thickBot="1">
      <c r="A17" s="234"/>
      <c r="B17" s="234"/>
      <c r="C17" s="235"/>
      <c r="D17" s="233" t="s">
        <v>390</v>
      </c>
      <c r="F17" s="43"/>
      <c r="G17" s="43"/>
      <c r="H17" s="43"/>
    </row>
    <row r="18" spans="1:8" ht="20" customHeight="1" thickBot="1">
      <c r="A18" s="234">
        <v>4</v>
      </c>
      <c r="B18" s="234" t="s">
        <v>402</v>
      </c>
      <c r="C18" s="235"/>
      <c r="D18" s="233">
        <v>-168203365.25999999</v>
      </c>
      <c r="F18" s="43"/>
      <c r="G18" s="43"/>
      <c r="H18" s="238"/>
    </row>
    <row r="19" spans="1:8" ht="20" customHeight="1" thickBot="1">
      <c r="A19" s="234"/>
      <c r="B19" s="234"/>
      <c r="C19" s="235"/>
      <c r="D19" s="233" t="s">
        <v>390</v>
      </c>
      <c r="F19" s="43"/>
      <c r="G19" s="43"/>
      <c r="H19" s="43"/>
    </row>
    <row r="20" spans="1:8" ht="20" customHeight="1" thickBot="1">
      <c r="A20" s="234">
        <v>992</v>
      </c>
      <c r="B20" s="234" t="s">
        <v>403</v>
      </c>
      <c r="C20" s="235"/>
      <c r="D20" s="233">
        <v>32594747.620000005</v>
      </c>
      <c r="F20" s="43"/>
      <c r="G20" s="43"/>
      <c r="H20" s="43"/>
    </row>
    <row r="21" spans="1:8" ht="20" customHeight="1" thickBot="1">
      <c r="A21" s="234"/>
      <c r="B21" s="234"/>
      <c r="C21" s="235"/>
      <c r="D21" s="233" t="s">
        <v>390</v>
      </c>
      <c r="F21" s="43"/>
      <c r="G21" s="43"/>
      <c r="H21" s="43"/>
    </row>
    <row r="22" spans="1:8" ht="20" customHeight="1" thickBot="1">
      <c r="A22" s="234">
        <v>500</v>
      </c>
      <c r="B22" s="234" t="s">
        <v>404</v>
      </c>
      <c r="C22" s="235" t="s">
        <v>386</v>
      </c>
      <c r="D22" s="233" vm="145">
        <v>-41568394.840000004</v>
      </c>
      <c r="F22" s="43"/>
      <c r="G22" s="43"/>
      <c r="H22" s="43"/>
    </row>
    <row r="23" spans="1:8" ht="20" customHeight="1" thickBot="1">
      <c r="A23" s="234">
        <v>501</v>
      </c>
      <c r="B23" s="234" t="s">
        <v>405</v>
      </c>
      <c r="C23" s="235" t="s">
        <v>386</v>
      </c>
      <c r="D23" s="233" vm="146">
        <v>-13063.8</v>
      </c>
      <c r="F23" s="43"/>
      <c r="G23" s="43"/>
      <c r="H23" s="43"/>
    </row>
    <row r="24" spans="1:8" ht="20" customHeight="1" thickBot="1">
      <c r="A24" s="234">
        <v>510</v>
      </c>
      <c r="B24" s="234" t="s">
        <v>406</v>
      </c>
      <c r="C24" s="235" t="s">
        <v>386</v>
      </c>
      <c r="D24" s="233" vm="143">
        <v>13677209.779999997</v>
      </c>
      <c r="F24" s="43"/>
      <c r="G24" s="43"/>
      <c r="H24" s="43"/>
    </row>
    <row r="25" spans="1:8" ht="20" customHeight="1" thickBot="1">
      <c r="A25" s="234">
        <v>516</v>
      </c>
      <c r="B25" s="234" t="s">
        <v>407</v>
      </c>
      <c r="C25" s="235" t="s">
        <v>386</v>
      </c>
      <c r="D25" s="233" vm="144">
        <v>-2451118.7300000009</v>
      </c>
      <c r="F25" s="43"/>
      <c r="G25" s="43"/>
      <c r="H25" s="43"/>
    </row>
    <row r="26" spans="1:8" ht="20" customHeight="1" thickBot="1">
      <c r="A26" s="234">
        <v>517</v>
      </c>
      <c r="B26" s="234" t="s">
        <v>408</v>
      </c>
      <c r="C26" s="235" t="s">
        <v>386</v>
      </c>
      <c r="D26" s="233" vm="141">
        <v>-1817690.4999999998</v>
      </c>
      <c r="F26" s="43"/>
      <c r="G26" s="43"/>
      <c r="H26" s="43"/>
    </row>
    <row r="27" spans="1:8" ht="20" customHeight="1" thickBot="1">
      <c r="A27" s="234">
        <v>519</v>
      </c>
      <c r="B27" s="234" t="s">
        <v>409</v>
      </c>
      <c r="C27" s="235" t="s">
        <v>386</v>
      </c>
      <c r="D27" s="233" vm="142">
        <v>-1171432.3499999999</v>
      </c>
      <c r="F27" s="43"/>
      <c r="G27" s="43"/>
      <c r="H27" s="43"/>
    </row>
    <row r="28" spans="1:8" ht="20" customHeight="1" thickBot="1">
      <c r="A28" s="234"/>
      <c r="B28" s="234"/>
      <c r="C28" s="235"/>
      <c r="D28" s="233" t="s">
        <v>390</v>
      </c>
      <c r="F28" s="43"/>
      <c r="G28" s="43"/>
      <c r="H28" s="43"/>
    </row>
    <row r="29" spans="1:8" ht="20" customHeight="1" thickBot="1">
      <c r="A29" s="234">
        <v>5</v>
      </c>
      <c r="B29" s="234" t="s">
        <v>410</v>
      </c>
      <c r="C29" s="235"/>
      <c r="D29" s="233">
        <v>-33344490.440000005</v>
      </c>
      <c r="F29" s="43"/>
      <c r="G29" s="43"/>
      <c r="H29" s="43"/>
    </row>
    <row r="30" spans="1:8" ht="20" customHeight="1" thickBot="1">
      <c r="A30" s="234"/>
      <c r="B30" s="234"/>
      <c r="C30" s="235"/>
      <c r="D30" s="233" t="s">
        <v>390</v>
      </c>
      <c r="F30" s="43"/>
      <c r="G30" s="43"/>
      <c r="H30" s="43"/>
    </row>
    <row r="31" spans="1:8" ht="20" customHeight="1" thickBot="1">
      <c r="A31" s="234">
        <v>993</v>
      </c>
      <c r="B31" s="234" t="s">
        <v>411</v>
      </c>
      <c r="C31" s="235" t="s">
        <v>386</v>
      </c>
      <c r="D31" s="233">
        <v>-201547855.69999999</v>
      </c>
      <c r="F31" s="43"/>
      <c r="G31" s="43"/>
      <c r="H31" s="43"/>
    </row>
    <row r="32" spans="1:8" ht="20" customHeight="1" thickBot="1">
      <c r="A32" s="234"/>
      <c r="B32" s="234"/>
      <c r="C32" s="235"/>
      <c r="D32" s="233" t="s">
        <v>390</v>
      </c>
      <c r="F32" s="43"/>
      <c r="G32" s="43"/>
      <c r="H32" s="43"/>
    </row>
    <row r="33" spans="1:8" ht="20" customHeight="1" thickBot="1">
      <c r="A33" s="234">
        <v>994</v>
      </c>
      <c r="B33" s="234" t="s">
        <v>412</v>
      </c>
      <c r="C33" s="235"/>
      <c r="D33" s="233">
        <v>-749742.81999999285</v>
      </c>
      <c r="F33" s="43"/>
      <c r="G33" s="43"/>
      <c r="H33" s="43"/>
    </row>
    <row r="34" spans="1:8" ht="20" customHeight="1" thickBot="1">
      <c r="A34" s="234"/>
      <c r="B34" s="234"/>
      <c r="C34" s="235"/>
      <c r="D34" s="233" t="s">
        <v>390</v>
      </c>
      <c r="F34" s="43"/>
      <c r="G34" s="43"/>
      <c r="H34" s="43"/>
    </row>
    <row r="35" spans="1:8" ht="20" customHeight="1" thickBot="1">
      <c r="A35" s="234">
        <v>70</v>
      </c>
      <c r="B35" s="234" t="s">
        <v>413</v>
      </c>
      <c r="C35" s="235"/>
      <c r="D35" s="233" vm="140">
        <v>1800267.67</v>
      </c>
      <c r="F35" s="43"/>
      <c r="G35" s="43"/>
      <c r="H35" s="43"/>
    </row>
    <row r="36" spans="1:8" ht="20" customHeight="1" thickBot="1">
      <c r="A36" s="234">
        <v>71</v>
      </c>
      <c r="B36" s="234" t="s">
        <v>414</v>
      </c>
      <c r="C36" s="235" t="s">
        <v>386</v>
      </c>
      <c r="D36" s="233" vm="139">
        <v>-54827.81</v>
      </c>
      <c r="F36" s="43"/>
      <c r="G36" s="43"/>
      <c r="H36" s="43"/>
    </row>
    <row r="37" spans="1:8" ht="20" customHeight="1" thickBot="1">
      <c r="A37" s="234">
        <v>73</v>
      </c>
      <c r="B37" s="234" t="s">
        <v>415</v>
      </c>
      <c r="C37" s="235"/>
      <c r="D37" s="233" vm="139">
        <v>11214894.83</v>
      </c>
      <c r="F37" s="43"/>
      <c r="G37" s="43"/>
      <c r="H37" s="43"/>
    </row>
    <row r="38" spans="1:8" ht="20" customHeight="1" thickBot="1">
      <c r="A38" s="234">
        <v>810</v>
      </c>
      <c r="B38" s="234" t="s">
        <v>416</v>
      </c>
      <c r="C38" s="235"/>
      <c r="D38" s="233" vm="138">
        <v>148070.11999999997</v>
      </c>
      <c r="F38" s="43"/>
      <c r="G38" s="43"/>
      <c r="H38" s="43"/>
    </row>
    <row r="39" spans="1:8" ht="20" customHeight="1" thickBot="1">
      <c r="A39" s="234">
        <v>820</v>
      </c>
      <c r="B39" s="234" t="s">
        <v>417</v>
      </c>
      <c r="C39" s="235" t="s">
        <v>386</v>
      </c>
      <c r="D39" s="233" vm="138">
        <v>-113980.66</v>
      </c>
      <c r="F39" s="43"/>
      <c r="G39" s="43"/>
      <c r="H39" s="43"/>
    </row>
    <row r="40" spans="1:8" ht="20" customHeight="1" thickBot="1">
      <c r="A40" s="234">
        <v>9</v>
      </c>
      <c r="B40" s="234" t="s">
        <v>418</v>
      </c>
      <c r="C40" s="235"/>
      <c r="D40" s="233">
        <v>0</v>
      </c>
      <c r="F40" s="43"/>
      <c r="G40" s="43"/>
      <c r="H40" s="43"/>
    </row>
    <row r="41" spans="1:8" ht="20" customHeight="1" thickBot="1">
      <c r="A41" s="234"/>
      <c r="B41" s="234"/>
      <c r="C41" s="235"/>
      <c r="D41" s="233" t="s">
        <v>390</v>
      </c>
      <c r="F41" s="43"/>
      <c r="G41" s="43"/>
      <c r="H41" s="43"/>
    </row>
    <row r="42" spans="1:8" ht="20" customHeight="1" thickBot="1">
      <c r="A42" s="234">
        <v>995</v>
      </c>
      <c r="B42" s="234" t="s">
        <v>1867</v>
      </c>
      <c r="C42" s="235"/>
      <c r="D42" s="233">
        <v>12994424.149999999</v>
      </c>
      <c r="F42" s="43"/>
      <c r="G42" s="43"/>
      <c r="H42" s="43"/>
    </row>
    <row r="43" spans="1:8" ht="20" customHeight="1" thickBot="1">
      <c r="A43" s="234"/>
      <c r="B43" s="234"/>
      <c r="C43" s="235"/>
      <c r="D43" s="233" t="s">
        <v>390</v>
      </c>
      <c r="F43" s="43"/>
      <c r="G43" s="43"/>
      <c r="H43" s="43"/>
    </row>
    <row r="44" spans="1:8" ht="20" customHeight="1" thickBot="1">
      <c r="A44" s="242">
        <v>999</v>
      </c>
      <c r="B44" s="242" t="s">
        <v>419</v>
      </c>
      <c r="C44" s="243"/>
      <c r="D44" s="265">
        <v>12244681.330000006</v>
      </c>
      <c r="F44" s="43"/>
      <c r="G44" s="43"/>
      <c r="H44" s="43"/>
    </row>
    <row r="45" spans="1:8" ht="15.5" customHeight="1">
      <c r="A45" s="189" t="s">
        <v>346</v>
      </c>
    </row>
    <row r="47" spans="1:8">
      <c r="A47" s="3" t="s">
        <v>575</v>
      </c>
    </row>
    <row r="49" spans="1:4">
      <c r="A49" s="219" t="s">
        <v>576</v>
      </c>
    </row>
    <row r="50" spans="1:4">
      <c r="A50" s="3" t="s">
        <v>577</v>
      </c>
    </row>
    <row r="52" spans="1:4">
      <c r="A52" s="3" t="s">
        <v>302</v>
      </c>
    </row>
    <row r="58" spans="1:4">
      <c r="B58" s="259"/>
      <c r="C58" s="259"/>
      <c r="D58" s="43"/>
    </row>
    <row r="61" spans="1:4" ht="14">
      <c r="A61" s="260"/>
      <c r="B61" s="260"/>
      <c r="C61" s="261"/>
      <c r="D61" s="262"/>
    </row>
  </sheetData>
  <mergeCells count="1">
    <mergeCell ref="A2:B2"/>
  </mergeCells>
  <pageMargins left="0.6" right="0.63" top="0.78" bottom="0.49" header="0.42" footer="0.4921259845"/>
  <pageSetup paperSize="9" scale="75" orientation="portrait"/>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C117-32AA-864C-81B7-BCCBBCE1064B}">
  <sheetPr>
    <pageSetUpPr fitToPage="1"/>
  </sheetPr>
  <dimension ref="A1:H8"/>
  <sheetViews>
    <sheetView workbookViewId="0">
      <selection activeCell="H4" sqref="H4"/>
    </sheetView>
  </sheetViews>
  <sheetFormatPr baseColWidth="10" defaultColWidth="11.59765625" defaultRowHeight="13"/>
  <cols>
    <col min="1" max="1" width="5.59765625" style="393" customWidth="1"/>
    <col min="2" max="6" width="11.59765625" style="393"/>
    <col min="7" max="7" width="13.59765625" style="393" customWidth="1"/>
    <col min="8" max="16384" width="11.59765625" style="393"/>
  </cols>
  <sheetData>
    <row r="1" spans="1:8" ht="16">
      <c r="A1" s="392" t="s">
        <v>623</v>
      </c>
    </row>
    <row r="2" spans="1:8" ht="16">
      <c r="A2" s="394"/>
    </row>
    <row r="3" spans="1:8">
      <c r="A3" s="399">
        <v>7.01</v>
      </c>
      <c r="B3" s="395" t="s">
        <v>624</v>
      </c>
    </row>
    <row r="4" spans="1:8">
      <c r="A4" s="399">
        <v>7.02</v>
      </c>
      <c r="B4" s="395" t="s">
        <v>625</v>
      </c>
      <c r="H4" s="400"/>
    </row>
    <row r="5" spans="1:8">
      <c r="A5" s="399"/>
      <c r="B5" s="395" t="s">
        <v>626</v>
      </c>
    </row>
    <row r="8" spans="1:8">
      <c r="A8" s="396" t="s">
        <v>302</v>
      </c>
    </row>
  </sheetData>
  <pageMargins left="0.46" right="0.35" top="0.62" bottom="0.984251969" header="0.36" footer="0.4921259845"/>
  <pageSetup paperSize="9" orientation="portrait"/>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AE4AD-6D1A-EE43-B0AC-8473DFD82308}">
  <sheetPr>
    <pageSetUpPr fitToPage="1"/>
  </sheetPr>
  <dimension ref="A1:K38"/>
  <sheetViews>
    <sheetView zoomScaleNormal="100" workbookViewId="0"/>
  </sheetViews>
  <sheetFormatPr baseColWidth="10" defaultColWidth="11.3984375" defaultRowHeight="13"/>
  <cols>
    <col min="1" max="1" width="16.796875" style="3" customWidth="1"/>
    <col min="2" max="2" width="16.3984375" style="3" customWidth="1"/>
    <col min="3" max="3" width="15" style="245" customWidth="1"/>
    <col min="4" max="4" width="16.19921875" style="3" customWidth="1"/>
    <col min="5" max="5" width="15" style="245" customWidth="1"/>
    <col min="6" max="6" width="15" style="3" customWidth="1"/>
    <col min="7" max="7" width="15" style="245" customWidth="1"/>
    <col min="8" max="16384" width="11.3984375" style="3"/>
  </cols>
  <sheetData>
    <row r="1" spans="1:11" s="1" customFormat="1" ht="14" customHeight="1">
      <c r="C1" s="221"/>
      <c r="E1" s="221"/>
      <c r="G1" s="221"/>
    </row>
    <row r="2" spans="1:11" s="1" customFormat="1" ht="26.5" customHeight="1">
      <c r="A2" s="125" t="s">
        <v>612</v>
      </c>
      <c r="B2" s="263"/>
      <c r="C2" s="263"/>
      <c r="D2" s="263"/>
      <c r="E2" s="263"/>
      <c r="F2" s="263"/>
      <c r="G2" s="397"/>
    </row>
    <row r="3" spans="1:11" ht="24" customHeight="1">
      <c r="A3" s="224" t="s">
        <v>613</v>
      </c>
      <c r="B3" s="267" t="s">
        <v>595</v>
      </c>
      <c r="C3" s="305" t="s">
        <v>475</v>
      </c>
      <c r="D3" s="267" t="s">
        <v>596</v>
      </c>
      <c r="E3" s="305" t="s">
        <v>475</v>
      </c>
      <c r="F3" s="267" t="s">
        <v>597</v>
      </c>
      <c r="G3" s="305" t="s">
        <v>475</v>
      </c>
    </row>
    <row r="4" spans="1:11" ht="15" customHeight="1">
      <c r="A4" s="269"/>
      <c r="B4" s="270" t="s">
        <v>597</v>
      </c>
      <c r="C4" s="306" t="s">
        <v>476</v>
      </c>
      <c r="D4" s="270" t="s">
        <v>598</v>
      </c>
      <c r="E4" s="306" t="s">
        <v>476</v>
      </c>
      <c r="F4" s="270" t="s">
        <v>599</v>
      </c>
      <c r="G4" s="306" t="s">
        <v>476</v>
      </c>
    </row>
    <row r="5" spans="1:11" ht="15" customHeight="1">
      <c r="A5" s="269"/>
      <c r="B5" s="270" t="s">
        <v>600</v>
      </c>
      <c r="C5" s="306" t="s">
        <v>477</v>
      </c>
      <c r="D5" s="270" t="s">
        <v>601</v>
      </c>
      <c r="E5" s="306" t="s">
        <v>477</v>
      </c>
      <c r="F5" s="270" t="s">
        <v>602</v>
      </c>
      <c r="G5" s="306" t="s">
        <v>477</v>
      </c>
    </row>
    <row r="6" spans="1:11" ht="24" customHeight="1">
      <c r="A6" s="273"/>
      <c r="B6" s="274"/>
      <c r="C6" s="307"/>
      <c r="D6" s="274" t="s">
        <v>614</v>
      </c>
      <c r="E6" s="307"/>
      <c r="F6" s="274"/>
      <c r="G6" s="307"/>
    </row>
    <row r="7" spans="1:11" ht="1.5" customHeight="1" thickBot="1">
      <c r="A7" s="277">
        <v>1996</v>
      </c>
      <c r="B7" s="287">
        <v>4599022226.4899998</v>
      </c>
      <c r="C7" s="308">
        <v>4.7135061423122571E-2</v>
      </c>
      <c r="D7" s="287">
        <v>4507461189</v>
      </c>
      <c r="E7" s="308">
        <v>8.2125105302542703E-2</v>
      </c>
      <c r="F7" s="287">
        <v>91699445.469999999</v>
      </c>
      <c r="G7" s="308">
        <v>-0.59537068849307151</v>
      </c>
      <c r="I7" s="8"/>
      <c r="J7" s="8"/>
      <c r="K7" s="8"/>
    </row>
    <row r="8" spans="1:11" ht="0.75" hidden="1" customHeight="1" thickBot="1">
      <c r="A8" s="280">
        <v>1997</v>
      </c>
      <c r="B8" s="289">
        <v>4851626656</v>
      </c>
      <c r="C8" s="309">
        <v>5.4925681388321837E-2</v>
      </c>
      <c r="D8" s="289">
        <v>4710142665.8999996</v>
      </c>
      <c r="E8" s="309">
        <v>4.4965773059704457E-2</v>
      </c>
      <c r="F8" s="289">
        <v>141483990.28999999</v>
      </c>
      <c r="G8" s="309">
        <v>0.54290998778490207</v>
      </c>
    </row>
    <row r="9" spans="1:11" ht="19.5" hidden="1" customHeight="1" thickBot="1">
      <c r="A9" s="280">
        <v>1998</v>
      </c>
      <c r="B9" s="289">
        <v>4992640209.6999998</v>
      </c>
      <c r="C9" s="309">
        <v>2.9065211257673453E-2</v>
      </c>
      <c r="D9" s="289">
        <v>4882154897.6999998</v>
      </c>
      <c r="E9" s="309">
        <v>3.6519537517476157E-2</v>
      </c>
      <c r="F9" s="289">
        <v>110485312.03</v>
      </c>
      <c r="G9" s="309">
        <v>-0.2190967203883771</v>
      </c>
    </row>
    <row r="10" spans="1:11" ht="0.5" customHeight="1" thickBot="1">
      <c r="A10" s="280">
        <v>1999</v>
      </c>
      <c r="B10" s="289">
        <v>4257016347.5999999</v>
      </c>
      <c r="C10" s="309">
        <v>-0.14734165315393366</v>
      </c>
      <c r="D10" s="289">
        <v>4120691131.5999999</v>
      </c>
      <c r="E10" s="309">
        <v>-0.15596878469766051</v>
      </c>
      <c r="F10" s="289">
        <v>136325216.02000001</v>
      </c>
      <c r="G10" s="309">
        <v>0.23387637248092957</v>
      </c>
    </row>
    <row r="11" spans="1:11" ht="19.75" hidden="1" customHeight="1" thickBot="1">
      <c r="A11" s="280">
        <v>2000</v>
      </c>
      <c r="B11" s="289">
        <v>3297340718.6999998</v>
      </c>
      <c r="C11" s="309">
        <v>-0.22543386037054836</v>
      </c>
      <c r="D11" s="289">
        <v>3197872772.4000001</v>
      </c>
      <c r="E11" s="309">
        <v>-0.22394747136548521</v>
      </c>
      <c r="F11" s="289">
        <v>99467946.299999997</v>
      </c>
      <c r="G11" s="309">
        <v>-0.27036281911772475</v>
      </c>
    </row>
    <row r="12" spans="1:11" ht="19.5" hidden="1" customHeight="1" thickBot="1">
      <c r="A12" s="280">
        <v>2001</v>
      </c>
      <c r="B12" s="289">
        <v>2297775177.9000001</v>
      </c>
      <c r="C12" s="309">
        <v>-0.30314293428374783</v>
      </c>
      <c r="D12" s="289">
        <v>2245296158.4000001</v>
      </c>
      <c r="E12" s="309">
        <v>-0.29787820898362138</v>
      </c>
      <c r="F12" s="289">
        <v>52479019.649999999</v>
      </c>
      <c r="G12" s="309">
        <v>-0.4724027025578591</v>
      </c>
    </row>
    <row r="13" spans="1:11" ht="19.5" hidden="1" customHeight="1" thickBot="1">
      <c r="A13" s="280">
        <v>2002</v>
      </c>
      <c r="B13" s="289">
        <v>2179075331.1500001</v>
      </c>
      <c r="C13" s="309">
        <v>-5.1658599105628311E-2</v>
      </c>
      <c r="D13" s="289">
        <v>2190020061.2499995</v>
      </c>
      <c r="E13" s="309">
        <v>-2.4618621887898429E-2</v>
      </c>
      <c r="F13" s="289">
        <v>-10944730.16</v>
      </c>
      <c r="G13" s="309">
        <v>-1.2085543943654824</v>
      </c>
    </row>
    <row r="14" spans="1:11" ht="19.5" customHeight="1" thickBot="1">
      <c r="A14" s="280">
        <v>2003</v>
      </c>
      <c r="B14" s="289">
        <v>2288718484.4899998</v>
      </c>
      <c r="C14" s="309">
        <v>5.0316366659125977E-2</v>
      </c>
      <c r="D14" s="289">
        <v>2230195619.6600003</v>
      </c>
      <c r="E14" s="309">
        <v>1.8344835794366965E-2</v>
      </c>
      <c r="F14" s="289">
        <v>58522864.830000006</v>
      </c>
      <c r="G14" s="309">
        <v>6.3471272452093057</v>
      </c>
    </row>
    <row r="15" spans="1:11" ht="19.5" customHeight="1" thickBot="1">
      <c r="A15" s="280">
        <v>2004</v>
      </c>
      <c r="B15" s="289">
        <v>1913538530.5999999</v>
      </c>
      <c r="C15" s="309">
        <v>-0.16392577611990666</v>
      </c>
      <c r="D15" s="289">
        <v>1875065073.2299998</v>
      </c>
      <c r="E15" s="309">
        <v>-0.15923739751768551</v>
      </c>
      <c r="F15" s="289">
        <v>38473457.389999993</v>
      </c>
      <c r="G15" s="309">
        <v>-0.34259101119264213</v>
      </c>
    </row>
    <row r="16" spans="1:11" ht="19.5" customHeight="1" thickBot="1">
      <c r="A16" s="280">
        <v>2005</v>
      </c>
      <c r="B16" s="289">
        <v>2014328063.2799997</v>
      </c>
      <c r="C16" s="309">
        <v>5.2671807266089665E-2</v>
      </c>
      <c r="D16" s="289">
        <v>1987939073.0000002</v>
      </c>
      <c r="E16" s="309">
        <v>6.0197377350516668E-2</v>
      </c>
      <c r="F16" s="289">
        <v>26388990.279999997</v>
      </c>
      <c r="G16" s="309">
        <v>-0.31409880810818386</v>
      </c>
    </row>
    <row r="17" spans="1:7" ht="19.5" customHeight="1" thickBot="1">
      <c r="A17" s="280">
        <v>2006</v>
      </c>
      <c r="B17" s="289">
        <v>2046344832.71</v>
      </c>
      <c r="C17" s="309">
        <v>1.5894515900188644E-2</v>
      </c>
      <c r="D17" s="289">
        <v>2023719014.0099998</v>
      </c>
      <c r="E17" s="309">
        <v>1.7998509861775647E-2</v>
      </c>
      <c r="F17" s="289">
        <v>22625818.670000002</v>
      </c>
      <c r="G17" s="309">
        <v>-0.14260384994162029</v>
      </c>
    </row>
    <row r="18" spans="1:7" ht="19.5" customHeight="1" thickBot="1">
      <c r="A18" s="280">
        <v>2007</v>
      </c>
      <c r="B18" s="289">
        <v>1992425089.54</v>
      </c>
      <c r="C18" s="309">
        <v>-2.6349294756247699E-2</v>
      </c>
      <c r="D18" s="289">
        <v>1981658420.0599999</v>
      </c>
      <c r="E18" s="309">
        <v>-2.0783811220242865E-2</v>
      </c>
      <c r="F18" s="289">
        <v>10766669.48</v>
      </c>
      <c r="G18" s="309">
        <v>-0.5241423244377128</v>
      </c>
    </row>
    <row r="19" spans="1:7" ht="19.5" customHeight="1" thickBot="1">
      <c r="A19" s="280">
        <v>2008</v>
      </c>
      <c r="B19" s="289">
        <v>2066551567.6799998</v>
      </c>
      <c r="C19" s="309">
        <v>3.7204148115357105E-2</v>
      </c>
      <c r="D19" s="289">
        <v>2052929240.27</v>
      </c>
      <c r="E19" s="309">
        <v>3.596523976510646E-2</v>
      </c>
      <c r="F19" s="289">
        <v>13622327.400000002</v>
      </c>
      <c r="G19" s="309">
        <v>0.26523131645348896</v>
      </c>
    </row>
    <row r="20" spans="1:7" ht="19.5" customHeight="1" thickBot="1">
      <c r="A20" s="280">
        <v>2009</v>
      </c>
      <c r="B20" s="289">
        <v>2135418664.95</v>
      </c>
      <c r="C20" s="309">
        <v>3.332464495299936E-2</v>
      </c>
      <c r="D20" s="289">
        <v>2108516747.25</v>
      </c>
      <c r="E20" s="309">
        <v>2.7077166562589072E-2</v>
      </c>
      <c r="F20" s="289">
        <v>26901917.710000001</v>
      </c>
      <c r="G20" s="309">
        <v>0.97484004899192167</v>
      </c>
    </row>
    <row r="21" spans="1:7" ht="19.5" customHeight="1" thickBot="1">
      <c r="A21" s="280">
        <v>2010</v>
      </c>
      <c r="B21" s="289">
        <v>2230865076.8600001</v>
      </c>
      <c r="C21" s="309">
        <v>4.4696814482622749E-2</v>
      </c>
      <c r="D21" s="289">
        <v>2166575635.6500001</v>
      </c>
      <c r="E21" s="309">
        <v>2.7535417243293114E-2</v>
      </c>
      <c r="F21" s="289">
        <v>64289441.209999993</v>
      </c>
      <c r="G21" s="309">
        <v>1.3897716847933959</v>
      </c>
    </row>
    <row r="22" spans="1:7" ht="19.5" customHeight="1" thickBot="1">
      <c r="A22" s="280">
        <v>2011</v>
      </c>
      <c r="B22" s="289">
        <v>1845873727.6299999</v>
      </c>
      <c r="C22" s="309">
        <v>-0.1725749141996008</v>
      </c>
      <c r="D22" s="289">
        <v>1837525848.5099998</v>
      </c>
      <c r="E22" s="309">
        <v>-0.15187551347187622</v>
      </c>
      <c r="F22" s="289">
        <v>8347879.1100000013</v>
      </c>
      <c r="G22" s="309">
        <v>-0.87015163061175405</v>
      </c>
    </row>
    <row r="23" spans="1:7" ht="19.5" customHeight="1" thickBot="1">
      <c r="A23" s="280">
        <v>2012</v>
      </c>
      <c r="B23" s="289">
        <v>2138839381.3400002</v>
      </c>
      <c r="C23" s="309">
        <v>0.15871381087705938</v>
      </c>
      <c r="D23" s="289">
        <v>2022529736.4000003</v>
      </c>
      <c r="E23" s="309">
        <v>0.10068097166633883</v>
      </c>
      <c r="F23" s="289">
        <v>116309644.93999973</v>
      </c>
      <c r="G23" s="309">
        <v>12.932837719304217</v>
      </c>
    </row>
    <row r="24" spans="1:7" ht="30" customHeight="1" thickBot="1">
      <c r="A24" s="391">
        <v>2013</v>
      </c>
      <c r="B24" s="363">
        <v>1651040731.3799999</v>
      </c>
      <c r="C24" s="310">
        <v>-0.22806698540139581</v>
      </c>
      <c r="D24" s="363">
        <v>1642296055.3999996</v>
      </c>
      <c r="E24" s="310">
        <v>-0.18799905591341137</v>
      </c>
      <c r="F24" s="363">
        <v>8744675.9800001569</v>
      </c>
      <c r="G24" s="310">
        <v>-0.9248155560571848</v>
      </c>
    </row>
    <row r="25" spans="1:7" ht="20" customHeight="1">
      <c r="A25" s="189" t="s">
        <v>346</v>
      </c>
      <c r="B25" s="189"/>
      <c r="C25" s="301"/>
      <c r="D25" s="189"/>
      <c r="E25" s="301"/>
      <c r="F25" s="189"/>
      <c r="G25" s="301"/>
    </row>
    <row r="26" spans="1:7" ht="9.75" customHeight="1">
      <c r="A26" s="219"/>
      <c r="B26" s="219"/>
      <c r="C26" s="218"/>
      <c r="D26" s="219"/>
      <c r="E26" s="218"/>
      <c r="F26" s="219"/>
      <c r="G26" s="218"/>
    </row>
    <row r="27" spans="1:7">
      <c r="A27" s="219" t="s">
        <v>615</v>
      </c>
    </row>
    <row r="28" spans="1:7">
      <c r="A28" s="3" t="s">
        <v>616</v>
      </c>
    </row>
    <row r="29" spans="1:7">
      <c r="A29" s="17" t="s">
        <v>617</v>
      </c>
    </row>
    <row r="30" spans="1:7">
      <c r="A30" s="398" t="s">
        <v>618</v>
      </c>
    </row>
    <row r="31" spans="1:7">
      <c r="A31" s="3" t="s">
        <v>619</v>
      </c>
    </row>
    <row r="32" spans="1:7">
      <c r="A32" s="3" t="s">
        <v>620</v>
      </c>
    </row>
    <row r="33" spans="1:7">
      <c r="A33" s="3" t="s">
        <v>621</v>
      </c>
    </row>
    <row r="35" spans="1:7" ht="15.75" customHeight="1">
      <c r="A35" s="219" t="s">
        <v>622</v>
      </c>
      <c r="B35" s="219"/>
      <c r="C35" s="218"/>
      <c r="D35" s="219"/>
      <c r="E35" s="218"/>
      <c r="F35" s="219"/>
      <c r="G35" s="218"/>
    </row>
    <row r="38" spans="1:7">
      <c r="A38" s="3" t="s">
        <v>302</v>
      </c>
    </row>
  </sheetData>
  <hyperlinks>
    <hyperlink ref="A30" r:id="rId1" xr:uid="{62450444-5D86-2A44-B7FE-423144A55AC2}"/>
  </hyperlinks>
  <pageMargins left="0.55118110236220474" right="0.59055118110236227" top="0.9055118110236221" bottom="0.47244094488188981" header="0.47244094488188981" footer="0.51181102362204722"/>
  <pageSetup paperSize="9" scale="84" orientation="portrait" horizontalDpi="1200" verticalDpi="1200"/>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3F084-6211-224B-A8C4-9088F1714A2C}">
  <sheetPr>
    <pageSetUpPr fitToPage="1"/>
  </sheetPr>
  <dimension ref="A1:H72"/>
  <sheetViews>
    <sheetView zoomScaleNormal="100" workbookViewId="0"/>
  </sheetViews>
  <sheetFormatPr baseColWidth="10" defaultColWidth="11.3984375" defaultRowHeight="13"/>
  <cols>
    <col min="1" max="1" width="19.59765625" style="3" customWidth="1"/>
    <col min="2" max="2" width="70.59765625" style="245" customWidth="1"/>
    <col min="3" max="3" width="7.59765625" style="245" customWidth="1"/>
    <col min="4" max="4" width="20.19921875" style="246" customWidth="1"/>
    <col min="5" max="16384" width="11.3984375" style="3"/>
  </cols>
  <sheetData>
    <row r="1" spans="1:8" s="1" customFormat="1" ht="14" customHeight="1">
      <c r="B1" s="221"/>
      <c r="C1" s="221"/>
      <c r="D1" s="222"/>
    </row>
    <row r="2" spans="1:8" s="1" customFormat="1" ht="37.75" customHeight="1">
      <c r="A2" s="2010" t="s">
        <v>584</v>
      </c>
      <c r="B2" s="2011"/>
      <c r="C2" s="360"/>
      <c r="D2" s="223">
        <v>2013</v>
      </c>
      <c r="F2" s="386"/>
    </row>
    <row r="3" spans="1:8" ht="39" customHeight="1">
      <c r="A3" s="224" t="s">
        <v>380</v>
      </c>
      <c r="B3" s="224"/>
      <c r="C3" s="225"/>
      <c r="D3" s="226" t="s">
        <v>381</v>
      </c>
    </row>
    <row r="4" spans="1:8" ht="38" customHeight="1">
      <c r="A4" s="227"/>
      <c r="B4" s="228"/>
      <c r="C4" s="229"/>
      <c r="D4" s="230" t="s">
        <v>382</v>
      </c>
    </row>
    <row r="5" spans="1:8" ht="20" customHeight="1" thickBot="1">
      <c r="A5" s="231">
        <v>3020</v>
      </c>
      <c r="B5" s="231" t="s">
        <v>427</v>
      </c>
      <c r="C5" s="232"/>
      <c r="D5" s="233" vm="192">
        <v>1589073146.1999998</v>
      </c>
      <c r="F5" s="43"/>
      <c r="G5" s="43"/>
      <c r="H5" s="43"/>
    </row>
    <row r="6" spans="1:8" ht="20" customHeight="1" thickBot="1">
      <c r="A6" s="234">
        <v>335</v>
      </c>
      <c r="B6" s="234" t="s">
        <v>385</v>
      </c>
      <c r="C6" s="235" t="s">
        <v>386</v>
      </c>
      <c r="D6" s="233" vm="192">
        <v>-5899910.4499999993</v>
      </c>
      <c r="F6" s="43"/>
      <c r="G6" s="43"/>
      <c r="H6" s="43"/>
    </row>
    <row r="7" spans="1:8" ht="20" customHeight="1" thickBot="1">
      <c r="A7" s="234">
        <v>3502</v>
      </c>
      <c r="B7" s="234" t="s">
        <v>387</v>
      </c>
      <c r="C7" s="235" t="s">
        <v>386</v>
      </c>
      <c r="D7" s="233" vm="191">
        <v>-2769733.92</v>
      </c>
      <c r="F7" s="43"/>
      <c r="G7" s="43"/>
      <c r="H7" s="43"/>
    </row>
    <row r="8" spans="1:8" ht="20" customHeight="1" thickBot="1">
      <c r="A8" s="234">
        <v>36</v>
      </c>
      <c r="B8" s="234" t="s">
        <v>388</v>
      </c>
      <c r="C8" s="235"/>
      <c r="D8" s="233" vm="191">
        <v>46247216.399999999</v>
      </c>
      <c r="F8" s="43"/>
      <c r="G8" s="43"/>
      <c r="H8" s="43"/>
    </row>
    <row r="9" spans="1:8" ht="20" customHeight="1" thickBot="1">
      <c r="A9" s="234">
        <v>37</v>
      </c>
      <c r="B9" s="234" t="s">
        <v>389</v>
      </c>
      <c r="C9" s="235" t="s">
        <v>386</v>
      </c>
      <c r="D9" s="233">
        <v>0</v>
      </c>
      <c r="F9" s="43"/>
      <c r="G9" s="43"/>
      <c r="H9" s="43"/>
    </row>
    <row r="10" spans="1:8" ht="20" customHeight="1" thickBot="1">
      <c r="A10" s="234"/>
      <c r="B10" s="234"/>
      <c r="C10" s="235"/>
      <c r="D10" s="233" t="s">
        <v>390</v>
      </c>
      <c r="F10" s="43"/>
      <c r="G10" s="43"/>
      <c r="H10" s="43"/>
    </row>
    <row r="11" spans="1:8" ht="20" customHeight="1" thickBot="1">
      <c r="A11" s="234">
        <v>3</v>
      </c>
      <c r="B11" s="234" t="s">
        <v>391</v>
      </c>
      <c r="C11" s="235"/>
      <c r="D11" s="233">
        <v>1626650718.2299998</v>
      </c>
      <c r="F11" s="43"/>
      <c r="G11" s="43"/>
      <c r="H11" s="43"/>
    </row>
    <row r="12" spans="1:8" ht="20" customHeight="1" thickBot="1">
      <c r="A12" s="234"/>
      <c r="B12" s="234"/>
      <c r="C12" s="235"/>
      <c r="D12" s="233" t="s">
        <v>390</v>
      </c>
      <c r="F12" s="43"/>
      <c r="G12" s="43"/>
      <c r="H12" s="43"/>
    </row>
    <row r="13" spans="1:8" ht="20" customHeight="1" thickBot="1">
      <c r="A13" s="234">
        <v>4020</v>
      </c>
      <c r="B13" s="234" t="s">
        <v>428</v>
      </c>
      <c r="C13" s="235" t="s">
        <v>386</v>
      </c>
      <c r="D13" s="233" vm="190">
        <v>-1334009172.7699997</v>
      </c>
      <c r="F13" s="43"/>
      <c r="G13" s="43"/>
      <c r="H13" s="43"/>
    </row>
    <row r="14" spans="1:8" ht="20" customHeight="1" thickBot="1">
      <c r="A14" s="236">
        <v>4207</v>
      </c>
      <c r="B14" s="234" t="s">
        <v>429</v>
      </c>
      <c r="C14" s="235"/>
      <c r="D14" s="233" vm="189">
        <v>47233171.150000006</v>
      </c>
      <c r="F14" s="43"/>
      <c r="G14" s="43"/>
      <c r="H14" s="43"/>
    </row>
    <row r="15" spans="1:8" ht="20" customHeight="1" thickBot="1">
      <c r="A15" s="234">
        <v>4217</v>
      </c>
      <c r="B15" s="234" t="s">
        <v>430</v>
      </c>
      <c r="C15" s="235" t="s">
        <v>386</v>
      </c>
      <c r="D15" s="233" vm="188">
        <v>-318710.24</v>
      </c>
      <c r="F15" s="43"/>
      <c r="G15" s="43"/>
      <c r="H15" s="43"/>
    </row>
    <row r="16" spans="1:8" ht="20" customHeight="1" thickBot="1">
      <c r="A16" s="234">
        <v>4302</v>
      </c>
      <c r="B16" s="234" t="s">
        <v>396</v>
      </c>
      <c r="C16" s="235" t="s">
        <v>386</v>
      </c>
      <c r="D16" s="233" vm="187">
        <v>-12649980.949999999</v>
      </c>
      <c r="F16" s="43"/>
      <c r="G16" s="43"/>
      <c r="H16" s="237"/>
    </row>
    <row r="17" spans="1:8" ht="20" customHeight="1" thickBot="1">
      <c r="A17" s="234">
        <v>4312</v>
      </c>
      <c r="B17" s="234" t="s">
        <v>397</v>
      </c>
      <c r="C17" s="235" t="s">
        <v>386</v>
      </c>
      <c r="D17" s="233" vm="186">
        <v>-2264015.4700000002</v>
      </c>
      <c r="F17" s="43"/>
      <c r="G17" s="43"/>
      <c r="H17" s="43"/>
    </row>
    <row r="18" spans="1:8" ht="20" customHeight="1" thickBot="1">
      <c r="A18" s="234">
        <v>4323</v>
      </c>
      <c r="B18" s="234" t="s">
        <v>398</v>
      </c>
      <c r="C18" s="235" t="s">
        <v>386</v>
      </c>
      <c r="D18" s="233" vm="185">
        <v>-7487717.6600000001</v>
      </c>
      <c r="F18" s="43"/>
      <c r="G18" s="43"/>
      <c r="H18" s="238"/>
    </row>
    <row r="19" spans="1:8" ht="20" customHeight="1" thickBot="1">
      <c r="A19" s="234">
        <v>453</v>
      </c>
      <c r="B19" s="234" t="s">
        <v>399</v>
      </c>
      <c r="C19" s="235"/>
      <c r="D19" s="233" vm="184">
        <v>-54365922.25</v>
      </c>
      <c r="F19" s="43"/>
      <c r="G19" s="43"/>
      <c r="H19" s="43"/>
    </row>
    <row r="20" spans="1:8" ht="20" customHeight="1" thickBot="1">
      <c r="A20" s="234">
        <v>46</v>
      </c>
      <c r="B20" s="234" t="s">
        <v>585</v>
      </c>
      <c r="C20" s="235"/>
      <c r="D20" s="233" vm="183">
        <v>-49174022.599999994</v>
      </c>
      <c r="F20" s="43"/>
      <c r="G20" s="43"/>
      <c r="H20" s="43"/>
    </row>
    <row r="21" spans="1:8" ht="20" customHeight="1" thickBot="1">
      <c r="A21" s="234">
        <v>4402</v>
      </c>
      <c r="B21" s="234" t="s">
        <v>400</v>
      </c>
      <c r="C21" s="235"/>
      <c r="D21" s="233" vm="182">
        <v>702000.64999999991</v>
      </c>
      <c r="F21" s="43"/>
      <c r="G21" s="43"/>
      <c r="H21" s="43"/>
    </row>
    <row r="22" spans="1:8" ht="20" customHeight="1" thickBot="1">
      <c r="A22" s="234">
        <v>48</v>
      </c>
      <c r="B22" s="234" t="s">
        <v>586</v>
      </c>
      <c r="C22" s="235"/>
      <c r="D22" s="233" vm="181">
        <v>-957727</v>
      </c>
      <c r="F22" s="43"/>
      <c r="G22" s="43"/>
      <c r="H22" s="43"/>
    </row>
    <row r="23" spans="1:8" ht="20" customHeight="1" thickBot="1">
      <c r="A23" s="234">
        <v>49</v>
      </c>
      <c r="B23" s="234" t="s">
        <v>587</v>
      </c>
      <c r="C23" s="235"/>
      <c r="D23" s="233" vm="180">
        <v>-38364424.090000004</v>
      </c>
      <c r="F23" s="43"/>
      <c r="G23" s="43"/>
      <c r="H23" s="43"/>
    </row>
    <row r="24" spans="1:8" ht="20" customHeight="1" thickBot="1">
      <c r="A24" s="234"/>
      <c r="B24" s="234"/>
      <c r="C24" s="235"/>
      <c r="D24" s="233" t="s">
        <v>390</v>
      </c>
      <c r="F24" s="43"/>
      <c r="G24" s="43"/>
      <c r="H24" s="43"/>
    </row>
    <row r="25" spans="1:8" ht="20" customHeight="1" thickBot="1">
      <c r="A25" s="234">
        <v>4</v>
      </c>
      <c r="B25" s="234" t="s">
        <v>402</v>
      </c>
      <c r="C25" s="235"/>
      <c r="D25" s="233">
        <v>-1451656521.2299995</v>
      </c>
      <c r="F25" s="43"/>
      <c r="G25" s="43"/>
      <c r="H25" s="43"/>
    </row>
    <row r="26" spans="1:8" ht="20" customHeight="1" thickBot="1">
      <c r="A26" s="234"/>
      <c r="B26" s="234"/>
      <c r="C26" s="235"/>
      <c r="D26" s="233" t="s">
        <v>390</v>
      </c>
      <c r="F26" s="43"/>
      <c r="G26" s="43"/>
      <c r="H26" s="43"/>
    </row>
    <row r="27" spans="1:8" ht="20" customHeight="1" thickBot="1">
      <c r="A27" s="234">
        <v>992</v>
      </c>
      <c r="B27" s="234" t="s">
        <v>403</v>
      </c>
      <c r="C27" s="235"/>
      <c r="D27" s="233">
        <v>174994197.00000024</v>
      </c>
      <c r="F27" s="43"/>
      <c r="G27" s="43"/>
      <c r="H27" s="43"/>
    </row>
    <row r="28" spans="1:8" ht="20" customHeight="1" thickBot="1">
      <c r="A28" s="234"/>
      <c r="B28" s="234"/>
      <c r="C28" s="235"/>
      <c r="D28" s="233" t="s">
        <v>390</v>
      </c>
      <c r="F28" s="43"/>
      <c r="G28" s="43"/>
      <c r="H28" s="43"/>
    </row>
    <row r="29" spans="1:8" ht="20" customHeight="1" thickBot="1">
      <c r="A29" s="234">
        <v>500</v>
      </c>
      <c r="B29" s="234" t="s">
        <v>404</v>
      </c>
      <c r="C29" s="235" t="s">
        <v>386</v>
      </c>
      <c r="D29" s="233" vm="179">
        <v>-101296879.48</v>
      </c>
      <c r="F29" s="43"/>
      <c r="G29" s="43"/>
      <c r="H29" s="43"/>
    </row>
    <row r="30" spans="1:8" ht="20" customHeight="1" thickBot="1">
      <c r="A30" s="234">
        <v>501</v>
      </c>
      <c r="B30" s="234" t="s">
        <v>405</v>
      </c>
      <c r="C30" s="235" t="s">
        <v>386</v>
      </c>
      <c r="D30" s="233" vm="179">
        <v>-35502450.390000001</v>
      </c>
      <c r="F30" s="43"/>
      <c r="G30" s="43"/>
      <c r="H30" s="43"/>
    </row>
    <row r="31" spans="1:8" ht="20" customHeight="1" thickBot="1">
      <c r="A31" s="234">
        <v>510</v>
      </c>
      <c r="B31" s="234" t="s">
        <v>406</v>
      </c>
      <c r="C31" s="235" t="s">
        <v>386</v>
      </c>
      <c r="D31" s="233" vm="178">
        <v>-38018265.899999999</v>
      </c>
      <c r="F31" s="43"/>
      <c r="G31" s="43"/>
      <c r="H31" s="43"/>
    </row>
    <row r="32" spans="1:8" ht="20" customHeight="1" thickBot="1">
      <c r="A32" s="234">
        <v>516</v>
      </c>
      <c r="B32" s="234" t="s">
        <v>407</v>
      </c>
      <c r="C32" s="235" t="s">
        <v>386</v>
      </c>
      <c r="D32" s="233" vm="178">
        <v>-8389611.2000000011</v>
      </c>
      <c r="F32" s="43"/>
      <c r="G32" s="43"/>
      <c r="H32" s="43"/>
    </row>
    <row r="33" spans="1:8" ht="20" customHeight="1" thickBot="1">
      <c r="A33" s="234">
        <v>517</v>
      </c>
      <c r="B33" s="234" t="s">
        <v>408</v>
      </c>
      <c r="C33" s="235" t="s">
        <v>386</v>
      </c>
      <c r="D33" s="233" vm="177">
        <v>-5640757.1500000004</v>
      </c>
      <c r="F33" s="43"/>
      <c r="G33" s="43"/>
      <c r="H33" s="43"/>
    </row>
    <row r="34" spans="1:8" ht="20" customHeight="1" thickBot="1">
      <c r="A34" s="234">
        <v>519</v>
      </c>
      <c r="B34" s="234" t="s">
        <v>409</v>
      </c>
      <c r="C34" s="235" t="s">
        <v>386</v>
      </c>
      <c r="D34" s="233" vm="176">
        <v>-1791570.05</v>
      </c>
      <c r="F34" s="43"/>
      <c r="G34" s="43"/>
      <c r="H34" s="43"/>
    </row>
    <row r="35" spans="1:8" ht="20" customHeight="1" thickBot="1">
      <c r="A35" s="234"/>
      <c r="B35" s="234"/>
      <c r="C35" s="235"/>
      <c r="D35" s="233" t="s">
        <v>390</v>
      </c>
      <c r="F35" s="43"/>
      <c r="G35" s="43"/>
      <c r="H35" s="43"/>
    </row>
    <row r="36" spans="1:8" ht="20" customHeight="1" thickBot="1">
      <c r="A36" s="234">
        <v>5</v>
      </c>
      <c r="B36" s="234" t="s">
        <v>410</v>
      </c>
      <c r="C36" s="235"/>
      <c r="D36" s="233">
        <v>-190639534.17000002</v>
      </c>
      <c r="F36" s="43"/>
      <c r="G36" s="43"/>
      <c r="H36" s="43"/>
    </row>
    <row r="37" spans="1:8" ht="20" customHeight="1" thickBot="1">
      <c r="A37" s="234"/>
      <c r="B37" s="234"/>
      <c r="C37" s="235"/>
      <c r="D37" s="233" t="s">
        <v>390</v>
      </c>
      <c r="F37" s="43"/>
      <c r="G37" s="43"/>
      <c r="H37" s="43"/>
    </row>
    <row r="38" spans="1:8" ht="20" customHeight="1" thickBot="1">
      <c r="A38" s="234">
        <v>993</v>
      </c>
      <c r="B38" s="234" t="s">
        <v>411</v>
      </c>
      <c r="C38" s="235" t="s">
        <v>386</v>
      </c>
      <c r="D38" s="233">
        <v>-1642296055.3999996</v>
      </c>
      <c r="F38" s="43"/>
      <c r="G38" s="43"/>
      <c r="H38" s="43"/>
    </row>
    <row r="39" spans="1:8" ht="20" customHeight="1" thickBot="1">
      <c r="A39" s="234"/>
      <c r="B39" s="234"/>
      <c r="C39" s="235"/>
      <c r="D39" s="233" t="s">
        <v>390</v>
      </c>
      <c r="F39" s="43"/>
      <c r="G39" s="43"/>
      <c r="H39" s="43"/>
    </row>
    <row r="40" spans="1:8" ht="20" customHeight="1" thickBot="1">
      <c r="A40" s="234">
        <v>994</v>
      </c>
      <c r="B40" s="234" t="s">
        <v>412</v>
      </c>
      <c r="C40" s="235"/>
      <c r="D40" s="233">
        <v>-15645337.169999838</v>
      </c>
      <c r="F40" s="43"/>
      <c r="G40" s="43"/>
      <c r="H40" s="43"/>
    </row>
    <row r="41" spans="1:8" ht="20" customHeight="1" thickBot="1">
      <c r="A41" s="234"/>
      <c r="B41" s="234"/>
      <c r="C41" s="235"/>
      <c r="D41" s="233" t="s">
        <v>390</v>
      </c>
      <c r="F41" s="43"/>
      <c r="G41" s="43"/>
      <c r="H41" s="43"/>
    </row>
    <row r="42" spans="1:8" ht="20" customHeight="1" thickBot="1">
      <c r="A42" s="234">
        <v>70</v>
      </c>
      <c r="B42" s="234" t="s">
        <v>413</v>
      </c>
      <c r="C42" s="235"/>
      <c r="D42" s="233" vm="175">
        <v>944266.17999999993</v>
      </c>
      <c r="F42" s="43"/>
      <c r="G42" s="43"/>
      <c r="H42" s="43"/>
    </row>
    <row r="43" spans="1:8" ht="20" customHeight="1" thickBot="1">
      <c r="A43" s="234">
        <v>71</v>
      </c>
      <c r="B43" s="234" t="s">
        <v>414</v>
      </c>
      <c r="C43" s="235" t="s">
        <v>386</v>
      </c>
      <c r="D43" s="233" vm="175">
        <v>-183080.27000000002</v>
      </c>
      <c r="F43" s="43"/>
      <c r="G43" s="43"/>
      <c r="H43" s="43"/>
    </row>
    <row r="44" spans="1:8" ht="20" customHeight="1" thickBot="1">
      <c r="A44" s="234">
        <v>73</v>
      </c>
      <c r="B44" s="234" t="s">
        <v>415</v>
      </c>
      <c r="C44" s="235"/>
      <c r="D44" s="233" vm="174">
        <v>28825186.719999995</v>
      </c>
      <c r="F44" s="43"/>
      <c r="G44" s="43"/>
      <c r="H44" s="43"/>
    </row>
    <row r="45" spans="1:8" ht="20" customHeight="1" thickBot="1">
      <c r="A45" s="234">
        <v>810</v>
      </c>
      <c r="B45" s="234" t="s">
        <v>416</v>
      </c>
      <c r="C45" s="235"/>
      <c r="D45" s="233" vm="174">
        <v>50867.46</v>
      </c>
      <c r="F45" s="43"/>
      <c r="G45" s="43"/>
      <c r="H45" s="43"/>
    </row>
    <row r="46" spans="1:8" ht="20" customHeight="1" thickBot="1">
      <c r="A46" s="234">
        <v>820</v>
      </c>
      <c r="B46" s="234" t="s">
        <v>417</v>
      </c>
      <c r="C46" s="235" t="s">
        <v>386</v>
      </c>
      <c r="D46" s="233" vm="173">
        <v>-70356.659999999989</v>
      </c>
      <c r="F46" s="43"/>
      <c r="G46" s="43"/>
      <c r="H46" s="43"/>
    </row>
    <row r="47" spans="1:8" ht="20" customHeight="1" thickBot="1">
      <c r="A47" s="234">
        <v>9</v>
      </c>
      <c r="B47" s="234" t="s">
        <v>418</v>
      </c>
      <c r="C47" s="235"/>
      <c r="D47" s="233" vm="173">
        <v>-5176870.28</v>
      </c>
      <c r="F47" s="43"/>
      <c r="G47" s="43"/>
      <c r="H47" s="43"/>
    </row>
    <row r="48" spans="1:8" ht="20" customHeight="1" thickBot="1">
      <c r="A48" s="234"/>
      <c r="B48" s="234"/>
      <c r="C48" s="235"/>
      <c r="D48" s="233" t="s">
        <v>390</v>
      </c>
      <c r="F48" s="43"/>
      <c r="G48" s="43"/>
      <c r="H48" s="43"/>
    </row>
    <row r="49" spans="1:8" ht="20" customHeight="1" thickBot="1">
      <c r="A49" s="234">
        <v>995</v>
      </c>
      <c r="B49" s="234" t="s">
        <v>1867</v>
      </c>
      <c r="C49" s="235"/>
      <c r="D49" s="233">
        <v>24390013.149999995</v>
      </c>
      <c r="F49" s="43"/>
      <c r="G49" s="43"/>
      <c r="H49" s="43"/>
    </row>
    <row r="50" spans="1:8" ht="20" customHeight="1" thickBot="1">
      <c r="A50" s="234"/>
      <c r="B50" s="234"/>
      <c r="C50" s="235"/>
      <c r="D50" s="233" t="s">
        <v>390</v>
      </c>
      <c r="F50" s="43"/>
      <c r="G50" s="43"/>
      <c r="H50" s="43"/>
    </row>
    <row r="51" spans="1:8" ht="21.5" customHeight="1" thickBot="1">
      <c r="A51" s="242">
        <v>999</v>
      </c>
      <c r="B51" s="242" t="s">
        <v>419</v>
      </c>
      <c r="C51" s="243"/>
      <c r="D51" s="265">
        <v>8744675.9800001569</v>
      </c>
    </row>
    <row r="52" spans="1:8" ht="22.75" customHeight="1">
      <c r="A52" s="387"/>
      <c r="B52" s="387"/>
      <c r="C52" s="388"/>
      <c r="D52" s="388"/>
      <c r="E52" s="252"/>
    </row>
    <row r="53" spans="1:8" ht="23.25" customHeight="1">
      <c r="A53" s="293" t="s">
        <v>588</v>
      </c>
      <c r="B53" s="294"/>
      <c r="C53" s="294"/>
      <c r="D53" s="294"/>
      <c r="E53" s="295"/>
    </row>
    <row r="54" spans="1:8" ht="19.5" customHeight="1" thickBot="1">
      <c r="A54" s="296" t="s">
        <v>589</v>
      </c>
      <c r="B54" s="297" t="s">
        <v>590</v>
      </c>
      <c r="C54" s="389"/>
      <c r="D54" s="241">
        <v>604993914.27999997</v>
      </c>
      <c r="E54" s="252"/>
    </row>
    <row r="55" spans="1:8" ht="19.5" customHeight="1" thickBot="1">
      <c r="A55" s="299" t="s">
        <v>591</v>
      </c>
      <c r="B55" s="234" t="s">
        <v>85</v>
      </c>
      <c r="C55" s="390"/>
      <c r="D55" s="249">
        <v>-530768513.25</v>
      </c>
      <c r="E55" s="252"/>
    </row>
    <row r="56" spans="1:8" ht="15.75" customHeight="1">
      <c r="A56" s="189" t="s">
        <v>346</v>
      </c>
      <c r="B56" s="301"/>
      <c r="C56" s="189"/>
      <c r="D56" s="302"/>
      <c r="E56" s="303"/>
    </row>
    <row r="57" spans="1:8">
      <c r="A57" s="258"/>
    </row>
    <row r="58" spans="1:8">
      <c r="A58" s="247" t="s">
        <v>592</v>
      </c>
    </row>
    <row r="59" spans="1:8">
      <c r="A59" s="258"/>
    </row>
    <row r="60" spans="1:8">
      <c r="A60" s="3" t="s">
        <v>593</v>
      </c>
    </row>
    <row r="63" spans="1:8">
      <c r="A63" s="3" t="s">
        <v>302</v>
      </c>
    </row>
    <row r="69" spans="1:4">
      <c r="B69" s="259"/>
      <c r="C69" s="259"/>
      <c r="D69" s="43"/>
    </row>
    <row r="72" spans="1:4" ht="14">
      <c r="A72" s="260"/>
      <c r="B72" s="260"/>
      <c r="C72" s="261"/>
      <c r="D72" s="262"/>
    </row>
  </sheetData>
  <mergeCells count="1">
    <mergeCell ref="A2:B2"/>
  </mergeCells>
  <pageMargins left="0.6" right="0.63" top="0.65" bottom="0.49" header="0.42" footer="0.4921259845"/>
  <pageSetup paperSize="9" scale="61" orientation="portrait"/>
  <headerFooter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281C7-166F-2C4B-9B15-3E98B3606707}">
  <sheetPr>
    <pageSetUpPr fitToPage="1"/>
  </sheetPr>
  <dimension ref="A1:H16"/>
  <sheetViews>
    <sheetView zoomScale="115" zoomScaleNormal="115" workbookViewId="0">
      <selection activeCell="H7" sqref="H7:H13"/>
    </sheetView>
  </sheetViews>
  <sheetFormatPr baseColWidth="10" defaultColWidth="11.59765625" defaultRowHeight="13"/>
  <cols>
    <col min="1" max="1" width="5.59765625" style="393" customWidth="1"/>
    <col min="2" max="16384" width="11.59765625" style="393"/>
  </cols>
  <sheetData>
    <row r="1" spans="1:8" ht="16">
      <c r="A1" s="394" t="s">
        <v>949</v>
      </c>
    </row>
    <row r="2" spans="1:8" ht="16">
      <c r="A2" s="394"/>
    </row>
    <row r="3" spans="1:8">
      <c r="A3" s="536">
        <v>8.01</v>
      </c>
      <c r="B3" s="537" t="s">
        <v>950</v>
      </c>
    </row>
    <row r="4" spans="1:8">
      <c r="A4" s="536">
        <v>8.02</v>
      </c>
      <c r="B4" s="396" t="s">
        <v>951</v>
      </c>
    </row>
    <row r="5" spans="1:8">
      <c r="A5" s="536">
        <v>8.0299999999999994</v>
      </c>
      <c r="B5" s="537" t="s">
        <v>952</v>
      </c>
    </row>
    <row r="6" spans="1:8">
      <c r="A6" s="536">
        <v>8.0399999999999991</v>
      </c>
      <c r="B6" s="537" t="s">
        <v>953</v>
      </c>
    </row>
    <row r="7" spans="1:8">
      <c r="A7" s="536">
        <v>8.0500000000000007</v>
      </c>
      <c r="B7" s="537" t="s">
        <v>954</v>
      </c>
      <c r="H7" s="400"/>
    </row>
    <row r="8" spans="1:8">
      <c r="A8" s="536">
        <v>8.06</v>
      </c>
      <c r="B8" s="537" t="s">
        <v>955</v>
      </c>
      <c r="H8" s="400"/>
    </row>
    <row r="9" spans="1:8">
      <c r="A9" s="536">
        <v>8.07</v>
      </c>
      <c r="B9" s="537" t="s">
        <v>956</v>
      </c>
    </row>
    <row r="10" spans="1:8">
      <c r="A10" s="536">
        <v>8.08</v>
      </c>
      <c r="B10" s="537" t="s">
        <v>957</v>
      </c>
    </row>
    <row r="11" spans="1:8">
      <c r="A11" s="536">
        <v>8.09</v>
      </c>
      <c r="B11" s="537" t="s">
        <v>958</v>
      </c>
    </row>
    <row r="12" spans="1:8">
      <c r="A12" s="536">
        <v>8.1</v>
      </c>
      <c r="B12" s="537" t="s">
        <v>959</v>
      </c>
    </row>
    <row r="13" spans="1:8">
      <c r="A13" s="536">
        <v>8.11</v>
      </c>
      <c r="B13" s="396" t="s">
        <v>960</v>
      </c>
      <c r="H13" s="400"/>
    </row>
    <row r="14" spans="1:8">
      <c r="B14" s="538"/>
    </row>
    <row r="16" spans="1:8">
      <c r="A16" s="539" t="s">
        <v>302</v>
      </c>
    </row>
  </sheetData>
  <pageMargins left="0.54" right="0.53" top="0.65" bottom="0.984251969" header="0.38" footer="0.4921259845"/>
  <pageSetup paperSize="9" orientation="portrait"/>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8E411-24D6-3146-ABA4-1086D264A2B3}">
  <sheetPr>
    <pageSetUpPr fitToPage="1"/>
  </sheetPr>
  <dimension ref="A1:G35"/>
  <sheetViews>
    <sheetView zoomScaleNormal="100" workbookViewId="0"/>
  </sheetViews>
  <sheetFormatPr baseColWidth="10" defaultColWidth="11.3984375" defaultRowHeight="13"/>
  <cols>
    <col min="1" max="1" width="15.19921875" style="3" customWidth="1"/>
    <col min="2" max="2" width="15.3984375" style="245" customWidth="1"/>
    <col min="3" max="4" width="15.3984375" style="3" customWidth="1"/>
    <col min="5" max="5" width="15.796875" style="245" customWidth="1"/>
    <col min="6" max="6" width="15.3984375" style="245" customWidth="1"/>
    <col min="7" max="7" width="15.3984375" style="3" customWidth="1"/>
    <col min="8" max="16384" width="11.3984375" style="3"/>
  </cols>
  <sheetData>
    <row r="1" spans="1:7" s="1" customFormat="1" ht="14" customHeight="1">
      <c r="B1" s="221"/>
      <c r="E1" s="221"/>
      <c r="F1" s="221"/>
    </row>
    <row r="2" spans="1:7" s="1" customFormat="1" ht="24" customHeight="1">
      <c r="A2" s="223" t="s">
        <v>2030</v>
      </c>
      <c r="B2" s="1361"/>
      <c r="C2" s="223"/>
      <c r="D2" s="223"/>
      <c r="E2" s="221"/>
      <c r="F2" s="327"/>
      <c r="G2" s="327"/>
    </row>
    <row r="3" spans="1:7" ht="24" customHeight="1">
      <c r="A3" s="612"/>
      <c r="B3" s="306" t="s">
        <v>2031</v>
      </c>
      <c r="C3" s="224"/>
      <c r="D3" s="224"/>
      <c r="E3" s="225" t="s">
        <v>2032</v>
      </c>
      <c r="F3" s="225" t="s">
        <v>2033</v>
      </c>
      <c r="G3" s="225" t="s">
        <v>2034</v>
      </c>
    </row>
    <row r="4" spans="1:7" ht="20.25" customHeight="1">
      <c r="A4" s="613" t="s">
        <v>460</v>
      </c>
      <c r="B4" s="306"/>
      <c r="C4" s="306"/>
      <c r="D4" s="306"/>
      <c r="E4" s="1362" t="s">
        <v>2035</v>
      </c>
      <c r="F4" s="1363"/>
      <c r="G4" s="1363"/>
    </row>
    <row r="5" spans="1:7" ht="20.25" customHeight="1">
      <c r="A5" s="613"/>
      <c r="B5" s="306" t="s">
        <v>2036</v>
      </c>
      <c r="C5" s="306" t="s">
        <v>2037</v>
      </c>
      <c r="D5" s="306" t="s">
        <v>2038</v>
      </c>
      <c r="E5" s="332" t="s">
        <v>2039</v>
      </c>
      <c r="F5" s="332" t="s">
        <v>2040</v>
      </c>
      <c r="G5" s="332" t="s">
        <v>2041</v>
      </c>
    </row>
    <row r="6" spans="1:7" ht="15" customHeight="1">
      <c r="A6" s="613"/>
      <c r="B6" s="306" t="s">
        <v>1366</v>
      </c>
      <c r="C6" s="306"/>
      <c r="D6" s="306"/>
      <c r="E6" s="332" t="s">
        <v>2042</v>
      </c>
      <c r="F6" s="332" t="s">
        <v>2043</v>
      </c>
      <c r="G6" s="332" t="s">
        <v>2043</v>
      </c>
    </row>
    <row r="7" spans="1:7" ht="29.25" customHeight="1">
      <c r="A7" s="615"/>
      <c r="B7" s="307" t="s">
        <v>2044</v>
      </c>
      <c r="C7" s="307"/>
      <c r="D7" s="307"/>
      <c r="E7" s="229" t="s">
        <v>1091</v>
      </c>
      <c r="F7" s="229" t="s">
        <v>1091</v>
      </c>
      <c r="G7" s="229" t="s">
        <v>1091</v>
      </c>
    </row>
    <row r="8" spans="1:7" ht="21" customHeight="1" thickBot="1">
      <c r="A8" s="1364">
        <v>1996</v>
      </c>
      <c r="B8" s="1365">
        <v>159</v>
      </c>
      <c r="C8" s="1365">
        <v>0</v>
      </c>
      <c r="D8" s="1365">
        <v>25</v>
      </c>
      <c r="E8" s="1366">
        <v>145</v>
      </c>
      <c r="F8" s="1366">
        <v>150</v>
      </c>
      <c r="G8" s="1366">
        <v>136</v>
      </c>
    </row>
    <row r="9" spans="1:7" ht="19.75" customHeight="1" thickBot="1">
      <c r="A9" s="723">
        <v>1997</v>
      </c>
      <c r="B9" s="1367">
        <v>142</v>
      </c>
      <c r="C9" s="1367">
        <v>1</v>
      </c>
      <c r="D9" s="1367">
        <v>18</v>
      </c>
      <c r="E9" s="235">
        <v>129</v>
      </c>
      <c r="F9" s="235">
        <v>135</v>
      </c>
      <c r="G9" s="235">
        <v>122</v>
      </c>
    </row>
    <row r="10" spans="1:7" ht="19.75" customHeight="1" thickBot="1">
      <c r="A10" s="723">
        <v>1998</v>
      </c>
      <c r="B10" s="1367">
        <v>127</v>
      </c>
      <c r="C10" s="1367">
        <v>0</v>
      </c>
      <c r="D10" s="1367">
        <v>15</v>
      </c>
      <c r="E10" s="235">
        <v>118</v>
      </c>
      <c r="F10" s="235">
        <v>115</v>
      </c>
      <c r="G10" s="235">
        <v>106</v>
      </c>
    </row>
    <row r="11" spans="1:7" ht="20.25" customHeight="1" thickBot="1">
      <c r="A11" s="723">
        <v>1999</v>
      </c>
      <c r="B11" s="1367">
        <v>119</v>
      </c>
      <c r="C11" s="1367">
        <v>2</v>
      </c>
      <c r="D11" s="1367">
        <v>10</v>
      </c>
      <c r="E11" s="235">
        <v>109</v>
      </c>
      <c r="F11" s="235">
        <v>109</v>
      </c>
      <c r="G11" s="235">
        <v>99</v>
      </c>
    </row>
    <row r="12" spans="1:7" ht="20.25" customHeight="1" thickBot="1">
      <c r="A12" s="723">
        <v>2000</v>
      </c>
      <c r="B12" s="1367">
        <v>110</v>
      </c>
      <c r="C12" s="1367">
        <v>0</v>
      </c>
      <c r="D12" s="1367">
        <v>9</v>
      </c>
      <c r="E12" s="235">
        <v>101</v>
      </c>
      <c r="F12" s="235">
        <v>102</v>
      </c>
      <c r="G12" s="235">
        <v>93</v>
      </c>
    </row>
    <row r="13" spans="1:7" ht="20.25" customHeight="1" thickBot="1">
      <c r="A13" s="723">
        <v>2001</v>
      </c>
      <c r="B13" s="1367">
        <v>108</v>
      </c>
      <c r="C13" s="1367">
        <v>0</v>
      </c>
      <c r="D13" s="1367">
        <v>2</v>
      </c>
      <c r="E13" s="235">
        <v>99</v>
      </c>
      <c r="F13" s="235">
        <v>102</v>
      </c>
      <c r="G13" s="235">
        <v>92</v>
      </c>
    </row>
    <row r="14" spans="1:7" ht="20.25" customHeight="1" thickBot="1">
      <c r="A14" s="1364">
        <v>2002</v>
      </c>
      <c r="B14" s="1365">
        <v>101</v>
      </c>
      <c r="C14" s="1365">
        <v>1</v>
      </c>
      <c r="D14" s="1365">
        <v>8</v>
      </c>
      <c r="E14" s="1366">
        <v>93</v>
      </c>
      <c r="F14" s="1366">
        <v>93</v>
      </c>
      <c r="G14" s="1366">
        <v>85</v>
      </c>
    </row>
    <row r="15" spans="1:7" ht="20.25" customHeight="1" thickBot="1">
      <c r="A15" s="1364">
        <v>2003</v>
      </c>
      <c r="B15" s="1365">
        <v>99</v>
      </c>
      <c r="C15" s="1365">
        <v>2</v>
      </c>
      <c r="D15" s="1365">
        <v>3</v>
      </c>
      <c r="E15" s="1366">
        <v>93</v>
      </c>
      <c r="F15" s="1366">
        <v>92</v>
      </c>
      <c r="G15" s="1366">
        <v>86</v>
      </c>
    </row>
    <row r="16" spans="1:7" ht="20.25" customHeight="1" thickBot="1">
      <c r="A16" s="1364">
        <v>2004</v>
      </c>
      <c r="B16" s="1365">
        <v>98</v>
      </c>
      <c r="C16" s="1365">
        <v>0</v>
      </c>
      <c r="D16" s="1365">
        <v>2</v>
      </c>
      <c r="E16" s="1366">
        <v>92</v>
      </c>
      <c r="F16" s="1366">
        <v>93</v>
      </c>
      <c r="G16" s="1366">
        <v>87</v>
      </c>
    </row>
    <row r="17" spans="1:7" ht="20.25" customHeight="1" thickBot="1">
      <c r="A17" s="1364">
        <v>2005</v>
      </c>
      <c r="B17" s="1365">
        <v>90</v>
      </c>
      <c r="C17" s="1365">
        <v>2</v>
      </c>
      <c r="D17" s="1365">
        <v>9</v>
      </c>
      <c r="E17" s="1366">
        <v>85</v>
      </c>
      <c r="F17" s="1366">
        <v>82</v>
      </c>
      <c r="G17" s="1366">
        <v>76</v>
      </c>
    </row>
    <row r="18" spans="1:7" ht="20.25" customHeight="1" thickBot="1">
      <c r="A18" s="1364">
        <v>2006</v>
      </c>
      <c r="B18" s="1365">
        <v>92</v>
      </c>
      <c r="C18" s="1365">
        <v>2</v>
      </c>
      <c r="D18" s="1365">
        <v>0</v>
      </c>
      <c r="E18" s="1366">
        <v>87</v>
      </c>
      <c r="F18" s="1366">
        <v>82</v>
      </c>
      <c r="G18" s="1366">
        <v>77</v>
      </c>
    </row>
    <row r="19" spans="1:7" ht="20.25" customHeight="1" thickBot="1">
      <c r="A19" s="1364">
        <v>2007</v>
      </c>
      <c r="B19" s="1365">
        <v>92</v>
      </c>
      <c r="C19" s="1365">
        <v>0</v>
      </c>
      <c r="D19" s="1365">
        <v>0</v>
      </c>
      <c r="E19" s="1366">
        <v>87</v>
      </c>
      <c r="F19" s="1366">
        <v>82</v>
      </c>
      <c r="G19" s="1366">
        <v>77</v>
      </c>
    </row>
    <row r="20" spans="1:7" ht="20.25" customHeight="1" thickBot="1">
      <c r="A20" s="1364">
        <v>2008</v>
      </c>
      <c r="B20" s="1365">
        <v>91</v>
      </c>
      <c r="C20" s="1365">
        <v>0</v>
      </c>
      <c r="D20" s="1365">
        <v>1</v>
      </c>
      <c r="E20" s="1366">
        <v>86</v>
      </c>
      <c r="F20" s="1366">
        <v>83</v>
      </c>
      <c r="G20" s="1366">
        <v>78</v>
      </c>
    </row>
    <row r="21" spans="1:7" ht="20.25" customHeight="1" thickBot="1">
      <c r="A21" s="1364">
        <v>2009</v>
      </c>
      <c r="B21" s="1365">
        <v>86</v>
      </c>
      <c r="C21" s="1365">
        <v>2</v>
      </c>
      <c r="D21" s="1365">
        <v>7</v>
      </c>
      <c r="E21" s="1366">
        <v>81</v>
      </c>
      <c r="F21" s="1366">
        <v>74</v>
      </c>
      <c r="G21" s="1366">
        <v>69</v>
      </c>
    </row>
    <row r="22" spans="1:7" ht="20.25" customHeight="1" thickBot="1">
      <c r="A22" s="1364">
        <v>2010</v>
      </c>
      <c r="B22" s="1365">
        <v>86</v>
      </c>
      <c r="C22" s="1365">
        <v>1</v>
      </c>
      <c r="D22" s="1365">
        <v>1</v>
      </c>
      <c r="E22" s="1366">
        <v>81</v>
      </c>
      <c r="F22" s="1366">
        <v>78</v>
      </c>
      <c r="G22" s="1366">
        <v>73</v>
      </c>
    </row>
    <row r="23" spans="1:7" ht="20.25" customHeight="1" thickBot="1">
      <c r="A23" s="1364">
        <v>2011</v>
      </c>
      <c r="B23" s="1365">
        <v>69</v>
      </c>
      <c r="C23" s="1365">
        <v>0</v>
      </c>
      <c r="D23" s="1365">
        <v>17</v>
      </c>
      <c r="E23" s="1366">
        <v>63</v>
      </c>
      <c r="F23" s="1366">
        <v>62</v>
      </c>
      <c r="G23" s="1366">
        <v>56</v>
      </c>
    </row>
    <row r="24" spans="1:7" ht="20.25" customHeight="1" thickBot="1">
      <c r="A24" s="1364">
        <v>2012</v>
      </c>
      <c r="B24" s="1365">
        <v>67</v>
      </c>
      <c r="C24" s="1365">
        <v>0</v>
      </c>
      <c r="D24" s="1365">
        <v>2</v>
      </c>
      <c r="E24" s="1366">
        <v>61</v>
      </c>
      <c r="F24" s="1366">
        <v>60</v>
      </c>
      <c r="G24" s="1366">
        <v>54</v>
      </c>
    </row>
    <row r="25" spans="1:7" ht="25.5" customHeight="1" thickBot="1">
      <c r="A25" s="618">
        <v>2013</v>
      </c>
      <c r="B25" s="1368">
        <v>66</v>
      </c>
      <c r="C25" s="1369">
        <v>0</v>
      </c>
      <c r="D25" s="1368">
        <v>1</v>
      </c>
      <c r="E25" s="1221">
        <v>60</v>
      </c>
      <c r="F25" s="1221">
        <v>60</v>
      </c>
      <c r="G25" s="1370">
        <v>54</v>
      </c>
    </row>
    <row r="26" spans="1:7" ht="20" customHeight="1">
      <c r="A26" s="189" t="s">
        <v>346</v>
      </c>
      <c r="B26" s="301"/>
      <c r="C26" s="189"/>
      <c r="D26" s="189"/>
      <c r="E26" s="301"/>
      <c r="F26" s="301"/>
    </row>
    <row r="27" spans="1:7" ht="12.75" customHeight="1">
      <c r="A27" s="219"/>
      <c r="B27" s="218"/>
      <c r="C27" s="219"/>
      <c r="D27" s="219"/>
      <c r="E27" s="218"/>
      <c r="F27" s="218"/>
    </row>
    <row r="28" spans="1:7" ht="12.75" customHeight="1">
      <c r="A28" s="219" t="s">
        <v>2045</v>
      </c>
      <c r="B28" s="218"/>
      <c r="C28" s="219"/>
      <c r="D28" s="219"/>
      <c r="E28" s="218"/>
      <c r="F28" s="218"/>
    </row>
    <row r="29" spans="1:7" ht="12.75" customHeight="1">
      <c r="A29" s="219" t="s">
        <v>2046</v>
      </c>
      <c r="B29" s="218"/>
      <c r="C29" s="219"/>
      <c r="D29" s="219"/>
      <c r="E29" s="218"/>
      <c r="F29" s="218"/>
    </row>
    <row r="30" spans="1:7" ht="12.75" customHeight="1">
      <c r="A30" s="219"/>
      <c r="B30" s="218"/>
      <c r="C30" s="219"/>
      <c r="D30" s="219"/>
      <c r="E30" s="218"/>
      <c r="F30" s="218"/>
    </row>
    <row r="31" spans="1:7" ht="12.75" customHeight="1">
      <c r="A31" s="219"/>
      <c r="B31" s="218"/>
      <c r="C31" s="219"/>
      <c r="D31" s="219"/>
      <c r="E31" s="218"/>
      <c r="F31" s="218"/>
    </row>
    <row r="32" spans="1:7" ht="12" customHeight="1">
      <c r="A32" s="63" t="s">
        <v>2047</v>
      </c>
    </row>
    <row r="35" spans="1:1">
      <c r="A35" s="3" t="s">
        <v>302</v>
      </c>
    </row>
  </sheetData>
  <pageMargins left="0.56000000000000005" right="0.42" top="0.76" bottom="0.49" header="0.44" footer="0.4921259845"/>
  <pageSetup paperSize="9" scale="78" orientation="portrait" horizontalDpi="1200" verticalDpi="1200"/>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B3C6F-0677-964F-93BE-5312B2EEEB57}">
  <sheetPr>
    <pageSetUpPr fitToPage="1"/>
  </sheetPr>
  <dimension ref="A1:M30"/>
  <sheetViews>
    <sheetView zoomScaleNormal="100" workbookViewId="0"/>
  </sheetViews>
  <sheetFormatPr baseColWidth="10" defaultColWidth="11.3984375" defaultRowHeight="13"/>
  <cols>
    <col min="1" max="1" width="17.59765625" style="3" customWidth="1"/>
    <col min="2" max="8" width="11.796875" style="3" customWidth="1"/>
    <col min="9" max="9" width="13" style="3" customWidth="1"/>
    <col min="10" max="16384" width="11.3984375" style="3"/>
  </cols>
  <sheetData>
    <row r="1" spans="1:13" s="1" customFormat="1" ht="14" customHeight="1"/>
    <row r="2" spans="1:13" s="1" customFormat="1" ht="24" customHeight="1">
      <c r="A2" s="311" t="s">
        <v>2029</v>
      </c>
      <c r="I2" s="327"/>
    </row>
    <row r="3" spans="1:13" ht="24" customHeight="1">
      <c r="A3" s="745" t="s">
        <v>460</v>
      </c>
      <c r="B3" s="1348" t="s">
        <v>1192</v>
      </c>
      <c r="C3" s="747" t="s">
        <v>1193</v>
      </c>
      <c r="D3" s="267" t="s">
        <v>1194</v>
      </c>
      <c r="E3" s="747" t="s">
        <v>1195</v>
      </c>
      <c r="F3" s="267" t="s">
        <v>1196</v>
      </c>
      <c r="G3" s="747" t="s">
        <v>1197</v>
      </c>
      <c r="H3" s="267" t="s">
        <v>381</v>
      </c>
      <c r="I3" s="1349" t="s">
        <v>475</v>
      </c>
    </row>
    <row r="4" spans="1:13" ht="15" customHeight="1">
      <c r="A4" s="749"/>
      <c r="B4" s="750"/>
      <c r="C4" s="752">
        <v>10000</v>
      </c>
      <c r="D4" s="614">
        <v>50000</v>
      </c>
      <c r="E4" s="752">
        <v>100000</v>
      </c>
      <c r="F4" s="614">
        <v>500000</v>
      </c>
      <c r="G4" s="752">
        <v>500000</v>
      </c>
      <c r="H4" s="270"/>
      <c r="I4" s="1350" t="s">
        <v>476</v>
      </c>
    </row>
    <row r="5" spans="1:13" ht="15" customHeight="1">
      <c r="A5" s="749"/>
      <c r="B5" s="750"/>
      <c r="C5" s="751"/>
      <c r="D5" s="270"/>
      <c r="E5" s="751"/>
      <c r="F5" s="270"/>
      <c r="G5" s="751"/>
      <c r="H5" s="270"/>
      <c r="I5" s="1350" t="s">
        <v>477</v>
      </c>
    </row>
    <row r="6" spans="1:13" ht="24" customHeight="1">
      <c r="A6" s="755"/>
      <c r="B6" s="756"/>
      <c r="C6" s="757"/>
      <c r="D6" s="274"/>
      <c r="E6" s="757"/>
      <c r="F6" s="274"/>
      <c r="G6" s="757"/>
      <c r="H6" s="274"/>
      <c r="I6" s="1351"/>
    </row>
    <row r="7" spans="1:13" ht="1.5" customHeight="1" thickBot="1">
      <c r="A7" s="759">
        <v>1996</v>
      </c>
      <c r="B7" s="1352">
        <v>90</v>
      </c>
      <c r="C7" s="1353">
        <v>14</v>
      </c>
      <c r="D7" s="287">
        <v>20</v>
      </c>
      <c r="E7" s="1353">
        <v>6</v>
      </c>
      <c r="F7" s="287">
        <v>12</v>
      </c>
      <c r="G7" s="1353">
        <v>3</v>
      </c>
      <c r="H7" s="287">
        <v>145</v>
      </c>
      <c r="I7" s="1354">
        <v>-0.12650602409638553</v>
      </c>
    </row>
    <row r="8" spans="1:13" ht="19.5" hidden="1" customHeight="1" thickBot="1">
      <c r="A8" s="763">
        <v>1997</v>
      </c>
      <c r="B8" s="1355">
        <v>76</v>
      </c>
      <c r="C8" s="1356">
        <v>14</v>
      </c>
      <c r="D8" s="289">
        <v>20</v>
      </c>
      <c r="E8" s="1356">
        <v>4</v>
      </c>
      <c r="F8" s="289">
        <v>11</v>
      </c>
      <c r="G8" s="1356">
        <v>4</v>
      </c>
      <c r="H8" s="289">
        <v>129</v>
      </c>
      <c r="I8" s="1357">
        <v>-0.1103448275862069</v>
      </c>
      <c r="K8" s="8"/>
      <c r="L8" s="8"/>
      <c r="M8" s="8"/>
    </row>
    <row r="9" spans="1:13" ht="19.5" hidden="1" customHeight="1" thickBot="1">
      <c r="A9" s="763">
        <v>1998</v>
      </c>
      <c r="B9" s="1355">
        <v>64</v>
      </c>
      <c r="C9" s="1356">
        <v>13</v>
      </c>
      <c r="D9" s="289">
        <v>21</v>
      </c>
      <c r="E9" s="1356">
        <v>6</v>
      </c>
      <c r="F9" s="289">
        <v>10</v>
      </c>
      <c r="G9" s="1356">
        <v>4</v>
      </c>
      <c r="H9" s="289">
        <v>118</v>
      </c>
      <c r="I9" s="1357">
        <v>-8.5271317829457363E-2</v>
      </c>
    </row>
    <row r="10" spans="1:13" ht="19.75" hidden="1" customHeight="1" thickBot="1">
      <c r="A10" s="763">
        <v>1999</v>
      </c>
      <c r="B10" s="1355">
        <v>56</v>
      </c>
      <c r="C10" s="1356">
        <v>12</v>
      </c>
      <c r="D10" s="289">
        <v>19</v>
      </c>
      <c r="E10" s="1356">
        <v>8</v>
      </c>
      <c r="F10" s="289">
        <v>10</v>
      </c>
      <c r="G10" s="1356">
        <v>4</v>
      </c>
      <c r="H10" s="289">
        <v>109</v>
      </c>
      <c r="I10" s="1357">
        <v>-7.6271186440677971E-2</v>
      </c>
    </row>
    <row r="11" spans="1:13" ht="19.75" hidden="1" customHeight="1" thickBot="1">
      <c r="A11" s="763">
        <v>2000</v>
      </c>
      <c r="B11" s="1355">
        <v>48</v>
      </c>
      <c r="C11" s="1356">
        <v>11</v>
      </c>
      <c r="D11" s="289">
        <v>19</v>
      </c>
      <c r="E11" s="1356">
        <v>9</v>
      </c>
      <c r="F11" s="289">
        <v>10</v>
      </c>
      <c r="G11" s="1356">
        <v>4</v>
      </c>
      <c r="H11" s="289">
        <v>101</v>
      </c>
      <c r="I11" s="1357">
        <v>-7.3394495412844041E-2</v>
      </c>
    </row>
    <row r="12" spans="1:13" ht="20" hidden="1" customHeight="1" thickBot="1">
      <c r="A12" s="763">
        <v>2001</v>
      </c>
      <c r="B12" s="1355">
        <v>43</v>
      </c>
      <c r="C12" s="1356">
        <v>9</v>
      </c>
      <c r="D12" s="289">
        <v>23</v>
      </c>
      <c r="E12" s="1356">
        <v>9</v>
      </c>
      <c r="F12" s="289">
        <v>11</v>
      </c>
      <c r="G12" s="1356">
        <v>4</v>
      </c>
      <c r="H12" s="289">
        <v>99</v>
      </c>
      <c r="I12" s="1357">
        <v>-1.9801980198019802E-2</v>
      </c>
    </row>
    <row r="13" spans="1:13" ht="20" hidden="1" customHeight="1" thickBot="1">
      <c r="A13" s="763">
        <v>2002</v>
      </c>
      <c r="B13" s="1355">
        <v>33</v>
      </c>
      <c r="C13" s="1356">
        <v>10</v>
      </c>
      <c r="D13" s="289">
        <v>25</v>
      </c>
      <c r="E13" s="1356">
        <v>9</v>
      </c>
      <c r="F13" s="289">
        <v>13</v>
      </c>
      <c r="G13" s="1356">
        <v>3</v>
      </c>
      <c r="H13" s="289">
        <v>93</v>
      </c>
      <c r="I13" s="1357">
        <v>-6.0606060606060608E-2</v>
      </c>
    </row>
    <row r="14" spans="1:13" ht="20" customHeight="1" thickBot="1">
      <c r="A14" s="763">
        <v>2003</v>
      </c>
      <c r="B14" s="1355">
        <v>32</v>
      </c>
      <c r="C14" s="1356">
        <v>10</v>
      </c>
      <c r="D14" s="289">
        <v>26</v>
      </c>
      <c r="E14" s="1356">
        <v>9</v>
      </c>
      <c r="F14" s="289">
        <v>12</v>
      </c>
      <c r="G14" s="1356">
        <v>4</v>
      </c>
      <c r="H14" s="289">
        <v>93</v>
      </c>
      <c r="I14" s="1357">
        <v>0</v>
      </c>
    </row>
    <row r="15" spans="1:13" ht="20" customHeight="1" thickBot="1">
      <c r="A15" s="763">
        <v>2004</v>
      </c>
      <c r="B15" s="1355">
        <v>32</v>
      </c>
      <c r="C15" s="1356">
        <v>11</v>
      </c>
      <c r="D15" s="289">
        <v>24</v>
      </c>
      <c r="E15" s="1356">
        <v>9</v>
      </c>
      <c r="F15" s="289">
        <v>12</v>
      </c>
      <c r="G15" s="1356">
        <v>4</v>
      </c>
      <c r="H15" s="289">
        <v>92</v>
      </c>
      <c r="I15" s="1357">
        <v>-1.0752688172043012E-2</v>
      </c>
    </row>
    <row r="16" spans="1:13" ht="20" customHeight="1" thickBot="1">
      <c r="A16" s="763">
        <v>2005</v>
      </c>
      <c r="B16" s="1355">
        <v>27</v>
      </c>
      <c r="C16" s="1356">
        <v>13</v>
      </c>
      <c r="D16" s="289">
        <v>20</v>
      </c>
      <c r="E16" s="1356">
        <v>8</v>
      </c>
      <c r="F16" s="289">
        <v>13</v>
      </c>
      <c r="G16" s="1356">
        <v>4</v>
      </c>
      <c r="H16" s="289">
        <v>85</v>
      </c>
      <c r="I16" s="1357">
        <v>-7.6086956521739135E-2</v>
      </c>
    </row>
    <row r="17" spans="1:9" ht="20" customHeight="1" thickBot="1">
      <c r="A17" s="763">
        <v>2006</v>
      </c>
      <c r="B17" s="1355">
        <v>28</v>
      </c>
      <c r="C17" s="1356">
        <v>14</v>
      </c>
      <c r="D17" s="289">
        <v>20</v>
      </c>
      <c r="E17" s="1356">
        <v>7</v>
      </c>
      <c r="F17" s="289">
        <v>14</v>
      </c>
      <c r="G17" s="1356">
        <v>4</v>
      </c>
      <c r="H17" s="289">
        <v>87</v>
      </c>
      <c r="I17" s="1357">
        <v>2.3529411764705882E-2</v>
      </c>
    </row>
    <row r="18" spans="1:9" ht="20" customHeight="1" thickBot="1">
      <c r="A18" s="763">
        <v>2007</v>
      </c>
      <c r="B18" s="1355">
        <v>27</v>
      </c>
      <c r="C18" s="1356">
        <v>13</v>
      </c>
      <c r="D18" s="289">
        <v>21</v>
      </c>
      <c r="E18" s="1356">
        <v>8</v>
      </c>
      <c r="F18" s="289">
        <v>14</v>
      </c>
      <c r="G18" s="1356">
        <v>4</v>
      </c>
      <c r="H18" s="289">
        <v>87</v>
      </c>
      <c r="I18" s="1357">
        <v>0</v>
      </c>
    </row>
    <row r="19" spans="1:9" ht="20" customHeight="1" thickBot="1">
      <c r="A19" s="763">
        <v>2008</v>
      </c>
      <c r="B19" s="1355">
        <v>26</v>
      </c>
      <c r="C19" s="1356">
        <v>13</v>
      </c>
      <c r="D19" s="289">
        <v>19</v>
      </c>
      <c r="E19" s="1356">
        <v>9</v>
      </c>
      <c r="F19" s="289">
        <v>15</v>
      </c>
      <c r="G19" s="1356">
        <v>4</v>
      </c>
      <c r="H19" s="289">
        <v>86</v>
      </c>
      <c r="I19" s="1357">
        <v>-1.1494252873563204E-2</v>
      </c>
    </row>
    <row r="20" spans="1:9" ht="20" customHeight="1" thickBot="1">
      <c r="A20" s="763">
        <v>2009</v>
      </c>
      <c r="B20" s="1355">
        <v>22</v>
      </c>
      <c r="C20" s="1356">
        <v>10</v>
      </c>
      <c r="D20" s="289">
        <v>20</v>
      </c>
      <c r="E20" s="1356">
        <v>8</v>
      </c>
      <c r="F20" s="289">
        <v>17</v>
      </c>
      <c r="G20" s="1356">
        <v>4</v>
      </c>
      <c r="H20" s="289">
        <v>81</v>
      </c>
      <c r="I20" s="1357">
        <v>-5.8139534883720922E-2</v>
      </c>
    </row>
    <row r="21" spans="1:9" ht="20" customHeight="1" thickBot="1">
      <c r="A21" s="763">
        <v>2010</v>
      </c>
      <c r="B21" s="1355">
        <v>19</v>
      </c>
      <c r="C21" s="1356">
        <v>10</v>
      </c>
      <c r="D21" s="289">
        <v>22</v>
      </c>
      <c r="E21" s="1356">
        <v>9</v>
      </c>
      <c r="F21" s="289">
        <v>16</v>
      </c>
      <c r="G21" s="1356">
        <v>5</v>
      </c>
      <c r="H21" s="289">
        <v>81</v>
      </c>
      <c r="I21" s="1357">
        <v>0</v>
      </c>
    </row>
    <row r="22" spans="1:9" ht="20" customHeight="1" thickBot="1">
      <c r="A22" s="763">
        <v>2011</v>
      </c>
      <c r="B22" s="1355">
        <v>13</v>
      </c>
      <c r="C22" s="1356">
        <v>10</v>
      </c>
      <c r="D22" s="289">
        <v>14</v>
      </c>
      <c r="E22" s="1356">
        <v>3</v>
      </c>
      <c r="F22" s="289">
        <v>18</v>
      </c>
      <c r="G22" s="1356">
        <v>5</v>
      </c>
      <c r="H22" s="289">
        <v>63</v>
      </c>
      <c r="I22" s="1357">
        <v>-0.22222222222222221</v>
      </c>
    </row>
    <row r="23" spans="1:9" ht="20" customHeight="1" thickBot="1">
      <c r="A23" s="763">
        <v>2012</v>
      </c>
      <c r="B23" s="1355">
        <v>14</v>
      </c>
      <c r="C23" s="1356">
        <v>8</v>
      </c>
      <c r="D23" s="289">
        <v>13</v>
      </c>
      <c r="E23" s="1356">
        <v>3</v>
      </c>
      <c r="F23" s="289">
        <v>18</v>
      </c>
      <c r="G23" s="1356">
        <v>5</v>
      </c>
      <c r="H23" s="289">
        <v>61</v>
      </c>
      <c r="I23" s="1357">
        <v>-3.1746031746031744E-2</v>
      </c>
    </row>
    <row r="24" spans="1:9" ht="26.25" customHeight="1" thickBot="1">
      <c r="A24" s="767">
        <v>2013</v>
      </c>
      <c r="B24" s="1358">
        <v>14</v>
      </c>
      <c r="C24" s="1359">
        <v>8</v>
      </c>
      <c r="D24" s="290">
        <v>10</v>
      </c>
      <c r="E24" s="1359">
        <v>5</v>
      </c>
      <c r="F24" s="290">
        <v>18</v>
      </c>
      <c r="G24" s="1359">
        <v>5</v>
      </c>
      <c r="H24" s="290">
        <v>60</v>
      </c>
      <c r="I24" s="1360">
        <v>-1.6393442622950838E-2</v>
      </c>
    </row>
    <row r="25" spans="1:9" ht="20" customHeight="1">
      <c r="A25" s="189" t="s">
        <v>346</v>
      </c>
      <c r="B25" s="457"/>
      <c r="C25" s="457"/>
      <c r="D25" s="457"/>
      <c r="E25" s="457"/>
      <c r="F25" s="457"/>
      <c r="G25" s="457"/>
      <c r="H25" s="457"/>
      <c r="I25" s="610"/>
    </row>
    <row r="26" spans="1:9" ht="13.5" customHeight="1">
      <c r="A26" s="219"/>
      <c r="B26" s="459"/>
      <c r="C26" s="459"/>
      <c r="D26" s="459"/>
      <c r="E26" s="459"/>
      <c r="F26" s="459"/>
      <c r="G26" s="459"/>
      <c r="H26" s="459"/>
      <c r="I26" s="611"/>
    </row>
    <row r="27" spans="1:9">
      <c r="A27" s="3" t="s">
        <v>1201</v>
      </c>
    </row>
    <row r="30" spans="1:9">
      <c r="A30" s="3" t="s">
        <v>302</v>
      </c>
    </row>
  </sheetData>
  <pageMargins left="0.53" right="0.61" top="1.03" bottom="0.49" header="0.56000000000000005" footer="0.4921259845"/>
  <pageSetup paperSize="9" scale="80" orientation="portrait" horizontalDpi="4294967292" verticalDpi="4294967292"/>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A43AC-C4AA-F240-AB23-0F13A101AEF0}">
  <sheetPr>
    <pageSetUpPr fitToPage="1"/>
  </sheetPr>
  <dimension ref="A1:P35"/>
  <sheetViews>
    <sheetView topLeftCell="B1" zoomScaleNormal="100" workbookViewId="0">
      <selection activeCell="P24" sqref="P24"/>
    </sheetView>
  </sheetViews>
  <sheetFormatPr baseColWidth="10" defaultColWidth="11.3984375" defaultRowHeight="13"/>
  <cols>
    <col min="1" max="1" width="14.59765625" style="3" customWidth="1"/>
    <col min="2" max="7" width="12.796875" style="3" customWidth="1"/>
    <col min="8" max="8" width="13.3984375" style="530" customWidth="1"/>
    <col min="9" max="9" width="12.59765625" style="3" customWidth="1"/>
    <col min="10" max="10" width="2.3984375" style="3" customWidth="1"/>
    <col min="11" max="11" width="12.59765625" style="3" customWidth="1"/>
    <col min="12" max="12" width="13" style="3" customWidth="1"/>
    <col min="13" max="13" width="11.796875" style="3" customWidth="1"/>
    <col min="14" max="14" width="12.59765625" style="3" customWidth="1"/>
    <col min="15" max="16384" width="11.3984375" style="3"/>
  </cols>
  <sheetData>
    <row r="1" spans="1:14" s="1" customFormat="1" ht="14" customHeight="1">
      <c r="A1" s="191"/>
      <c r="B1" s="191"/>
      <c r="C1" s="191"/>
      <c r="D1" s="191"/>
      <c r="E1" s="191"/>
      <c r="F1" s="191"/>
      <c r="G1" s="191"/>
      <c r="H1" s="1372"/>
    </row>
    <row r="2" spans="1:14" s="1" customFormat="1" ht="22.75" customHeight="1">
      <c r="A2" s="223" t="s">
        <v>2070</v>
      </c>
      <c r="B2" s="1373"/>
      <c r="C2" s="191"/>
      <c r="D2" s="191"/>
      <c r="E2" s="191"/>
      <c r="F2" s="191"/>
      <c r="G2" s="191"/>
      <c r="H2" s="327"/>
    </row>
    <row r="3" spans="1:14" ht="27" customHeight="1">
      <c r="A3" s="1107" t="s">
        <v>2071</v>
      </c>
      <c r="B3" s="2029" t="s">
        <v>2072</v>
      </c>
      <c r="C3" s="2029"/>
      <c r="D3" s="2030" t="s">
        <v>2073</v>
      </c>
      <c r="E3" s="2031"/>
      <c r="F3" s="2029" t="s">
        <v>2074</v>
      </c>
      <c r="G3" s="2032"/>
      <c r="H3" s="2030" t="s">
        <v>2074</v>
      </c>
      <c r="I3" s="2031"/>
      <c r="K3" s="2029" t="s">
        <v>2075</v>
      </c>
      <c r="L3" s="2032"/>
      <c r="M3" s="2030" t="s">
        <v>2076</v>
      </c>
      <c r="N3" s="2031"/>
    </row>
    <row r="4" spans="1:14" ht="18" customHeight="1">
      <c r="A4" s="269"/>
      <c r="B4" s="979" t="s">
        <v>2077</v>
      </c>
      <c r="C4" s="1374" t="s">
        <v>1717</v>
      </c>
      <c r="D4" s="979" t="s">
        <v>2077</v>
      </c>
      <c r="E4" s="1374" t="s">
        <v>1717</v>
      </c>
      <c r="F4" s="979" t="s">
        <v>2077</v>
      </c>
      <c r="G4" s="1374"/>
      <c r="H4" s="979" t="s">
        <v>1717</v>
      </c>
      <c r="I4" s="1374"/>
      <c r="K4" s="979" t="s">
        <v>381</v>
      </c>
      <c r="L4" s="1374"/>
      <c r="M4" s="979" t="s">
        <v>2078</v>
      </c>
      <c r="N4" s="1374" t="s">
        <v>2078</v>
      </c>
    </row>
    <row r="5" spans="1:14" ht="15" customHeight="1">
      <c r="A5" s="269"/>
      <c r="B5" s="613"/>
      <c r="C5" s="271"/>
      <c r="D5" s="270"/>
      <c r="E5" s="271"/>
      <c r="F5" s="270"/>
      <c r="G5" s="1375" t="s">
        <v>2079</v>
      </c>
      <c r="H5" s="1376"/>
      <c r="I5" s="1375" t="s">
        <v>2079</v>
      </c>
      <c r="K5" s="979" t="s">
        <v>2080</v>
      </c>
      <c r="L5" s="1375" t="s">
        <v>2079</v>
      </c>
      <c r="M5" s="1376" t="s">
        <v>2081</v>
      </c>
      <c r="N5" s="1374" t="s">
        <v>2082</v>
      </c>
    </row>
    <row r="6" spans="1:14" ht="23.25" customHeight="1">
      <c r="A6" s="273"/>
      <c r="B6" s="615"/>
      <c r="C6" s="275"/>
      <c r="D6" s="274"/>
      <c r="E6" s="275"/>
      <c r="F6" s="274"/>
      <c r="G6" s="275"/>
      <c r="H6" s="1377"/>
      <c r="I6" s="275"/>
      <c r="K6" s="1378" t="s">
        <v>2083</v>
      </c>
      <c r="L6" s="275"/>
      <c r="M6" s="1379"/>
      <c r="N6" s="1314"/>
    </row>
    <row r="7" spans="1:14" ht="1.5" customHeight="1" thickBot="1">
      <c r="A7" s="277">
        <v>1996</v>
      </c>
      <c r="B7" s="1380">
        <v>5252</v>
      </c>
      <c r="C7" s="288">
        <v>5728</v>
      </c>
      <c r="D7" s="287">
        <v>5623</v>
      </c>
      <c r="E7" s="288">
        <v>7761</v>
      </c>
      <c r="F7" s="287">
        <v>10875</v>
      </c>
      <c r="G7" s="1381" t="s">
        <v>153</v>
      </c>
      <c r="H7" s="287">
        <v>13489</v>
      </c>
      <c r="I7" s="1381" t="s">
        <v>153</v>
      </c>
      <c r="J7" s="8"/>
      <c r="K7" s="1380" t="s">
        <v>153</v>
      </c>
      <c r="L7" s="1381" t="s">
        <v>153</v>
      </c>
      <c r="M7" s="1382" t="s">
        <v>153</v>
      </c>
      <c r="N7" s="1383" t="s">
        <v>153</v>
      </c>
    </row>
    <row r="8" spans="1:14" ht="23.25" hidden="1" customHeight="1" thickBot="1">
      <c r="A8" s="280">
        <v>1997</v>
      </c>
      <c r="B8" s="1384">
        <v>5702</v>
      </c>
      <c r="C8" s="159">
        <v>6184</v>
      </c>
      <c r="D8" s="289">
        <v>4631</v>
      </c>
      <c r="E8" s="159">
        <v>6865</v>
      </c>
      <c r="F8" s="289">
        <v>10333</v>
      </c>
      <c r="G8" s="1385" t="s">
        <v>153</v>
      </c>
      <c r="H8" s="289">
        <v>13049</v>
      </c>
      <c r="I8" s="1385" t="s">
        <v>153</v>
      </c>
      <c r="K8" s="1384" t="s">
        <v>153</v>
      </c>
      <c r="L8" s="1385" t="s">
        <v>153</v>
      </c>
      <c r="M8" s="1386" t="s">
        <v>153</v>
      </c>
      <c r="N8" s="1387" t="s">
        <v>153</v>
      </c>
    </row>
    <row r="9" spans="1:14" ht="23.25" hidden="1" customHeight="1" thickBot="1">
      <c r="A9" s="280">
        <v>1998</v>
      </c>
      <c r="B9" s="1384">
        <v>5440</v>
      </c>
      <c r="C9" s="159">
        <v>5884</v>
      </c>
      <c r="D9" s="289">
        <v>4852</v>
      </c>
      <c r="E9" s="159">
        <v>6728</v>
      </c>
      <c r="F9" s="289">
        <v>10292</v>
      </c>
      <c r="G9" s="1385" t="s">
        <v>153</v>
      </c>
      <c r="H9" s="289">
        <v>12612</v>
      </c>
      <c r="I9" s="1385" t="s">
        <v>153</v>
      </c>
      <c r="K9" s="1384" t="s">
        <v>153</v>
      </c>
      <c r="L9" s="1385" t="s">
        <v>153</v>
      </c>
      <c r="M9" s="1386" t="s">
        <v>153</v>
      </c>
      <c r="N9" s="1387" t="s">
        <v>153</v>
      </c>
    </row>
    <row r="10" spans="1:14" ht="0.5" customHeight="1" thickBot="1">
      <c r="A10" s="280">
        <v>1999</v>
      </c>
      <c r="B10" s="1384">
        <v>5286</v>
      </c>
      <c r="C10" s="159">
        <v>5825</v>
      </c>
      <c r="D10" s="289">
        <v>4444</v>
      </c>
      <c r="E10" s="159">
        <v>6096</v>
      </c>
      <c r="F10" s="289">
        <v>9729</v>
      </c>
      <c r="G10" s="1385" t="s">
        <v>153</v>
      </c>
      <c r="H10" s="289">
        <v>11920</v>
      </c>
      <c r="I10" s="1385" t="s">
        <v>153</v>
      </c>
      <c r="K10" s="1384" t="s">
        <v>153</v>
      </c>
      <c r="L10" s="1385" t="s">
        <v>153</v>
      </c>
      <c r="M10" s="1386" t="s">
        <v>153</v>
      </c>
      <c r="N10" s="1387" t="s">
        <v>153</v>
      </c>
    </row>
    <row r="11" spans="1:14" ht="20" hidden="1" customHeight="1" thickBot="1">
      <c r="A11" s="280">
        <v>2000</v>
      </c>
      <c r="B11" s="1384">
        <v>4367</v>
      </c>
      <c r="C11" s="159">
        <v>4846</v>
      </c>
      <c r="D11" s="289">
        <v>5837</v>
      </c>
      <c r="E11" s="159">
        <v>7246</v>
      </c>
      <c r="F11" s="289">
        <v>10204</v>
      </c>
      <c r="G11" s="1385" t="s">
        <v>153</v>
      </c>
      <c r="H11" s="289">
        <v>12092</v>
      </c>
      <c r="I11" s="1385" t="s">
        <v>153</v>
      </c>
      <c r="K11" s="1384" t="s">
        <v>153</v>
      </c>
      <c r="L11" s="1385" t="s">
        <v>153</v>
      </c>
      <c r="M11" s="1386" t="s">
        <v>153</v>
      </c>
      <c r="N11" s="1387" t="s">
        <v>153</v>
      </c>
    </row>
    <row r="12" spans="1:14" ht="20" hidden="1" customHeight="1" thickBot="1">
      <c r="A12" s="280">
        <v>2001</v>
      </c>
      <c r="B12" s="1384">
        <v>4317</v>
      </c>
      <c r="C12" s="159">
        <v>4736</v>
      </c>
      <c r="D12" s="289">
        <v>3995</v>
      </c>
      <c r="E12" s="159">
        <v>4942</v>
      </c>
      <c r="F12" s="289">
        <v>8312</v>
      </c>
      <c r="G12" s="1385" t="s">
        <v>153</v>
      </c>
      <c r="H12" s="289">
        <v>9678</v>
      </c>
      <c r="I12" s="1385" t="s">
        <v>153</v>
      </c>
      <c r="K12" s="1384" t="s">
        <v>153</v>
      </c>
      <c r="L12" s="1385" t="s">
        <v>153</v>
      </c>
      <c r="M12" s="1386" t="s">
        <v>153</v>
      </c>
      <c r="N12" s="1387" t="s">
        <v>153</v>
      </c>
    </row>
    <row r="13" spans="1:14" ht="20" hidden="1" customHeight="1" thickBot="1">
      <c r="A13" s="280">
        <v>2002</v>
      </c>
      <c r="B13" s="1384">
        <v>4346</v>
      </c>
      <c r="C13" s="159">
        <v>4839</v>
      </c>
      <c r="D13" s="289">
        <v>3951</v>
      </c>
      <c r="E13" s="159">
        <v>4838</v>
      </c>
      <c r="F13" s="289">
        <v>8297</v>
      </c>
      <c r="G13" s="1385" t="s">
        <v>153</v>
      </c>
      <c r="H13" s="289">
        <v>9677</v>
      </c>
      <c r="I13" s="1385" t="s">
        <v>153</v>
      </c>
      <c r="K13" s="1384" t="s">
        <v>153</v>
      </c>
      <c r="L13" s="1385" t="s">
        <v>153</v>
      </c>
      <c r="M13" s="1386" t="s">
        <v>153</v>
      </c>
      <c r="N13" s="1387" t="s">
        <v>153</v>
      </c>
    </row>
    <row r="14" spans="1:14" ht="20" customHeight="1" thickBot="1">
      <c r="A14" s="280">
        <v>2003</v>
      </c>
      <c r="B14" s="1384">
        <v>5023</v>
      </c>
      <c r="C14" s="159">
        <v>5690</v>
      </c>
      <c r="D14" s="289">
        <v>2968</v>
      </c>
      <c r="E14" s="159">
        <v>3779</v>
      </c>
      <c r="F14" s="289">
        <v>7991</v>
      </c>
      <c r="G14" s="1385" t="s">
        <v>153</v>
      </c>
      <c r="H14" s="289">
        <v>9469</v>
      </c>
      <c r="I14" s="1385" t="s">
        <v>153</v>
      </c>
      <c r="K14" s="1384" t="s">
        <v>153</v>
      </c>
      <c r="L14" s="1385" t="s">
        <v>153</v>
      </c>
      <c r="M14" s="1386" t="s">
        <v>153</v>
      </c>
      <c r="N14" s="1387" t="s">
        <v>153</v>
      </c>
    </row>
    <row r="15" spans="1:14" ht="20" customHeight="1" thickBot="1">
      <c r="A15" s="280">
        <v>2004</v>
      </c>
      <c r="B15" s="1384">
        <v>5428</v>
      </c>
      <c r="C15" s="159">
        <v>6333</v>
      </c>
      <c r="D15" s="289">
        <v>2801</v>
      </c>
      <c r="E15" s="159">
        <v>3511</v>
      </c>
      <c r="F15" s="289">
        <v>8229</v>
      </c>
      <c r="G15" s="1385" t="s">
        <v>153</v>
      </c>
      <c r="H15" s="289">
        <v>9844</v>
      </c>
      <c r="I15" s="1385" t="s">
        <v>153</v>
      </c>
      <c r="K15" s="1384" t="s">
        <v>153</v>
      </c>
      <c r="L15" s="1385" t="s">
        <v>153</v>
      </c>
      <c r="M15" s="1386" t="s">
        <v>153</v>
      </c>
      <c r="N15" s="1387" t="s">
        <v>153</v>
      </c>
    </row>
    <row r="16" spans="1:14" ht="20" customHeight="1" thickBot="1">
      <c r="A16" s="280">
        <v>2005</v>
      </c>
      <c r="B16" s="1384">
        <v>5554</v>
      </c>
      <c r="C16" s="159">
        <v>6193</v>
      </c>
      <c r="D16" s="289">
        <v>3178</v>
      </c>
      <c r="E16" s="159">
        <v>3889</v>
      </c>
      <c r="F16" s="289">
        <v>8732</v>
      </c>
      <c r="G16" s="1385" t="s">
        <v>153</v>
      </c>
      <c r="H16" s="289">
        <v>10082</v>
      </c>
      <c r="I16" s="1385" t="s">
        <v>153</v>
      </c>
      <c r="K16" s="1384" t="s">
        <v>153</v>
      </c>
      <c r="L16" s="1385" t="s">
        <v>153</v>
      </c>
      <c r="M16" s="1386" t="s">
        <v>153</v>
      </c>
      <c r="N16" s="1387" t="s">
        <v>153</v>
      </c>
    </row>
    <row r="17" spans="1:16" ht="20" customHeight="1" thickBot="1">
      <c r="A17" s="280">
        <v>2006</v>
      </c>
      <c r="B17" s="1384">
        <v>5770</v>
      </c>
      <c r="C17" s="159">
        <v>6389</v>
      </c>
      <c r="D17" s="289">
        <v>3049</v>
      </c>
      <c r="E17" s="159">
        <v>3717</v>
      </c>
      <c r="F17" s="289">
        <v>8819</v>
      </c>
      <c r="G17" s="1385" t="s">
        <v>153</v>
      </c>
      <c r="H17" s="289">
        <v>10106</v>
      </c>
      <c r="I17" s="1385" t="s">
        <v>153</v>
      </c>
      <c r="K17" s="1384" t="s">
        <v>153</v>
      </c>
      <c r="L17" s="1385" t="s">
        <v>153</v>
      </c>
      <c r="M17" s="1386" t="s">
        <v>153</v>
      </c>
      <c r="N17" s="1387" t="s">
        <v>153</v>
      </c>
    </row>
    <row r="18" spans="1:16" ht="20" customHeight="1" thickBot="1">
      <c r="A18" s="280">
        <v>2007</v>
      </c>
      <c r="B18" s="1384">
        <v>7087</v>
      </c>
      <c r="C18" s="159">
        <v>7977</v>
      </c>
      <c r="D18" s="289">
        <v>3002</v>
      </c>
      <c r="E18" s="159">
        <v>3628</v>
      </c>
      <c r="F18" s="289">
        <v>10089</v>
      </c>
      <c r="G18" s="159">
        <v>702</v>
      </c>
      <c r="H18" s="289">
        <v>11605</v>
      </c>
      <c r="I18" s="159">
        <v>689</v>
      </c>
      <c r="K18" s="281">
        <v>832.84199999999998</v>
      </c>
      <c r="L18" s="282">
        <v>99.68</v>
      </c>
      <c r="M18" s="1339">
        <v>87877.15912059712</v>
      </c>
      <c r="N18" s="1371">
        <v>172150.46913302015</v>
      </c>
    </row>
    <row r="19" spans="1:16" ht="20" customHeight="1" thickBot="1">
      <c r="A19" s="280">
        <v>2008</v>
      </c>
      <c r="B19" s="1384">
        <v>7011.76</v>
      </c>
      <c r="C19" s="159">
        <v>8068.23</v>
      </c>
      <c r="D19" s="289">
        <v>2796.16</v>
      </c>
      <c r="E19" s="159">
        <v>3914.2</v>
      </c>
      <c r="F19" s="289">
        <v>9807.92</v>
      </c>
      <c r="G19" s="159">
        <v>542.97</v>
      </c>
      <c r="H19" s="289">
        <v>11982.43</v>
      </c>
      <c r="I19" s="159">
        <v>630.20000000000005</v>
      </c>
      <c r="K19" s="281">
        <v>578.09929999999997</v>
      </c>
      <c r="L19" s="282">
        <v>61.971699999999998</v>
      </c>
      <c r="M19" s="1339">
        <v>87494.52836879433</v>
      </c>
      <c r="N19" s="1371">
        <v>150903.96050356733</v>
      </c>
    </row>
    <row r="20" spans="1:16" ht="20" customHeight="1" thickBot="1">
      <c r="A20" s="280">
        <v>2009</v>
      </c>
      <c r="B20" s="1384">
        <v>7104.1</v>
      </c>
      <c r="C20" s="159">
        <v>8234</v>
      </c>
      <c r="D20" s="289">
        <v>2676.38</v>
      </c>
      <c r="E20" s="159">
        <v>3912</v>
      </c>
      <c r="F20" s="289">
        <v>9780.48</v>
      </c>
      <c r="G20" s="159">
        <v>334.41</v>
      </c>
      <c r="H20" s="289">
        <v>12146</v>
      </c>
      <c r="I20" s="159">
        <v>436</v>
      </c>
      <c r="K20" s="281">
        <v>581.29669999999999</v>
      </c>
      <c r="L20" s="282">
        <v>35.061199999999999</v>
      </c>
      <c r="M20" s="1339">
        <v>86570.241074114543</v>
      </c>
      <c r="N20" s="1371">
        <v>161757.10896750502</v>
      </c>
    </row>
    <row r="21" spans="1:16" ht="20" customHeight="1" thickBot="1">
      <c r="A21" s="280">
        <v>2010</v>
      </c>
      <c r="B21" s="1384">
        <v>7281.82</v>
      </c>
      <c r="C21" s="159">
        <v>8352.0499999999993</v>
      </c>
      <c r="D21" s="289">
        <v>2803.23</v>
      </c>
      <c r="E21" s="159">
        <v>3867.44</v>
      </c>
      <c r="F21" s="289">
        <v>10085.049999999999</v>
      </c>
      <c r="G21" s="159">
        <v>317.44</v>
      </c>
      <c r="H21" s="289">
        <v>12219.49</v>
      </c>
      <c r="I21" s="159">
        <v>422.42</v>
      </c>
      <c r="K21" s="281">
        <v>621.44240000000002</v>
      </c>
      <c r="L21" s="282">
        <v>36.380200000000002</v>
      </c>
      <c r="M21" s="1339">
        <v>84055.261236585749</v>
      </c>
      <c r="N21" s="1371">
        <v>196328.26290875449</v>
      </c>
    </row>
    <row r="22" spans="1:16" ht="20" customHeight="1" thickBot="1">
      <c r="A22" s="280">
        <v>2011</v>
      </c>
      <c r="B22" s="1384">
        <v>7477.74</v>
      </c>
      <c r="C22" s="159">
        <v>8573</v>
      </c>
      <c r="D22" s="289">
        <v>2847</v>
      </c>
      <c r="E22" s="159">
        <v>3954</v>
      </c>
      <c r="F22" s="289">
        <v>10324.74</v>
      </c>
      <c r="G22" s="159">
        <v>317.14999999999998</v>
      </c>
      <c r="H22" s="289">
        <v>12527</v>
      </c>
      <c r="I22" s="159">
        <v>426</v>
      </c>
      <c r="K22" s="281">
        <v>654.30050000000006</v>
      </c>
      <c r="L22" s="282">
        <v>44.025700000000001</v>
      </c>
      <c r="M22" s="1339">
        <v>85727.155125020334</v>
      </c>
      <c r="N22" s="1371">
        <v>197461.39267886861</v>
      </c>
    </row>
    <row r="23" spans="1:16" ht="20" customHeight="1" thickBot="1">
      <c r="A23" s="280">
        <v>2012</v>
      </c>
      <c r="B23" s="1384">
        <v>7604.77</v>
      </c>
      <c r="C23" s="159">
        <v>8711.07</v>
      </c>
      <c r="D23" s="289">
        <v>2688.79</v>
      </c>
      <c r="E23" s="159">
        <v>3780.24</v>
      </c>
      <c r="F23" s="289">
        <v>10293.560000000001</v>
      </c>
      <c r="G23" s="159">
        <v>378.56</v>
      </c>
      <c r="H23" s="289">
        <v>12491.31</v>
      </c>
      <c r="I23" s="159">
        <v>465.92</v>
      </c>
      <c r="K23" s="281">
        <v>655.05834000000004</v>
      </c>
      <c r="L23" s="282">
        <v>45.07611</v>
      </c>
      <c r="M23" s="1339">
        <v>86894.359012861896</v>
      </c>
      <c r="N23" s="1371">
        <v>169051.51436890275</v>
      </c>
    </row>
    <row r="24" spans="1:16" ht="24" customHeight="1" thickBot="1">
      <c r="A24" s="354">
        <v>2013</v>
      </c>
      <c r="B24" s="1388">
        <v>7900.48</v>
      </c>
      <c r="C24" s="291">
        <v>9033.1299999999992</v>
      </c>
      <c r="D24" s="290">
        <v>2710.78</v>
      </c>
      <c r="E24" s="291">
        <v>3759.85</v>
      </c>
      <c r="F24" s="290">
        <v>10611.26</v>
      </c>
      <c r="G24" s="291">
        <v>530.92999999999995</v>
      </c>
      <c r="H24" s="290">
        <v>12792.98</v>
      </c>
      <c r="I24" s="244">
        <v>600.52</v>
      </c>
      <c r="K24" s="325">
        <v>694.84271999999999</v>
      </c>
      <c r="L24" s="527">
        <v>64.249759999999995</v>
      </c>
      <c r="M24" s="1389">
        <v>88844.22957302921</v>
      </c>
      <c r="N24" s="1390">
        <v>155673.97688505522</v>
      </c>
      <c r="P24" s="17"/>
    </row>
    <row r="25" spans="1:16" ht="20.25" customHeight="1">
      <c r="A25" s="189" t="s">
        <v>346</v>
      </c>
      <c r="B25" s="374"/>
      <c r="C25" s="374"/>
      <c r="D25" s="374"/>
      <c r="E25" s="374"/>
      <c r="F25" s="374"/>
      <c r="G25" s="374"/>
      <c r="H25" s="1391"/>
    </row>
    <row r="26" spans="1:16" ht="14.25" customHeight="1">
      <c r="A26" s="461"/>
      <c r="B26" s="461"/>
      <c r="C26" s="461"/>
      <c r="D26" s="461"/>
      <c r="E26" s="461"/>
      <c r="F26" s="461"/>
      <c r="G26" s="461"/>
      <c r="H26" s="1392"/>
    </row>
    <row r="27" spans="1:16">
      <c r="A27" s="3" t="s">
        <v>2084</v>
      </c>
    </row>
    <row r="28" spans="1:16">
      <c r="A28" s="3" t="s">
        <v>2085</v>
      </c>
    </row>
    <row r="29" spans="1:16">
      <c r="A29" s="3" t="s">
        <v>2086</v>
      </c>
    </row>
    <row r="30" spans="1:16">
      <c r="A30" s="17" t="s">
        <v>2087</v>
      </c>
    </row>
    <row r="32" spans="1:16">
      <c r="A32" s="3" t="s">
        <v>2088</v>
      </c>
    </row>
    <row r="35" spans="1:1">
      <c r="A35" s="3" t="s">
        <v>302</v>
      </c>
    </row>
  </sheetData>
  <mergeCells count="6">
    <mergeCell ref="B3:C3"/>
    <mergeCell ref="D3:E3"/>
    <mergeCell ref="F3:G3"/>
    <mergeCell ref="H3:I3"/>
    <mergeCell ref="K3:L3"/>
    <mergeCell ref="M3:N3"/>
  </mergeCells>
  <pageMargins left="0.49" right="0.54" top="0.72" bottom="0.49" header="0.56000000000000005" footer="0.4921259845"/>
  <pageSetup paperSize="9" scale="80" orientation="landscape" horizontalDpi="2400" verticalDpi="2400"/>
  <headerFooter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50BC-A883-1D49-8E08-CE7EB0270F99}">
  <sheetPr>
    <pageSetUpPr fitToPage="1"/>
  </sheetPr>
  <dimension ref="A1:K35"/>
  <sheetViews>
    <sheetView zoomScaleNormal="100" workbookViewId="0">
      <selection activeCell="A3" sqref="A3"/>
    </sheetView>
  </sheetViews>
  <sheetFormatPr baseColWidth="10" defaultColWidth="11.3984375" defaultRowHeight="13"/>
  <cols>
    <col min="1" max="1" width="15.59765625" style="3" customWidth="1"/>
    <col min="2" max="2" width="15.3984375" style="3" customWidth="1"/>
    <col min="3" max="3" width="15.3984375" style="530" customWidth="1"/>
    <col min="4" max="4" width="15.3984375" style="3" customWidth="1"/>
    <col min="5" max="5" width="15.3984375" style="530" customWidth="1"/>
    <col min="6" max="6" width="15.3984375" style="3" customWidth="1"/>
    <col min="7" max="7" width="15.3984375" style="530" customWidth="1"/>
    <col min="8" max="8" width="6.59765625" style="3" customWidth="1"/>
    <col min="9" max="16384" width="11.3984375" style="3"/>
  </cols>
  <sheetData>
    <row r="1" spans="1:11" s="1" customFormat="1" ht="14" customHeight="1">
      <c r="C1" s="518"/>
      <c r="E1" s="518"/>
      <c r="G1" s="518"/>
    </row>
    <row r="2" spans="1:11" s="1" customFormat="1" ht="24" customHeight="1">
      <c r="A2" s="223" t="s">
        <v>943</v>
      </c>
      <c r="C2" s="518"/>
      <c r="E2" s="518"/>
      <c r="G2" s="327"/>
    </row>
    <row r="3" spans="1:11" ht="24" customHeight="1">
      <c r="A3" s="224" t="s">
        <v>474</v>
      </c>
      <c r="B3" s="267" t="s">
        <v>595</v>
      </c>
      <c r="C3" s="519" t="s">
        <v>475</v>
      </c>
      <c r="D3" s="267" t="s">
        <v>596</v>
      </c>
      <c r="E3" s="519" t="s">
        <v>475</v>
      </c>
      <c r="F3" s="267" t="s">
        <v>597</v>
      </c>
      <c r="G3" s="519" t="s">
        <v>475</v>
      </c>
    </row>
    <row r="4" spans="1:11" ht="15" customHeight="1">
      <c r="A4" s="269"/>
      <c r="B4" s="270" t="s">
        <v>597</v>
      </c>
      <c r="C4" s="521" t="s">
        <v>476</v>
      </c>
      <c r="D4" s="270" t="s">
        <v>598</v>
      </c>
      <c r="E4" s="521" t="s">
        <v>476</v>
      </c>
      <c r="F4" s="270" t="s">
        <v>599</v>
      </c>
      <c r="G4" s="521" t="s">
        <v>476</v>
      </c>
    </row>
    <row r="5" spans="1:11" ht="15" customHeight="1">
      <c r="A5" s="269"/>
      <c r="B5" s="270" t="s">
        <v>600</v>
      </c>
      <c r="C5" s="521" t="s">
        <v>477</v>
      </c>
      <c r="D5" s="270" t="s">
        <v>601</v>
      </c>
      <c r="E5" s="521" t="s">
        <v>477</v>
      </c>
      <c r="F5" s="270" t="s">
        <v>944</v>
      </c>
      <c r="G5" s="521" t="s">
        <v>477</v>
      </c>
    </row>
    <row r="6" spans="1:11" ht="24" customHeight="1">
      <c r="A6" s="273"/>
      <c r="B6" s="274"/>
      <c r="C6" s="471"/>
      <c r="D6" s="274" t="s">
        <v>614</v>
      </c>
      <c r="E6" s="471"/>
      <c r="F6" s="274"/>
      <c r="G6" s="471"/>
    </row>
    <row r="7" spans="1:11" ht="2.25" customHeight="1" thickBot="1">
      <c r="A7" s="277">
        <v>1996</v>
      </c>
      <c r="B7" s="287">
        <v>16879.057940520001</v>
      </c>
      <c r="C7" s="308">
        <v>3.1990175768496547E-2</v>
      </c>
      <c r="D7" s="287">
        <v>17192.470827740002</v>
      </c>
      <c r="E7" s="308">
        <v>6.792517720196245E-2</v>
      </c>
      <c r="F7" s="287">
        <v>-313.41288724000009</v>
      </c>
      <c r="G7" s="308">
        <v>-2.2198566405891191</v>
      </c>
      <c r="I7" s="8"/>
      <c r="J7" s="8"/>
      <c r="K7" s="8"/>
    </row>
    <row r="8" spans="1:11" ht="0.75" hidden="1" customHeight="1" thickBot="1">
      <c r="A8" s="280">
        <v>1997</v>
      </c>
      <c r="B8" s="289">
        <v>17865.03228775</v>
      </c>
      <c r="C8" s="309">
        <v>5.8414062603758345E-2</v>
      </c>
      <c r="D8" s="289">
        <v>17672.056997619999</v>
      </c>
      <c r="E8" s="309">
        <v>2.7895127738485698E-2</v>
      </c>
      <c r="F8" s="289">
        <v>192.97529009999997</v>
      </c>
      <c r="G8" s="309">
        <v>1.6157222563481464</v>
      </c>
    </row>
    <row r="9" spans="1:11" ht="0.75" hidden="1" customHeight="1" thickBot="1">
      <c r="A9" s="280">
        <v>1998</v>
      </c>
      <c r="B9" s="289">
        <v>18556.3398476</v>
      </c>
      <c r="C9" s="309">
        <v>3.8696127088671844E-2</v>
      </c>
      <c r="D9" s="289">
        <v>18402.610160249998</v>
      </c>
      <c r="E9" s="309">
        <v>4.1339452601832818E-2</v>
      </c>
      <c r="F9" s="289">
        <v>153.72876116999998</v>
      </c>
      <c r="G9" s="309">
        <v>-0.20337592916514025</v>
      </c>
    </row>
    <row r="10" spans="1:11" ht="19.25" hidden="1" customHeight="1" thickBot="1">
      <c r="A10" s="280">
        <v>1999</v>
      </c>
      <c r="B10" s="289">
        <v>18130.009685380002</v>
      </c>
      <c r="C10" s="309">
        <v>-2.2974905920099209E-2</v>
      </c>
      <c r="D10" s="289">
        <v>18002.60641059</v>
      </c>
      <c r="E10" s="309">
        <v>-2.1736250791423828E-2</v>
      </c>
      <c r="F10" s="289">
        <v>127.40327493000001</v>
      </c>
      <c r="G10" s="309">
        <v>-0.17124633048260957</v>
      </c>
    </row>
    <row r="11" spans="1:11" ht="19.25" hidden="1" customHeight="1" thickBot="1">
      <c r="A11" s="280">
        <v>2000</v>
      </c>
      <c r="B11" s="281">
        <v>17664.531028940004</v>
      </c>
      <c r="C11" s="309">
        <v>-2.5674484708927636E-2</v>
      </c>
      <c r="D11" s="281">
        <v>17831.851511680001</v>
      </c>
      <c r="E11" s="309">
        <v>-9.4850098377728953E-3</v>
      </c>
      <c r="F11" s="281">
        <v>-167.29975024999999</v>
      </c>
      <c r="G11" s="309">
        <v>-2.3131510971120686</v>
      </c>
    </row>
    <row r="12" spans="1:11" ht="19.5" hidden="1" customHeight="1" thickBot="1">
      <c r="A12" s="280">
        <v>2001</v>
      </c>
      <c r="B12" s="281">
        <v>16854.501682999999</v>
      </c>
      <c r="C12" s="309">
        <v>-4.5856261035910006E-2</v>
      </c>
      <c r="D12" s="281">
        <v>17581.378779999999</v>
      </c>
      <c r="E12" s="309">
        <v>-1.4046367059300624E-2</v>
      </c>
      <c r="F12" s="281">
        <v>-724.67685832999996</v>
      </c>
      <c r="G12" s="309">
        <v>-3.3316075322712564</v>
      </c>
    </row>
    <row r="13" spans="1:11" ht="19.5" hidden="1" customHeight="1" thickBot="1">
      <c r="A13" s="280">
        <v>2002</v>
      </c>
      <c r="B13" s="281">
        <v>17923.033692000001</v>
      </c>
      <c r="C13" s="309">
        <v>6.3397425156613174E-2</v>
      </c>
      <c r="D13" s="281">
        <v>18156.411305000001</v>
      </c>
      <c r="E13" s="309">
        <v>3.2706907245189543E-2</v>
      </c>
      <c r="F13" s="281">
        <v>-233.37761233999998</v>
      </c>
      <c r="G13" s="309">
        <v>0.67795630610060742</v>
      </c>
    </row>
    <row r="14" spans="1:11" ht="19.5" customHeight="1" thickBot="1">
      <c r="A14" s="280">
        <v>2003</v>
      </c>
      <c r="B14" s="281">
        <v>19735.068495</v>
      </c>
      <c r="C14" s="309">
        <v>0.10110089810347267</v>
      </c>
      <c r="D14" s="281">
        <v>19234.994873</v>
      </c>
      <c r="E14" s="309">
        <v>5.9405107643875299E-2</v>
      </c>
      <c r="F14" s="281">
        <v>500.07362212000004</v>
      </c>
      <c r="G14" s="309">
        <v>3.1427660395782078</v>
      </c>
    </row>
    <row r="15" spans="1:11" ht="19.5" customHeight="1" thickBot="1">
      <c r="A15" s="280">
        <v>2004</v>
      </c>
      <c r="B15" s="281">
        <v>20469.211171999999</v>
      </c>
      <c r="C15" s="309">
        <v>3.7199905193437743E-2</v>
      </c>
      <c r="D15" s="281">
        <v>19860.79033</v>
      </c>
      <c r="E15" s="309">
        <v>3.2534214910471482E-2</v>
      </c>
      <c r="F15" s="281">
        <v>608.42084196000008</v>
      </c>
      <c r="G15" s="309">
        <v>0.21666253736934862</v>
      </c>
    </row>
    <row r="16" spans="1:11" ht="19.5" customHeight="1" thickBot="1">
      <c r="A16" s="280">
        <v>2005</v>
      </c>
      <c r="B16" s="281">
        <v>21134.645651759998</v>
      </c>
      <c r="C16" s="309">
        <v>3.2509043664088688E-2</v>
      </c>
      <c r="D16" s="281">
        <v>20885.686091</v>
      </c>
      <c r="E16" s="309">
        <v>5.1603976678203045E-2</v>
      </c>
      <c r="F16" s="281">
        <v>248.95956138999998</v>
      </c>
      <c r="G16" s="309">
        <v>-0.59081026779426549</v>
      </c>
    </row>
    <row r="17" spans="1:9" ht="19.5" customHeight="1" thickBot="1">
      <c r="A17" s="280">
        <v>2006</v>
      </c>
      <c r="B17" s="281">
        <v>21891.095507740003</v>
      </c>
      <c r="C17" s="309">
        <v>3.5791934648168988E-2</v>
      </c>
      <c r="D17" s="281">
        <v>21334.273675</v>
      </c>
      <c r="E17" s="309">
        <v>2.147823069088961E-2</v>
      </c>
      <c r="F17" s="281">
        <v>556.82183227999997</v>
      </c>
      <c r="G17" s="309">
        <v>1.2365954903323748</v>
      </c>
    </row>
    <row r="18" spans="1:9" ht="19.5" customHeight="1" thickBot="1">
      <c r="A18" s="280">
        <v>2007</v>
      </c>
      <c r="B18" s="281">
        <v>22327.610027520001</v>
      </c>
      <c r="C18" s="309">
        <v>1.9940277526342198E-2</v>
      </c>
      <c r="D18" s="281">
        <v>22091.411327379999</v>
      </c>
      <c r="E18" s="309">
        <v>3.5489263141272653E-2</v>
      </c>
      <c r="F18" s="281">
        <v>236.19870014000003</v>
      </c>
      <c r="G18" s="309">
        <v>-0.57580919704091882</v>
      </c>
    </row>
    <row r="19" spans="1:9" ht="19.5" customHeight="1" thickBot="1">
      <c r="A19" s="280">
        <v>2008</v>
      </c>
      <c r="B19" s="281">
        <v>22243.624231310001</v>
      </c>
      <c r="C19" s="309">
        <v>-3.761521994807393E-3</v>
      </c>
      <c r="D19" s="281">
        <v>22986.427970659999</v>
      </c>
      <c r="E19" s="309">
        <v>4.0514235601177617E-2</v>
      </c>
      <c r="F19" s="281">
        <v>-742.80373934999989</v>
      </c>
      <c r="G19" s="309">
        <v>-4.1448256866347029</v>
      </c>
    </row>
    <row r="20" spans="1:9" ht="19.5" customHeight="1" thickBot="1">
      <c r="A20" s="280">
        <v>2009</v>
      </c>
      <c r="B20" s="281">
        <v>23404.08514187</v>
      </c>
      <c r="C20" s="309">
        <v>5.217049607080404E-2</v>
      </c>
      <c r="D20" s="281">
        <v>23827.526591220001</v>
      </c>
      <c r="E20" s="309">
        <v>3.6591097217609558E-2</v>
      </c>
      <c r="F20" s="281">
        <v>-423.44144935000003</v>
      </c>
      <c r="G20" s="309">
        <v>0.42994168322235699</v>
      </c>
    </row>
    <row r="21" spans="1:9" ht="19.5" customHeight="1" thickBot="1">
      <c r="A21" s="280">
        <v>2010</v>
      </c>
      <c r="B21" s="281">
        <v>25088.370668240004</v>
      </c>
      <c r="C21" s="309">
        <v>7.1965450311783918E-2</v>
      </c>
      <c r="D21" s="281">
        <v>24788.780569209994</v>
      </c>
      <c r="E21" s="309">
        <v>4.0342163686607702E-2</v>
      </c>
      <c r="F21" s="281">
        <v>299.59009902999998</v>
      </c>
      <c r="G21" s="309">
        <v>1.707512454177273</v>
      </c>
    </row>
    <row r="22" spans="1:9" ht="19.5" customHeight="1" thickBot="1">
      <c r="A22" s="280">
        <v>2011</v>
      </c>
      <c r="B22" s="281">
        <v>25928.84879041</v>
      </c>
      <c r="C22" s="309">
        <v>3.3500705696842159E-2</v>
      </c>
      <c r="D22" s="281">
        <v>25308.609307279999</v>
      </c>
      <c r="E22" s="309">
        <v>2.0970323111241695E-2</v>
      </c>
      <c r="F22" s="281">
        <v>620.23948312999994</v>
      </c>
      <c r="G22" s="309">
        <v>1.0702936617003862</v>
      </c>
    </row>
    <row r="23" spans="1:9" ht="19.5" customHeight="1" thickBot="1">
      <c r="A23" s="280">
        <v>2012</v>
      </c>
      <c r="B23" s="281" vm="333">
        <v>27556.097833810003</v>
      </c>
      <c r="C23" s="309">
        <v>6.2758244939970176E-2</v>
      </c>
      <c r="D23" s="281" vm="341">
        <v>26485.736212660002</v>
      </c>
      <c r="E23" s="309">
        <v>4.6510928004305674E-2</v>
      </c>
      <c r="F23" s="281" vm="333">
        <v>1070.3616211500002</v>
      </c>
      <c r="G23" s="309">
        <v>0.7257231283446951</v>
      </c>
    </row>
    <row r="24" spans="1:9" s="185" customFormat="1" ht="26.25" customHeight="1" thickBot="1">
      <c r="A24" s="391">
        <v>2013</v>
      </c>
      <c r="B24" s="524" vm="333">
        <v>27312.084610350001</v>
      </c>
      <c r="C24" s="310">
        <v>-8.8551443289118792E-3</v>
      </c>
      <c r="D24" s="524" vm="341">
        <v>27379.782778560002</v>
      </c>
      <c r="E24" s="310">
        <v>3.3755775513336639E-2</v>
      </c>
      <c r="F24" s="524" vm="333">
        <v>-67.698168209998343</v>
      </c>
      <c r="G24" s="310">
        <v>-1.063247940576628</v>
      </c>
      <c r="I24" s="535"/>
    </row>
    <row r="25" spans="1:9" ht="20" customHeight="1">
      <c r="A25" s="189" t="s">
        <v>346</v>
      </c>
      <c r="B25" s="189"/>
      <c r="C25" s="528"/>
      <c r="D25" s="189"/>
      <c r="E25" s="528"/>
      <c r="F25" s="189"/>
      <c r="G25" s="528"/>
    </row>
    <row r="26" spans="1:9" ht="13.5" customHeight="1">
      <c r="A26" s="219"/>
      <c r="B26" s="219"/>
      <c r="C26" s="529"/>
      <c r="D26" s="219"/>
      <c r="E26" s="529"/>
      <c r="F26" s="219"/>
      <c r="G26" s="529"/>
    </row>
    <row r="27" spans="1:9">
      <c r="A27" s="219" t="s">
        <v>945</v>
      </c>
    </row>
    <row r="28" spans="1:9">
      <c r="A28" s="3" t="s">
        <v>620</v>
      </c>
    </row>
    <row r="29" spans="1:9">
      <c r="A29" s="3" t="s">
        <v>946</v>
      </c>
    </row>
    <row r="30" spans="1:9">
      <c r="A30" s="3" t="s">
        <v>947</v>
      </c>
    </row>
    <row r="32" spans="1:9">
      <c r="A32" s="78" t="s">
        <v>948</v>
      </c>
    </row>
    <row r="35" spans="1:1">
      <c r="A35" s="3" t="s">
        <v>302</v>
      </c>
    </row>
  </sheetData>
  <pageMargins left="0.55000000000000004" right="0.28999999999999998" top="1.1000000000000001" bottom="0.49" header="0.59" footer="0.4921259845"/>
  <pageSetup paperSize="9" scale="83" orientation="portrait" horizontalDpi="4294967292" verticalDpi="4294967292"/>
  <headerFooter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10B4E-9B4F-2044-826F-702248C5CC2F}">
  <sheetPr>
    <pageSetUpPr fitToPage="1"/>
  </sheetPr>
  <dimension ref="A1:H82"/>
  <sheetViews>
    <sheetView zoomScaleNormal="100" workbookViewId="0">
      <selection activeCell="B35" sqref="B35"/>
    </sheetView>
  </sheetViews>
  <sheetFormatPr baseColWidth="10" defaultColWidth="11.3984375" defaultRowHeight="13"/>
  <cols>
    <col min="1" max="1" width="16.3984375" style="3" customWidth="1"/>
    <col min="2" max="2" width="83.59765625" style="245" customWidth="1"/>
    <col min="3" max="3" width="7.19921875" style="245" customWidth="1"/>
    <col min="4" max="4" width="21.3984375" style="246" customWidth="1"/>
    <col min="5" max="16384" width="11.3984375" style="3"/>
  </cols>
  <sheetData>
    <row r="1" spans="1:8" s="1" customFormat="1" ht="14" customHeight="1">
      <c r="B1" s="221"/>
      <c r="C1" s="221"/>
      <c r="D1" s="222"/>
    </row>
    <row r="2" spans="1:8" s="1" customFormat="1" ht="24" customHeight="1">
      <c r="A2" s="2010" t="s">
        <v>908</v>
      </c>
      <c r="B2" s="2011"/>
      <c r="C2" s="221"/>
      <c r="D2" s="223">
        <v>2013</v>
      </c>
    </row>
    <row r="3" spans="1:8" ht="28.75" customHeight="1">
      <c r="A3" s="224" t="s">
        <v>380</v>
      </c>
      <c r="B3" s="224"/>
      <c r="C3" s="225"/>
      <c r="D3" s="226" t="s">
        <v>381</v>
      </c>
    </row>
    <row r="4" spans="1:8" ht="28.75" customHeight="1">
      <c r="A4" s="513"/>
      <c r="B4" s="228"/>
      <c r="C4" s="229"/>
      <c r="D4" s="230" t="s">
        <v>382</v>
      </c>
    </row>
    <row r="5" spans="1:8" ht="18" customHeight="1" thickBot="1">
      <c r="A5" s="514"/>
      <c r="B5" s="502" t="s">
        <v>391</v>
      </c>
      <c r="C5" s="232"/>
      <c r="D5" s="233" t="s">
        <v>390</v>
      </c>
      <c r="F5" s="43"/>
      <c r="G5" s="43"/>
      <c r="H5" s="43"/>
    </row>
    <row r="6" spans="1:8" ht="18" customHeight="1" thickBot="1">
      <c r="A6" s="531">
        <v>30</v>
      </c>
      <c r="B6" s="234" t="s">
        <v>384</v>
      </c>
      <c r="C6" s="235"/>
      <c r="D6" s="233" vm="342">
        <v>26976119267.320004</v>
      </c>
      <c r="F6" s="43"/>
      <c r="G6" s="43"/>
      <c r="H6" s="43"/>
    </row>
    <row r="7" spans="1:8" ht="18" customHeight="1" thickBot="1">
      <c r="A7" s="531">
        <v>300</v>
      </c>
      <c r="B7" s="234" t="s">
        <v>909</v>
      </c>
      <c r="C7" s="235"/>
      <c r="D7" s="233" vm="171">
        <v>248172330.23000002</v>
      </c>
      <c r="F7" s="43"/>
      <c r="G7" s="43"/>
      <c r="H7" s="43"/>
    </row>
    <row r="8" spans="1:8" ht="18" customHeight="1" thickBot="1">
      <c r="A8" s="531">
        <v>301</v>
      </c>
      <c r="B8" s="234" t="s">
        <v>910</v>
      </c>
      <c r="C8" s="235"/>
      <c r="D8" s="233" vm="4">
        <v>25138873790.889996</v>
      </c>
      <c r="F8" s="43"/>
      <c r="G8" s="43"/>
      <c r="H8" s="43"/>
    </row>
    <row r="9" spans="1:8" ht="18" customHeight="1" thickBot="1">
      <c r="A9" s="531">
        <v>3010</v>
      </c>
      <c r="B9" s="234" t="s">
        <v>911</v>
      </c>
      <c r="C9" s="235"/>
      <c r="D9" s="233" vm="26">
        <v>6876623992.3200016</v>
      </c>
      <c r="F9" s="43"/>
      <c r="G9" s="43"/>
      <c r="H9" s="43"/>
    </row>
    <row r="10" spans="1:8" ht="18" customHeight="1" thickBot="1">
      <c r="A10" s="531">
        <v>3011</v>
      </c>
      <c r="B10" s="234" t="s">
        <v>912</v>
      </c>
      <c r="C10" s="235"/>
      <c r="D10" s="233" vm="132">
        <v>154551857.19</v>
      </c>
      <c r="F10" s="43"/>
      <c r="G10" s="43"/>
      <c r="H10" s="43"/>
    </row>
    <row r="11" spans="1:8" ht="18" customHeight="1" thickBot="1">
      <c r="A11" s="531">
        <v>3012</v>
      </c>
      <c r="B11" s="234" t="s">
        <v>913</v>
      </c>
      <c r="C11" s="235"/>
      <c r="D11" s="233" vm="49">
        <v>4718013408.2600002</v>
      </c>
      <c r="F11" s="43"/>
      <c r="G11" s="43"/>
      <c r="H11" s="43"/>
    </row>
    <row r="12" spans="1:8" ht="18" customHeight="1" thickBot="1">
      <c r="A12" s="531">
        <v>3013</v>
      </c>
      <c r="B12" s="234" t="s">
        <v>914</v>
      </c>
      <c r="C12" s="235"/>
      <c r="D12" s="233" vm="69">
        <v>15425243.289999999</v>
      </c>
      <c r="F12" s="43"/>
      <c r="G12" s="43"/>
      <c r="H12" s="43"/>
    </row>
    <row r="13" spans="1:8" ht="18" customHeight="1" thickBot="1">
      <c r="A13" s="531">
        <v>3014</v>
      </c>
      <c r="B13" s="234" t="s">
        <v>915</v>
      </c>
      <c r="C13" s="235"/>
      <c r="D13" s="233" vm="341">
        <v>1613674321.8400004</v>
      </c>
      <c r="F13" s="43"/>
      <c r="G13" s="43"/>
      <c r="H13" s="43"/>
    </row>
    <row r="14" spans="1:8" ht="18" customHeight="1" thickBot="1">
      <c r="A14" s="531">
        <v>3015</v>
      </c>
      <c r="B14" s="234" t="s">
        <v>916</v>
      </c>
      <c r="C14" s="235"/>
      <c r="D14" s="233" vm="93">
        <v>7566571294.8899994</v>
      </c>
      <c r="F14" s="43"/>
      <c r="G14" s="43"/>
      <c r="H14" s="43"/>
    </row>
    <row r="15" spans="1:8" ht="18" customHeight="1" thickBot="1">
      <c r="A15" s="531">
        <v>3016</v>
      </c>
      <c r="B15" s="234" t="s">
        <v>917</v>
      </c>
      <c r="C15" s="235"/>
      <c r="D15" s="233" vm="340">
        <v>4194013673.0999994</v>
      </c>
      <c r="F15" s="43"/>
      <c r="G15" s="43"/>
      <c r="H15" s="43"/>
    </row>
    <row r="16" spans="1:8" ht="18" customHeight="1" thickBot="1">
      <c r="A16" s="531">
        <v>302</v>
      </c>
      <c r="B16" s="532" t="s">
        <v>918</v>
      </c>
      <c r="C16" s="235"/>
      <c r="D16" s="233" vm="192">
        <v>1589073146.1999998</v>
      </c>
      <c r="F16" s="43"/>
      <c r="G16" s="43"/>
      <c r="H16" s="43"/>
    </row>
    <row r="17" spans="1:8" ht="18" customHeight="1" thickBot="1">
      <c r="A17" s="531">
        <v>33</v>
      </c>
      <c r="B17" s="234" t="s">
        <v>919</v>
      </c>
      <c r="C17" s="235"/>
      <c r="D17" s="233" vm="339">
        <v>-132936826.78999996</v>
      </c>
      <c r="F17" s="43"/>
      <c r="G17" s="43"/>
      <c r="H17" s="43"/>
    </row>
    <row r="18" spans="1:8" ht="18" customHeight="1" thickBot="1">
      <c r="A18" s="531">
        <v>35</v>
      </c>
      <c r="B18" s="234" t="s">
        <v>920</v>
      </c>
      <c r="C18" s="235"/>
      <c r="D18" s="233" vm="338">
        <v>-66359143.579999991</v>
      </c>
      <c r="F18" s="43"/>
      <c r="G18" s="43"/>
      <c r="H18" s="237"/>
    </row>
    <row r="19" spans="1:8" ht="18" customHeight="1" thickBot="1">
      <c r="A19" s="531">
        <v>36</v>
      </c>
      <c r="B19" s="234" t="s">
        <v>921</v>
      </c>
      <c r="C19" s="235"/>
      <c r="D19" s="233" vm="337">
        <v>2545592757.2200003</v>
      </c>
      <c r="F19" s="43"/>
      <c r="G19" s="43"/>
      <c r="H19" s="43"/>
    </row>
    <row r="20" spans="1:8" ht="18" customHeight="1" thickBot="1">
      <c r="A20" s="531">
        <v>37</v>
      </c>
      <c r="B20" s="234" t="s">
        <v>389</v>
      </c>
      <c r="C20" s="235" t="s">
        <v>386</v>
      </c>
      <c r="D20" s="233" vm="336">
        <v>-2478456546.8400002</v>
      </c>
      <c r="F20" s="43"/>
      <c r="G20" s="43"/>
      <c r="H20" s="238"/>
    </row>
    <row r="21" spans="1:8" ht="18" customHeight="1" thickBot="1">
      <c r="A21" s="531">
        <v>3</v>
      </c>
      <c r="B21" s="234" t="s">
        <v>922</v>
      </c>
      <c r="C21" s="235"/>
      <c r="D21" s="233" vm="335">
        <v>26843959507.330002</v>
      </c>
      <c r="F21" s="43"/>
      <c r="G21" s="43"/>
      <c r="H21" s="43"/>
    </row>
    <row r="22" spans="1:8" ht="18" customHeight="1" thickBot="1">
      <c r="A22" s="531"/>
      <c r="B22" s="234"/>
      <c r="C22" s="235"/>
      <c r="D22" s="233" t="s">
        <v>390</v>
      </c>
      <c r="F22" s="43"/>
      <c r="G22" s="43"/>
      <c r="H22" s="43"/>
    </row>
    <row r="23" spans="1:8" ht="18" customHeight="1" thickBot="1">
      <c r="A23" s="531"/>
      <c r="B23" s="504" t="s">
        <v>402</v>
      </c>
      <c r="C23" s="235"/>
      <c r="D23" s="233" t="s">
        <v>390</v>
      </c>
      <c r="F23" s="43"/>
      <c r="G23" s="43"/>
      <c r="H23" s="43"/>
    </row>
    <row r="24" spans="1:8" ht="18" customHeight="1" thickBot="1">
      <c r="A24" s="531">
        <v>40</v>
      </c>
      <c r="B24" s="234" t="s">
        <v>923</v>
      </c>
      <c r="C24" s="235" t="s">
        <v>386</v>
      </c>
      <c r="D24" s="233" vm="334">
        <v>-29563029053.980003</v>
      </c>
      <c r="F24" s="43"/>
      <c r="G24" s="43"/>
      <c r="H24" s="43"/>
    </row>
    <row r="25" spans="1:8" ht="18" customHeight="1" thickBot="1">
      <c r="A25" s="531">
        <v>401</v>
      </c>
      <c r="B25" s="234" t="s">
        <v>924</v>
      </c>
      <c r="C25" s="235" t="s">
        <v>386</v>
      </c>
      <c r="D25" s="233" vm="9">
        <v>-28037781788.460003</v>
      </c>
      <c r="F25" s="43"/>
      <c r="G25" s="43"/>
      <c r="H25" s="43"/>
    </row>
    <row r="26" spans="1:8" ht="18" customHeight="1" thickBot="1">
      <c r="A26" s="531">
        <v>4010</v>
      </c>
      <c r="B26" s="234" t="s">
        <v>911</v>
      </c>
      <c r="C26" s="235" t="s">
        <v>386</v>
      </c>
      <c r="D26" s="233" vm="30">
        <v>-10947454714.050001</v>
      </c>
      <c r="F26" s="43"/>
      <c r="G26" s="43"/>
      <c r="H26" s="43"/>
    </row>
    <row r="27" spans="1:8" ht="18" customHeight="1" thickBot="1">
      <c r="A27" s="531">
        <v>4011</v>
      </c>
      <c r="B27" s="234" t="s">
        <v>912</v>
      </c>
      <c r="C27" s="235" t="s">
        <v>386</v>
      </c>
      <c r="D27" s="239" vm="127">
        <v>-111291879.64999999</v>
      </c>
      <c r="F27" s="43"/>
      <c r="G27" s="43"/>
      <c r="H27" s="43"/>
    </row>
    <row r="28" spans="1:8" ht="18" customHeight="1" thickBot="1">
      <c r="A28" s="531">
        <v>4012</v>
      </c>
      <c r="B28" s="234" t="s">
        <v>913</v>
      </c>
      <c r="C28" s="235" t="s">
        <v>386</v>
      </c>
      <c r="D28" s="240" vm="53">
        <v>-4572059469.8899984</v>
      </c>
      <c r="F28" s="43"/>
      <c r="G28" s="43"/>
      <c r="H28" s="43"/>
    </row>
    <row r="29" spans="1:8" ht="18" customHeight="1" thickBot="1">
      <c r="A29" s="531">
        <v>4013</v>
      </c>
      <c r="B29" s="234" t="s">
        <v>914</v>
      </c>
      <c r="C29" s="235" t="s">
        <v>386</v>
      </c>
      <c r="D29" s="240" vm="74">
        <v>-9126851.5099999998</v>
      </c>
      <c r="F29" s="43"/>
      <c r="G29" s="43"/>
      <c r="H29" s="43"/>
    </row>
    <row r="30" spans="1:8" ht="18" customHeight="1" thickBot="1">
      <c r="A30" s="531">
        <v>4014</v>
      </c>
      <c r="B30" s="234" t="s">
        <v>915</v>
      </c>
      <c r="C30" s="235" t="s">
        <v>386</v>
      </c>
      <c r="D30" s="240" vm="333">
        <v>-1362703694.74</v>
      </c>
      <c r="F30" s="43"/>
      <c r="G30" s="43"/>
      <c r="H30" s="43"/>
    </row>
    <row r="31" spans="1:8" ht="18" customHeight="1" thickBot="1">
      <c r="A31" s="531">
        <v>4015</v>
      </c>
      <c r="B31" s="234" t="s">
        <v>916</v>
      </c>
      <c r="C31" s="235" t="s">
        <v>386</v>
      </c>
      <c r="D31" s="241" vm="133">
        <v>-7362738036.71</v>
      </c>
      <c r="F31" s="43"/>
      <c r="G31" s="43"/>
      <c r="H31" s="43"/>
    </row>
    <row r="32" spans="1:8" ht="18" customHeight="1" thickBot="1">
      <c r="A32" s="531">
        <v>4016</v>
      </c>
      <c r="B32" s="234" t="s">
        <v>917</v>
      </c>
      <c r="C32" s="235" t="s">
        <v>386</v>
      </c>
      <c r="D32" s="239" vm="332">
        <v>-3672407141.9100013</v>
      </c>
      <c r="F32" s="43"/>
      <c r="G32" s="43"/>
      <c r="H32" s="43"/>
    </row>
    <row r="33" spans="1:8" ht="18" customHeight="1" thickBot="1">
      <c r="A33" s="531">
        <v>402</v>
      </c>
      <c r="B33" s="234" t="s">
        <v>925</v>
      </c>
      <c r="C33" s="235" t="s">
        <v>386</v>
      </c>
      <c r="D33" s="240" vm="190">
        <v>-1334009172.7699997</v>
      </c>
      <c r="F33" s="43"/>
      <c r="G33" s="43"/>
      <c r="H33" s="43"/>
    </row>
    <row r="34" spans="1:8" ht="18" customHeight="1" thickBot="1">
      <c r="A34" s="531">
        <v>42</v>
      </c>
      <c r="B34" s="234" t="s">
        <v>926</v>
      </c>
      <c r="C34" s="235"/>
      <c r="D34" s="240" vm="331">
        <v>3948526503.1000009</v>
      </c>
      <c r="F34" s="43"/>
      <c r="G34" s="43"/>
      <c r="H34" s="43"/>
    </row>
    <row r="35" spans="1:8" ht="18" customHeight="1" thickBot="1">
      <c r="A35" s="531">
        <v>420</v>
      </c>
      <c r="B35" s="234" t="s">
        <v>927</v>
      </c>
      <c r="C35" s="235"/>
      <c r="D35" s="240" vm="330">
        <v>3959307289.6200008</v>
      </c>
      <c r="F35" s="43"/>
      <c r="G35" s="43"/>
      <c r="H35" s="43"/>
    </row>
    <row r="36" spans="1:8" ht="18" customHeight="1" thickBot="1">
      <c r="A36" s="531">
        <v>4200</v>
      </c>
      <c r="B36" s="234" t="s">
        <v>911</v>
      </c>
      <c r="C36" s="235"/>
      <c r="D36" s="240" vm="31">
        <v>952389426.63999999</v>
      </c>
      <c r="F36" s="43"/>
      <c r="G36" s="43"/>
      <c r="H36" s="43"/>
    </row>
    <row r="37" spans="1:8" ht="18" customHeight="1" thickBot="1">
      <c r="A37" s="531">
        <v>4201</v>
      </c>
      <c r="B37" s="234" t="s">
        <v>912</v>
      </c>
      <c r="C37" s="235"/>
      <c r="D37" s="240" vm="126">
        <v>6554075.5600000005</v>
      </c>
      <c r="F37" s="43"/>
      <c r="G37" s="43"/>
      <c r="H37" s="43"/>
    </row>
    <row r="38" spans="1:8" ht="18" customHeight="1" thickBot="1">
      <c r="A38" s="531">
        <v>4202</v>
      </c>
      <c r="B38" s="234" t="s">
        <v>913</v>
      </c>
      <c r="C38" s="235"/>
      <c r="D38" s="241" vm="54">
        <v>841162678.44999981</v>
      </c>
      <c r="F38" s="43"/>
      <c r="G38" s="43"/>
      <c r="H38" s="43"/>
    </row>
    <row r="39" spans="1:8" ht="18" customHeight="1" thickBot="1">
      <c r="A39" s="531">
        <v>4203</v>
      </c>
      <c r="B39" s="234" t="s">
        <v>914</v>
      </c>
      <c r="C39" s="235"/>
      <c r="D39" s="233" vm="79">
        <v>1237056.54</v>
      </c>
      <c r="F39" s="43"/>
      <c r="G39" s="43"/>
      <c r="H39" s="43"/>
    </row>
    <row r="40" spans="1:8" ht="18" customHeight="1" thickBot="1">
      <c r="A40" s="531">
        <v>4204</v>
      </c>
      <c r="B40" s="234" t="s">
        <v>915</v>
      </c>
      <c r="C40" s="235"/>
      <c r="D40" s="233" vm="329">
        <v>256147213.03999996</v>
      </c>
      <c r="F40" s="43"/>
      <c r="G40" s="43"/>
      <c r="H40" s="43"/>
    </row>
    <row r="41" spans="1:8" ht="18" customHeight="1" thickBot="1">
      <c r="A41" s="531">
        <v>4205</v>
      </c>
      <c r="B41" s="234" t="s">
        <v>916</v>
      </c>
      <c r="C41" s="235"/>
      <c r="D41" s="233" vm="99">
        <v>1203444539.9699998</v>
      </c>
      <c r="F41" s="43"/>
      <c r="G41" s="43"/>
      <c r="H41" s="43"/>
    </row>
    <row r="42" spans="1:8" ht="18" customHeight="1" thickBot="1">
      <c r="A42" s="531">
        <v>4206</v>
      </c>
      <c r="B42" s="234" t="s">
        <v>917</v>
      </c>
      <c r="C42" s="235"/>
      <c r="D42" s="233" vm="328">
        <v>651139128.2700001</v>
      </c>
      <c r="F42" s="43"/>
      <c r="G42" s="43"/>
      <c r="H42" s="43"/>
    </row>
    <row r="43" spans="1:8" ht="18" customHeight="1" thickBot="1">
      <c r="A43" s="531">
        <v>4207</v>
      </c>
      <c r="B43" s="234" t="s">
        <v>928</v>
      </c>
      <c r="C43" s="235"/>
      <c r="D43" s="233" vm="189">
        <v>47233171.150000006</v>
      </c>
      <c r="F43" s="43"/>
      <c r="G43" s="43"/>
      <c r="H43" s="43"/>
    </row>
    <row r="44" spans="1:8" ht="18" customHeight="1" thickBot="1">
      <c r="A44" s="531">
        <v>421</v>
      </c>
      <c r="B44" s="234" t="s">
        <v>929</v>
      </c>
      <c r="C44" s="235" t="s">
        <v>386</v>
      </c>
      <c r="D44" s="233" vm="327">
        <v>-10780786.520000001</v>
      </c>
      <c r="F44" s="43"/>
      <c r="G44" s="43"/>
      <c r="H44" s="43"/>
    </row>
    <row r="45" spans="1:8" ht="18" customHeight="1" thickBot="1">
      <c r="A45" s="531">
        <v>4210</v>
      </c>
      <c r="B45" s="234" t="s">
        <v>911</v>
      </c>
      <c r="C45" s="235" t="s">
        <v>386</v>
      </c>
      <c r="D45" s="233" vm="32">
        <v>-4217583.76</v>
      </c>
      <c r="F45" s="43"/>
      <c r="G45" s="43"/>
      <c r="H45" s="43"/>
    </row>
    <row r="46" spans="1:8" ht="18" customHeight="1" thickBot="1">
      <c r="A46" s="531">
        <v>4211</v>
      </c>
      <c r="B46" s="234" t="s">
        <v>912</v>
      </c>
      <c r="C46" s="235" t="s">
        <v>386</v>
      </c>
      <c r="D46" s="233" vm="125">
        <v>-9705.41</v>
      </c>
      <c r="F46" s="43"/>
      <c r="G46" s="43"/>
      <c r="H46" s="43"/>
    </row>
    <row r="47" spans="1:8" ht="18" customHeight="1" thickBot="1">
      <c r="A47" s="531">
        <v>4212</v>
      </c>
      <c r="B47" s="234" t="s">
        <v>913</v>
      </c>
      <c r="C47" s="235" t="s">
        <v>386</v>
      </c>
      <c r="D47" s="233" vm="55">
        <v>-2412973.2800000003</v>
      </c>
      <c r="F47" s="43"/>
      <c r="G47" s="43"/>
      <c r="H47" s="43"/>
    </row>
    <row r="48" spans="1:8" ht="18" customHeight="1" thickBot="1">
      <c r="A48" s="531">
        <v>4213</v>
      </c>
      <c r="B48" s="234" t="s">
        <v>914</v>
      </c>
      <c r="C48" s="235" t="s">
        <v>386</v>
      </c>
      <c r="D48" s="233" vm="76">
        <v>-2783.7200000000003</v>
      </c>
      <c r="F48" s="43"/>
      <c r="G48" s="43"/>
      <c r="H48" s="43"/>
    </row>
    <row r="49" spans="1:8" ht="18" customHeight="1" thickBot="1">
      <c r="A49" s="531">
        <v>4214</v>
      </c>
      <c r="B49" s="234" t="s">
        <v>915</v>
      </c>
      <c r="C49" s="235" t="s">
        <v>386</v>
      </c>
      <c r="D49" s="233" vm="326">
        <v>-299661.65000000002</v>
      </c>
      <c r="F49" s="43"/>
      <c r="G49" s="43"/>
      <c r="H49" s="43"/>
    </row>
    <row r="50" spans="1:8" ht="18" customHeight="1" thickBot="1">
      <c r="A50" s="531">
        <v>4215</v>
      </c>
      <c r="B50" s="234" t="s">
        <v>916</v>
      </c>
      <c r="C50" s="235" t="s">
        <v>386</v>
      </c>
      <c r="D50" s="233" vm="96">
        <v>-2015285.9399999997</v>
      </c>
      <c r="F50" s="43"/>
      <c r="G50" s="43"/>
      <c r="H50" s="43"/>
    </row>
    <row r="51" spans="1:8" ht="18" customHeight="1" thickBot="1">
      <c r="A51" s="531">
        <v>4216</v>
      </c>
      <c r="B51" s="234" t="s">
        <v>917</v>
      </c>
      <c r="C51" s="235" t="s">
        <v>386</v>
      </c>
      <c r="D51" s="233" vm="325">
        <v>-1504082.52</v>
      </c>
      <c r="F51" s="43"/>
      <c r="G51" s="43"/>
      <c r="H51" s="43"/>
    </row>
    <row r="52" spans="1:8" ht="18" customHeight="1" thickBot="1">
      <c r="A52" s="531">
        <v>4217</v>
      </c>
      <c r="B52" s="234" t="s">
        <v>928</v>
      </c>
      <c r="C52" s="235" t="s">
        <v>386</v>
      </c>
      <c r="D52" s="233" vm="188">
        <v>-318710.24</v>
      </c>
      <c r="F52" s="43"/>
      <c r="G52" s="43"/>
      <c r="H52" s="43"/>
    </row>
    <row r="53" spans="1:8" ht="18" customHeight="1" thickBot="1">
      <c r="A53" s="531">
        <v>43</v>
      </c>
      <c r="B53" s="234" t="s">
        <v>930</v>
      </c>
      <c r="C53" s="235" t="s">
        <v>386</v>
      </c>
      <c r="D53" s="233" vm="324">
        <v>-142735211.72999999</v>
      </c>
      <c r="F53" s="43"/>
      <c r="G53" s="43"/>
      <c r="H53" s="43"/>
    </row>
    <row r="54" spans="1:8" ht="18" customHeight="1" thickBot="1">
      <c r="A54" s="531">
        <v>44</v>
      </c>
      <c r="B54" s="234" t="s">
        <v>931</v>
      </c>
      <c r="C54" s="235"/>
      <c r="D54" s="233" vm="323">
        <v>59252025.840000011</v>
      </c>
      <c r="F54" s="43"/>
      <c r="G54" s="43"/>
      <c r="H54" s="43"/>
    </row>
    <row r="55" spans="1:8" ht="18" customHeight="1" thickBot="1">
      <c r="A55" s="531">
        <v>440</v>
      </c>
      <c r="B55" s="234" t="s">
        <v>932</v>
      </c>
      <c r="C55" s="235"/>
      <c r="D55" s="233" vm="322">
        <v>73457677.710000008</v>
      </c>
      <c r="F55" s="43"/>
      <c r="G55" s="43"/>
      <c r="H55" s="43"/>
    </row>
    <row r="56" spans="1:8" ht="18" customHeight="1" thickBot="1">
      <c r="A56" s="531">
        <v>441</v>
      </c>
      <c r="B56" s="234" t="s">
        <v>933</v>
      </c>
      <c r="C56" s="235"/>
      <c r="D56" s="233" vm="321">
        <v>-14205651.870000001</v>
      </c>
      <c r="F56" s="43"/>
      <c r="G56" s="43"/>
      <c r="H56" s="43"/>
    </row>
    <row r="57" spans="1:8" ht="18" customHeight="1" thickBot="1">
      <c r="A57" s="531">
        <v>45</v>
      </c>
      <c r="B57" s="234" t="s">
        <v>399</v>
      </c>
      <c r="C57" s="235"/>
      <c r="D57" s="233" vm="320">
        <v>-137535227.72</v>
      </c>
      <c r="F57" s="43"/>
      <c r="G57" s="43"/>
      <c r="H57" s="43"/>
    </row>
    <row r="58" spans="1:8" ht="18" customHeight="1" thickBot="1">
      <c r="A58" s="531">
        <v>46</v>
      </c>
      <c r="B58" s="234" t="s">
        <v>934</v>
      </c>
      <c r="C58" s="235"/>
      <c r="D58" s="233" vm="319">
        <v>-49174022.599999994</v>
      </c>
      <c r="F58" s="43"/>
      <c r="G58" s="43"/>
      <c r="H58" s="43"/>
    </row>
    <row r="59" spans="1:8" ht="18" customHeight="1" thickBot="1">
      <c r="A59" s="531">
        <v>48</v>
      </c>
      <c r="B59" s="234" t="s">
        <v>935</v>
      </c>
      <c r="C59" s="235"/>
      <c r="D59" s="233" vm="319">
        <v>47159009.180000335</v>
      </c>
      <c r="F59" s="43"/>
      <c r="G59" s="43"/>
      <c r="H59" s="43"/>
    </row>
    <row r="60" spans="1:8" ht="18" customHeight="1" thickBot="1">
      <c r="A60" s="531">
        <v>49</v>
      </c>
      <c r="B60" s="234" t="s">
        <v>936</v>
      </c>
      <c r="C60" s="235"/>
      <c r="D60" s="233" vm="180">
        <v>-38364424.090000004</v>
      </c>
      <c r="F60" s="43"/>
      <c r="G60" s="43"/>
      <c r="H60" s="43"/>
    </row>
    <row r="61" spans="1:8" ht="18" customHeight="1" thickBot="1">
      <c r="A61" s="531">
        <v>4</v>
      </c>
      <c r="B61" s="234" t="s">
        <v>937</v>
      </c>
      <c r="C61" s="235"/>
      <c r="D61" s="233" vm="180">
        <v>-25875900402</v>
      </c>
      <c r="F61" s="43"/>
      <c r="G61" s="43"/>
      <c r="H61" s="43"/>
    </row>
    <row r="62" spans="1:8" ht="18" customHeight="1" thickBot="1">
      <c r="A62" s="533"/>
      <c r="B62" s="242"/>
      <c r="C62" s="243"/>
      <c r="D62" s="244" t="s">
        <v>390</v>
      </c>
      <c r="F62" s="43"/>
      <c r="G62" s="43"/>
      <c r="H62" s="43"/>
    </row>
    <row r="63" spans="1:8" ht="15.5" customHeight="1">
      <c r="A63" s="189" t="s">
        <v>346</v>
      </c>
    </row>
    <row r="64" spans="1:8" ht="14" thickBot="1"/>
    <row r="65" spans="1:6" ht="18" customHeight="1" thickBot="1">
      <c r="A65" s="248" t="s">
        <v>938</v>
      </c>
      <c r="B65" s="248"/>
      <c r="C65" s="235"/>
      <c r="D65" s="249">
        <f>D8-D10</f>
        <v>24984321933.699997</v>
      </c>
      <c r="F65" s="367"/>
    </row>
    <row r="66" spans="1:6" ht="18" customHeight="1" thickBot="1">
      <c r="A66" s="248" t="s">
        <v>939</v>
      </c>
      <c r="B66" s="248"/>
      <c r="C66" s="235"/>
      <c r="D66" s="249">
        <f>D25-D27</f>
        <v>-27926489908.810001</v>
      </c>
      <c r="F66" s="367"/>
    </row>
    <row r="67" spans="1:6" ht="18" customHeight="1" thickBot="1">
      <c r="A67" s="248" t="s">
        <v>940</v>
      </c>
      <c r="B67" s="248"/>
      <c r="C67" s="235"/>
      <c r="D67" s="233">
        <v>3895067672.0400009</v>
      </c>
      <c r="F67" s="534"/>
    </row>
    <row r="68" spans="1:6" ht="18" customHeight="1" thickBot="1">
      <c r="A68" s="248" t="s">
        <v>941</v>
      </c>
      <c r="B68" s="248"/>
      <c r="C68" s="235"/>
      <c r="D68" s="233">
        <v>24031422236.77</v>
      </c>
      <c r="F68" s="534"/>
    </row>
    <row r="70" spans="1:6">
      <c r="A70" s="3" t="s">
        <v>942</v>
      </c>
    </row>
    <row r="73" spans="1:6">
      <c r="A73" s="3" t="s">
        <v>302</v>
      </c>
    </row>
    <row r="79" spans="1:6">
      <c r="B79" s="259"/>
      <c r="C79" s="259"/>
      <c r="D79" s="43"/>
    </row>
    <row r="82" spans="1:4" ht="14">
      <c r="A82" s="260"/>
      <c r="B82" s="260"/>
      <c r="C82" s="261"/>
      <c r="D82" s="262"/>
    </row>
  </sheetData>
  <mergeCells count="1">
    <mergeCell ref="A2:B2"/>
  </mergeCells>
  <pageMargins left="0.59055118110236227" right="0.47244094488188981" top="0.34" bottom="0.28000000000000003" header="0.27" footer="0.21"/>
  <pageSetup paperSize="9" scale="64" orientation="portrait"/>
  <headerFooter alignWithMargins="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B891-7EF2-3846-8DD2-CEF56BDBB3A1}">
  <sheetPr>
    <pageSetUpPr fitToPage="1"/>
  </sheetPr>
  <dimension ref="A1:H72"/>
  <sheetViews>
    <sheetView zoomScaleNormal="100" workbookViewId="0">
      <selection activeCell="B5" sqref="B5:B44"/>
    </sheetView>
  </sheetViews>
  <sheetFormatPr baseColWidth="10" defaultColWidth="11.3984375" defaultRowHeight="13"/>
  <cols>
    <col min="1" max="1" width="16.3984375" style="3" customWidth="1"/>
    <col min="2" max="2" width="83.59765625" style="245" customWidth="1"/>
    <col min="3" max="3" width="7.19921875" style="245" customWidth="1"/>
    <col min="4" max="4" width="20.796875" style="246" customWidth="1"/>
    <col min="5" max="16384" width="11.3984375" style="3"/>
  </cols>
  <sheetData>
    <row r="1" spans="1:8" s="1" customFormat="1" ht="14" customHeight="1">
      <c r="B1" s="221"/>
      <c r="C1" s="221"/>
      <c r="D1" s="222"/>
    </row>
    <row r="2" spans="1:8" s="1" customFormat="1" ht="25.75" customHeight="1">
      <c r="A2" s="2010" t="s">
        <v>866</v>
      </c>
      <c r="B2" s="2011"/>
      <c r="C2" s="221"/>
      <c r="D2" s="223">
        <v>2013</v>
      </c>
    </row>
    <row r="3" spans="1:8" ht="39" customHeight="1">
      <c r="A3" s="224" t="s">
        <v>380</v>
      </c>
      <c r="B3" s="224"/>
      <c r="C3" s="225"/>
      <c r="D3" s="226" t="s">
        <v>381</v>
      </c>
    </row>
    <row r="4" spans="1:8" ht="38" customHeight="1">
      <c r="A4" s="513"/>
      <c r="B4" s="228"/>
      <c r="C4" s="229"/>
      <c r="D4" s="230" t="s">
        <v>382</v>
      </c>
    </row>
    <row r="5" spans="1:8" ht="20" customHeight="1" thickBot="1">
      <c r="A5" s="514"/>
      <c r="B5" s="502" t="s">
        <v>867</v>
      </c>
      <c r="C5" s="232"/>
      <c r="D5" s="233" t="s">
        <v>390</v>
      </c>
      <c r="F5" s="43"/>
      <c r="G5" s="43"/>
      <c r="H5" s="43"/>
    </row>
    <row r="6" spans="1:8" ht="20" customHeight="1" thickBot="1">
      <c r="A6" s="531">
        <v>50</v>
      </c>
      <c r="B6" s="234" t="s">
        <v>868</v>
      </c>
      <c r="C6" s="235" t="s">
        <v>386</v>
      </c>
      <c r="D6" s="233" vm="317">
        <v>-1282538509.3899999</v>
      </c>
      <c r="F6" s="43"/>
      <c r="G6" s="43"/>
      <c r="H6" s="43"/>
    </row>
    <row r="7" spans="1:8" ht="20" customHeight="1" thickBot="1">
      <c r="A7" s="531">
        <v>51</v>
      </c>
      <c r="B7" s="234" t="s">
        <v>869</v>
      </c>
      <c r="C7" s="235"/>
      <c r="D7" s="233" vm="318">
        <v>-221343867.17000002</v>
      </c>
      <c r="F7" s="43"/>
      <c r="G7" s="43"/>
      <c r="H7" s="43"/>
    </row>
    <row r="8" spans="1:8" ht="20" customHeight="1" thickBot="1">
      <c r="A8" s="531">
        <v>510</v>
      </c>
      <c r="B8" s="234" t="s">
        <v>406</v>
      </c>
      <c r="C8" s="235" t="s">
        <v>386</v>
      </c>
      <c r="D8" s="233" vm="315">
        <v>-85718520.960000008</v>
      </c>
      <c r="F8" s="43"/>
      <c r="G8" s="43"/>
      <c r="H8" s="43"/>
    </row>
    <row r="9" spans="1:8" ht="20" customHeight="1" thickBot="1">
      <c r="A9" s="531">
        <v>516</v>
      </c>
      <c r="B9" s="234" t="s">
        <v>407</v>
      </c>
      <c r="C9" s="235" t="s">
        <v>386</v>
      </c>
      <c r="D9" s="233" vm="316">
        <v>-69580397.25999999</v>
      </c>
      <c r="F9" s="43"/>
      <c r="G9" s="43"/>
      <c r="H9" s="43"/>
    </row>
    <row r="10" spans="1:8" ht="20" customHeight="1" thickBot="1">
      <c r="A10" s="531">
        <v>517</v>
      </c>
      <c r="B10" s="234" t="s">
        <v>870</v>
      </c>
      <c r="C10" s="235" t="s">
        <v>386</v>
      </c>
      <c r="D10" s="233" vm="313">
        <v>-30576450.790000007</v>
      </c>
      <c r="F10" s="43"/>
      <c r="G10" s="43"/>
      <c r="H10" s="43"/>
    </row>
    <row r="11" spans="1:8" ht="20" customHeight="1" thickBot="1">
      <c r="A11" s="531">
        <v>519</v>
      </c>
      <c r="B11" s="234" t="s">
        <v>871</v>
      </c>
      <c r="C11" s="235" t="s">
        <v>386</v>
      </c>
      <c r="D11" s="233" vm="314">
        <v>-35468498.160000004</v>
      </c>
      <c r="F11" s="43"/>
      <c r="G11" s="43"/>
      <c r="H11" s="43"/>
    </row>
    <row r="12" spans="1:8" ht="20" customHeight="1" thickBot="1">
      <c r="A12" s="531" t="s">
        <v>872</v>
      </c>
      <c r="B12" s="234" t="s">
        <v>873</v>
      </c>
      <c r="C12" s="235"/>
      <c r="D12" s="233" vm="311">
        <v>-1503882376.5599999</v>
      </c>
      <c r="F12" s="43"/>
      <c r="G12" s="43"/>
      <c r="H12" s="43"/>
    </row>
    <row r="13" spans="1:8" ht="20" customHeight="1" thickBot="1">
      <c r="A13" s="531"/>
      <c r="B13" s="234"/>
      <c r="C13" s="235"/>
      <c r="D13" s="233" t="s">
        <v>390</v>
      </c>
      <c r="F13" s="43"/>
      <c r="G13" s="43"/>
      <c r="H13" s="43"/>
    </row>
    <row r="14" spans="1:8" ht="20" customHeight="1" thickBot="1">
      <c r="A14" s="531"/>
      <c r="B14" s="504" t="s">
        <v>874</v>
      </c>
      <c r="C14" s="235"/>
      <c r="D14" s="233" t="s">
        <v>390</v>
      </c>
      <c r="F14" s="43"/>
      <c r="G14" s="43"/>
      <c r="H14" s="43"/>
    </row>
    <row r="15" spans="1:8" ht="20" customHeight="1" thickBot="1">
      <c r="A15" s="531">
        <v>70</v>
      </c>
      <c r="B15" s="234" t="s">
        <v>875</v>
      </c>
      <c r="C15" s="235"/>
      <c r="D15" s="233" vm="312">
        <v>48537319.599999994</v>
      </c>
      <c r="F15" s="43"/>
      <c r="G15" s="43"/>
      <c r="H15" s="43"/>
    </row>
    <row r="16" spans="1:8" ht="20" customHeight="1" thickBot="1">
      <c r="A16" s="531">
        <v>700</v>
      </c>
      <c r="B16" s="234" t="s">
        <v>876</v>
      </c>
      <c r="C16" s="235"/>
      <c r="D16" s="233" vm="309">
        <v>47593053.419999994</v>
      </c>
      <c r="F16" s="43"/>
      <c r="G16" s="43"/>
      <c r="H16" s="43"/>
    </row>
    <row r="17" spans="1:8" ht="20" customHeight="1" thickBot="1">
      <c r="A17" s="531">
        <v>7000</v>
      </c>
      <c r="B17" s="234" t="s">
        <v>877</v>
      </c>
      <c r="C17" s="235"/>
      <c r="D17" s="233" vm="310">
        <v>3549348.9199999995</v>
      </c>
      <c r="F17" s="43"/>
      <c r="G17" s="43"/>
      <c r="H17" s="237"/>
    </row>
    <row r="18" spans="1:8" ht="20" customHeight="1" thickBot="1">
      <c r="A18" s="531">
        <v>7001</v>
      </c>
      <c r="B18" s="234" t="s">
        <v>878</v>
      </c>
      <c r="C18" s="235"/>
      <c r="D18" s="233" vm="307">
        <v>20693575.850000001</v>
      </c>
      <c r="F18" s="43"/>
      <c r="G18" s="43"/>
      <c r="H18" s="43"/>
    </row>
    <row r="19" spans="1:8" ht="20" customHeight="1" thickBot="1">
      <c r="A19" s="531">
        <v>7002</v>
      </c>
      <c r="B19" s="234" t="s">
        <v>879</v>
      </c>
      <c r="C19" s="235"/>
      <c r="D19" s="233" vm="308">
        <v>47184.93</v>
      </c>
      <c r="F19" s="43"/>
      <c r="G19" s="43"/>
      <c r="H19" s="238"/>
    </row>
    <row r="20" spans="1:8" ht="20" customHeight="1" thickBot="1">
      <c r="A20" s="531">
        <v>7003</v>
      </c>
      <c r="B20" s="234" t="s">
        <v>880</v>
      </c>
      <c r="C20" s="235"/>
      <c r="D20" s="233" vm="305">
        <v>22297189.029999997</v>
      </c>
      <c r="F20" s="43"/>
      <c r="G20" s="43"/>
      <c r="H20" s="43"/>
    </row>
    <row r="21" spans="1:8" ht="20" customHeight="1" thickBot="1">
      <c r="A21" s="531">
        <v>7009</v>
      </c>
      <c r="B21" s="234" t="s">
        <v>881</v>
      </c>
      <c r="C21" s="235"/>
      <c r="D21" s="233" vm="306">
        <v>1005876.7</v>
      </c>
      <c r="F21" s="43"/>
      <c r="G21" s="43"/>
      <c r="H21" s="43"/>
    </row>
    <row r="22" spans="1:8" ht="20" customHeight="1" thickBot="1">
      <c r="A22" s="531">
        <v>701</v>
      </c>
      <c r="B22" s="234" t="s">
        <v>882</v>
      </c>
      <c r="C22" s="235"/>
      <c r="D22" s="233" vm="303">
        <v>944266.17999999993</v>
      </c>
      <c r="F22" s="43"/>
      <c r="G22" s="43"/>
      <c r="H22" s="43"/>
    </row>
    <row r="23" spans="1:8" ht="20" customHeight="1" thickBot="1">
      <c r="A23" s="531">
        <v>71</v>
      </c>
      <c r="B23" s="234" t="s">
        <v>883</v>
      </c>
      <c r="C23" s="235" t="s">
        <v>386</v>
      </c>
      <c r="D23" s="233" vm="304">
        <v>-11630740.580000002</v>
      </c>
      <c r="F23" s="43"/>
      <c r="G23" s="43"/>
      <c r="H23" s="43"/>
    </row>
    <row r="24" spans="1:8" ht="20" customHeight="1" thickBot="1">
      <c r="A24" s="531">
        <v>710</v>
      </c>
      <c r="B24" s="234" t="s">
        <v>884</v>
      </c>
      <c r="C24" s="235" t="s">
        <v>386</v>
      </c>
      <c r="D24" s="233" vm="301">
        <v>-11447660.310000002</v>
      </c>
      <c r="F24" s="43"/>
      <c r="G24" s="43"/>
      <c r="H24" s="43"/>
    </row>
    <row r="25" spans="1:8" ht="20" customHeight="1" thickBot="1">
      <c r="A25" s="531">
        <v>7100</v>
      </c>
      <c r="B25" s="234" t="s">
        <v>877</v>
      </c>
      <c r="C25" s="235" t="s">
        <v>386</v>
      </c>
      <c r="D25" s="233" vm="302">
        <v>-1450945.2600000002</v>
      </c>
      <c r="F25" s="43"/>
      <c r="G25" s="43"/>
      <c r="H25" s="43"/>
    </row>
    <row r="26" spans="1:8" ht="20" customHeight="1" thickBot="1">
      <c r="A26" s="531">
        <v>7101</v>
      </c>
      <c r="B26" s="234" t="s">
        <v>885</v>
      </c>
      <c r="C26" s="235" t="s">
        <v>386</v>
      </c>
      <c r="D26" s="233" vm="300">
        <v>-9194965</v>
      </c>
      <c r="F26" s="43"/>
      <c r="G26" s="43"/>
      <c r="H26" s="43"/>
    </row>
    <row r="27" spans="1:8" ht="20" customHeight="1" thickBot="1">
      <c r="A27" s="531">
        <v>7102</v>
      </c>
      <c r="B27" s="234" t="s">
        <v>886</v>
      </c>
      <c r="C27" s="235" t="s">
        <v>386</v>
      </c>
      <c r="D27" s="233" vm="301">
        <v>-643730.69999999995</v>
      </c>
      <c r="F27" s="43"/>
      <c r="G27" s="43"/>
      <c r="H27" s="43"/>
    </row>
    <row r="28" spans="1:8" ht="20" customHeight="1" thickBot="1">
      <c r="A28" s="531">
        <v>7103</v>
      </c>
      <c r="B28" s="234" t="s">
        <v>887</v>
      </c>
      <c r="C28" s="235" t="s">
        <v>386</v>
      </c>
      <c r="D28" s="233" t="s">
        <v>390</v>
      </c>
      <c r="F28" s="43"/>
      <c r="G28" s="43"/>
      <c r="H28" s="43"/>
    </row>
    <row r="29" spans="1:8" ht="20" customHeight="1" thickBot="1">
      <c r="A29" s="531">
        <v>7104</v>
      </c>
      <c r="B29" s="234" t="s">
        <v>888</v>
      </c>
      <c r="C29" s="235" t="s">
        <v>386</v>
      </c>
      <c r="D29" s="233" vm="300">
        <v>-160982.14000000001</v>
      </c>
      <c r="F29" s="43"/>
      <c r="G29" s="43"/>
      <c r="H29" s="43"/>
    </row>
    <row r="30" spans="1:8" ht="20" customHeight="1" thickBot="1">
      <c r="A30" s="531">
        <v>711</v>
      </c>
      <c r="B30" s="234" t="s">
        <v>889</v>
      </c>
      <c r="C30" s="235" t="s">
        <v>386</v>
      </c>
      <c r="D30" s="233" vm="175">
        <v>-183080.27000000002</v>
      </c>
      <c r="F30" s="43"/>
      <c r="G30" s="43"/>
      <c r="H30" s="43"/>
    </row>
    <row r="31" spans="1:8" ht="20" customHeight="1" thickBot="1">
      <c r="A31" s="531">
        <v>73</v>
      </c>
      <c r="B31" s="234" t="s">
        <v>890</v>
      </c>
      <c r="C31" s="235"/>
      <c r="D31" s="233" vm="289">
        <v>418085285.71999979</v>
      </c>
      <c r="F31" s="43"/>
      <c r="G31" s="43"/>
      <c r="H31" s="43"/>
    </row>
    <row r="32" spans="1:8" ht="20" customHeight="1" thickBot="1">
      <c r="A32" s="531">
        <v>730</v>
      </c>
      <c r="B32" s="234" t="s">
        <v>891</v>
      </c>
      <c r="C32" s="235"/>
      <c r="D32" s="233">
        <v>389260099.00000018</v>
      </c>
      <c r="F32" s="43"/>
      <c r="G32" s="43"/>
      <c r="H32" s="43"/>
    </row>
    <row r="33" spans="1:8" ht="20" customHeight="1" thickBot="1">
      <c r="A33" s="531">
        <v>7300</v>
      </c>
      <c r="B33" s="234" t="s">
        <v>892</v>
      </c>
      <c r="C33" s="235"/>
      <c r="D33" s="233" vm="299">
        <v>49539176.140000008</v>
      </c>
      <c r="F33" s="43"/>
      <c r="G33" s="43"/>
      <c r="H33" s="43"/>
    </row>
    <row r="34" spans="1:8" ht="20" customHeight="1" thickBot="1">
      <c r="A34" s="531">
        <v>7305</v>
      </c>
      <c r="B34" s="234" t="s">
        <v>893</v>
      </c>
      <c r="C34" s="235" t="s">
        <v>386</v>
      </c>
      <c r="D34" s="233" vm="298">
        <v>-23049235.48</v>
      </c>
      <c r="F34" s="43"/>
      <c r="G34" s="43"/>
      <c r="H34" s="43"/>
    </row>
    <row r="35" spans="1:8" ht="20" customHeight="1" thickBot="1">
      <c r="A35" s="531">
        <v>7306</v>
      </c>
      <c r="B35" s="234" t="s">
        <v>894</v>
      </c>
      <c r="C35" s="235" t="s">
        <v>386</v>
      </c>
      <c r="D35" s="233" vm="297">
        <v>-30712.5</v>
      </c>
      <c r="F35" s="43"/>
      <c r="G35" s="43"/>
      <c r="H35" s="43"/>
    </row>
    <row r="36" spans="1:8" ht="20" customHeight="1" thickBot="1">
      <c r="A36" s="531">
        <v>7309</v>
      </c>
      <c r="B36" s="234" t="s">
        <v>895</v>
      </c>
      <c r="C36" s="235"/>
      <c r="D36" s="233" vm="296">
        <v>10820563.35</v>
      </c>
      <c r="F36" s="43"/>
      <c r="G36" s="43"/>
      <c r="H36" s="43"/>
    </row>
    <row r="37" spans="1:8" ht="20" customHeight="1" thickBot="1">
      <c r="A37" s="531">
        <v>7320</v>
      </c>
      <c r="B37" s="234" t="s">
        <v>896</v>
      </c>
      <c r="C37" s="235"/>
      <c r="D37" s="233" vm="295">
        <v>244587297.76000002</v>
      </c>
      <c r="F37" s="43"/>
      <c r="G37" s="43"/>
      <c r="H37" s="43"/>
    </row>
    <row r="38" spans="1:8" ht="20" customHeight="1" thickBot="1">
      <c r="A38" s="531">
        <v>7321</v>
      </c>
      <c r="B38" s="234" t="s">
        <v>897</v>
      </c>
      <c r="C38" s="235"/>
      <c r="D38" s="233" vm="294">
        <v>348764439.12000012</v>
      </c>
      <c r="F38" s="43"/>
      <c r="G38" s="43"/>
      <c r="H38" s="43"/>
    </row>
    <row r="39" spans="1:8" ht="20" customHeight="1" thickBot="1">
      <c r="A39" s="531">
        <v>7322</v>
      </c>
      <c r="B39" s="234" t="s">
        <v>898</v>
      </c>
      <c r="C39" s="235"/>
      <c r="D39" s="233" vm="293">
        <v>375531683.13</v>
      </c>
      <c r="F39" s="43"/>
      <c r="G39" s="43"/>
      <c r="H39" s="43"/>
    </row>
    <row r="40" spans="1:8" ht="20" customHeight="1" thickBot="1">
      <c r="A40" s="531">
        <v>7340</v>
      </c>
      <c r="B40" s="234" t="s">
        <v>899</v>
      </c>
      <c r="C40" s="235" t="s">
        <v>386</v>
      </c>
      <c r="D40" s="233" vm="292">
        <v>-230082834.98999998</v>
      </c>
      <c r="F40" s="43"/>
      <c r="G40" s="43"/>
      <c r="H40" s="43"/>
    </row>
    <row r="41" spans="1:8" ht="20" customHeight="1" thickBot="1">
      <c r="A41" s="531">
        <v>7341</v>
      </c>
      <c r="B41" s="234" t="s">
        <v>900</v>
      </c>
      <c r="C41" s="235" t="s">
        <v>386</v>
      </c>
      <c r="D41" s="233" vm="291">
        <v>-365754464.8599999</v>
      </c>
      <c r="F41" s="43"/>
      <c r="G41" s="43"/>
      <c r="H41" s="43"/>
    </row>
    <row r="42" spans="1:8" ht="20" customHeight="1" thickBot="1">
      <c r="A42" s="531">
        <v>7342</v>
      </c>
      <c r="B42" s="234" t="s">
        <v>901</v>
      </c>
      <c r="C42" s="235" t="s">
        <v>386</v>
      </c>
      <c r="D42" s="233" vm="290">
        <v>-21065812.669999991</v>
      </c>
      <c r="F42" s="43"/>
      <c r="G42" s="43"/>
      <c r="H42" s="43"/>
    </row>
    <row r="43" spans="1:8" ht="20" customHeight="1" thickBot="1">
      <c r="A43" s="531">
        <v>731</v>
      </c>
      <c r="B43" s="234" t="s">
        <v>902</v>
      </c>
      <c r="C43" s="235"/>
      <c r="D43" s="233" vm="289">
        <v>28825186.719999611</v>
      </c>
      <c r="F43" s="43"/>
      <c r="G43" s="43"/>
      <c r="H43" s="43"/>
    </row>
    <row r="44" spans="1:8" ht="20" customHeight="1" thickBot="1">
      <c r="A44" s="531">
        <v>7</v>
      </c>
      <c r="B44" s="234" t="s">
        <v>903</v>
      </c>
      <c r="C44" s="235"/>
      <c r="D44" s="233" vm="288">
        <v>454991864.73999977</v>
      </c>
      <c r="F44" s="43"/>
      <c r="G44" s="43"/>
      <c r="H44" s="43"/>
    </row>
    <row r="45" spans="1:8" ht="20" customHeight="1" thickBot="1">
      <c r="A45" s="531"/>
      <c r="B45" s="234"/>
      <c r="C45" s="235"/>
      <c r="D45" s="233" t="s">
        <v>390</v>
      </c>
      <c r="F45" s="43"/>
      <c r="G45" s="43"/>
      <c r="H45" s="43"/>
    </row>
    <row r="46" spans="1:8" ht="20" customHeight="1" thickBot="1">
      <c r="A46" s="531"/>
      <c r="B46" s="504" t="s">
        <v>904</v>
      </c>
      <c r="C46" s="235"/>
      <c r="D46" s="233" t="s">
        <v>390</v>
      </c>
      <c r="F46" s="43"/>
      <c r="G46" s="43"/>
      <c r="H46" s="43"/>
    </row>
    <row r="47" spans="1:8" ht="20" customHeight="1" thickBot="1">
      <c r="A47" s="531">
        <v>81</v>
      </c>
      <c r="B47" s="234" t="s">
        <v>416</v>
      </c>
      <c r="C47" s="235"/>
      <c r="D47" s="233" vm="287">
        <v>29450236.469999999</v>
      </c>
      <c r="F47" s="43"/>
      <c r="G47" s="43"/>
      <c r="H47" s="43"/>
    </row>
    <row r="48" spans="1:8" ht="20" customHeight="1" thickBot="1">
      <c r="A48" s="531">
        <v>9</v>
      </c>
      <c r="B48" s="234" t="s">
        <v>905</v>
      </c>
      <c r="C48" s="235"/>
      <c r="D48" s="233" vm="287">
        <v>-5176870.28</v>
      </c>
      <c r="F48" s="43"/>
      <c r="G48" s="43"/>
      <c r="H48" s="43"/>
    </row>
    <row r="49" spans="1:8" ht="20" customHeight="1" thickBot="1">
      <c r="A49" s="531">
        <v>89</v>
      </c>
      <c r="B49" s="234" t="s">
        <v>906</v>
      </c>
      <c r="C49" s="235"/>
      <c r="D49" s="233" vm="286">
        <v>13133238.279999994</v>
      </c>
      <c r="F49" s="43"/>
      <c r="G49" s="43"/>
      <c r="H49" s="43"/>
    </row>
    <row r="50" spans="1:8" ht="20" hidden="1" customHeight="1" thickBot="1">
      <c r="A50" s="515"/>
      <c r="B50" s="234"/>
      <c r="C50" s="235"/>
      <c r="D50" s="233" vm="286">
        <v>13133238.279999994</v>
      </c>
      <c r="F50" s="43"/>
      <c r="G50" s="43"/>
      <c r="H50" s="43"/>
    </row>
    <row r="51" spans="1:8" ht="20" hidden="1" customHeight="1" thickBot="1">
      <c r="A51" s="515"/>
      <c r="B51" s="234"/>
      <c r="C51" s="235"/>
      <c r="D51" s="508" t="s">
        <v>390</v>
      </c>
      <c r="F51" s="43"/>
      <c r="G51" s="43"/>
      <c r="H51" s="43"/>
    </row>
    <row r="52" spans="1:8" ht="20" hidden="1" customHeight="1" thickBot="1">
      <c r="A52" s="515"/>
      <c r="B52" s="234"/>
      <c r="C52" s="235"/>
      <c r="D52" s="508" t="s">
        <v>390</v>
      </c>
      <c r="F52" s="43"/>
      <c r="G52" s="43"/>
      <c r="H52" s="43"/>
    </row>
    <row r="53" spans="1:8" ht="20" hidden="1" customHeight="1" thickBot="1">
      <c r="A53" s="515"/>
      <c r="B53" s="234"/>
      <c r="C53" s="235"/>
      <c r="D53" s="508" t="s">
        <v>390</v>
      </c>
      <c r="F53" s="43"/>
      <c r="G53" s="43"/>
      <c r="H53" s="43"/>
    </row>
    <row r="54" spans="1:8" ht="20" hidden="1" customHeight="1" thickBot="1">
      <c r="A54" s="515"/>
      <c r="B54" s="248"/>
      <c r="C54" s="235"/>
      <c r="D54" s="233" t="s">
        <v>390</v>
      </c>
      <c r="F54" s="43"/>
      <c r="G54" s="43"/>
      <c r="H54" s="43"/>
    </row>
    <row r="55" spans="1:8" ht="20" hidden="1" customHeight="1" thickBot="1">
      <c r="A55" s="515"/>
      <c r="B55" s="234"/>
      <c r="C55" s="235"/>
      <c r="D55" s="233" t="s">
        <v>390</v>
      </c>
      <c r="F55" s="43"/>
      <c r="G55" s="43"/>
      <c r="H55" s="43"/>
    </row>
    <row r="56" spans="1:8" s="200" customFormat="1" ht="16.75" hidden="1" customHeight="1" thickBot="1">
      <c r="A56" s="517"/>
      <c r="B56" s="509"/>
      <c r="C56" s="505"/>
      <c r="D56" s="233" t="s">
        <v>390</v>
      </c>
      <c r="F56" s="506"/>
      <c r="G56" s="506"/>
      <c r="H56" s="506"/>
    </row>
    <row r="57" spans="1:8" ht="18" customHeight="1" thickBot="1">
      <c r="A57" s="517"/>
      <c r="B57" s="242"/>
      <c r="C57" s="243"/>
      <c r="D57" s="244" t="s">
        <v>390</v>
      </c>
      <c r="F57" s="43"/>
      <c r="G57" s="43"/>
      <c r="H57" s="43"/>
    </row>
    <row r="58" spans="1:8" ht="15.5" customHeight="1">
      <c r="A58" s="189" t="s">
        <v>346</v>
      </c>
    </row>
    <row r="60" spans="1:8">
      <c r="A60" s="3" t="s">
        <v>907</v>
      </c>
    </row>
    <row r="63" spans="1:8">
      <c r="A63" s="3" t="s">
        <v>302</v>
      </c>
    </row>
    <row r="69" spans="1:4">
      <c r="B69" s="259"/>
      <c r="C69" s="259"/>
      <c r="D69" s="43"/>
    </row>
    <row r="72" spans="1:4" ht="14">
      <c r="A72" s="260"/>
      <c r="B72" s="260"/>
      <c r="C72" s="261"/>
      <c r="D72" s="262"/>
    </row>
  </sheetData>
  <mergeCells count="1">
    <mergeCell ref="A2:B2"/>
  </mergeCells>
  <pageMargins left="0.6" right="0.49" top="0.68" bottom="0.49" header="0.42" footer="0.4921259845"/>
  <pageSetup paperSize="9" scale="71" orientation="portrait"/>
  <headerFooter alignWithMargins="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79019-6271-B14A-9F45-E8A4B324E565}">
  <dimension ref="A1:K34"/>
  <sheetViews>
    <sheetView zoomScaleNormal="100" workbookViewId="0">
      <selection activeCell="A3" sqref="A3"/>
    </sheetView>
  </sheetViews>
  <sheetFormatPr baseColWidth="10" defaultColWidth="11.3984375" defaultRowHeight="13"/>
  <cols>
    <col min="1" max="1" width="13.796875" style="3" customWidth="1"/>
    <col min="2" max="6" width="15" style="3" customWidth="1"/>
    <col min="7" max="7" width="15" style="530" customWidth="1"/>
    <col min="8" max="16384" width="11.3984375" style="3"/>
  </cols>
  <sheetData>
    <row r="1" spans="1:11" s="1" customFormat="1" ht="14" customHeight="1">
      <c r="G1" s="518"/>
    </row>
    <row r="2" spans="1:11" s="1" customFormat="1" ht="24.5" customHeight="1">
      <c r="A2" s="223" t="s">
        <v>850</v>
      </c>
      <c r="G2" s="327"/>
    </row>
    <row r="3" spans="1:11" ht="24" customHeight="1">
      <c r="A3" s="224" t="s">
        <v>474</v>
      </c>
      <c r="B3" s="267" t="s">
        <v>851</v>
      </c>
      <c r="C3" s="268"/>
      <c r="D3" s="267" t="s">
        <v>852</v>
      </c>
      <c r="E3" s="268"/>
      <c r="F3" s="267" t="s">
        <v>853</v>
      </c>
      <c r="G3" s="519" t="s">
        <v>475</v>
      </c>
    </row>
    <row r="4" spans="1:11" ht="15" customHeight="1">
      <c r="A4" s="269"/>
      <c r="B4" s="270" t="s">
        <v>854</v>
      </c>
      <c r="C4" s="271" t="s">
        <v>855</v>
      </c>
      <c r="D4" s="270" t="s">
        <v>856</v>
      </c>
      <c r="E4" s="271" t="s">
        <v>857</v>
      </c>
      <c r="F4" s="270" t="s">
        <v>858</v>
      </c>
      <c r="G4" s="521" t="s">
        <v>476</v>
      </c>
    </row>
    <row r="5" spans="1:11" ht="15" customHeight="1">
      <c r="A5" s="269"/>
      <c r="B5" s="270" t="s">
        <v>859</v>
      </c>
      <c r="C5" s="271" t="s">
        <v>859</v>
      </c>
      <c r="D5" s="270" t="s">
        <v>860</v>
      </c>
      <c r="E5" s="271" t="s">
        <v>861</v>
      </c>
      <c r="F5" s="270"/>
      <c r="G5" s="521" t="s">
        <v>477</v>
      </c>
    </row>
    <row r="6" spans="1:11" ht="24" customHeight="1">
      <c r="A6" s="273"/>
      <c r="B6" s="274"/>
      <c r="C6" s="275"/>
      <c r="D6" s="274"/>
      <c r="E6" s="275"/>
      <c r="F6" s="274"/>
      <c r="G6" s="471"/>
    </row>
    <row r="7" spans="1:11" ht="1.25" customHeight="1" thickBot="1">
      <c r="A7" s="277">
        <v>1996</v>
      </c>
      <c r="B7" s="278">
        <v>4170.9064983500002</v>
      </c>
      <c r="C7" s="279">
        <v>8662.5285187900008</v>
      </c>
      <c r="D7" s="278">
        <v>8044.1419523000004</v>
      </c>
      <c r="E7" s="279">
        <v>4789.2930648399997</v>
      </c>
      <c r="F7" s="278">
        <v>12833.435017170003</v>
      </c>
      <c r="G7" s="308">
        <v>-6.5875098254165963E-3</v>
      </c>
      <c r="I7" s="8"/>
      <c r="J7" s="8"/>
      <c r="K7" s="8"/>
    </row>
    <row r="8" spans="1:11" ht="19.5" hidden="1" customHeight="1" thickBot="1">
      <c r="A8" s="280">
        <v>1997</v>
      </c>
      <c r="B8" s="281">
        <v>4394.7098477299996</v>
      </c>
      <c r="C8" s="282">
        <v>9362.3509974099998</v>
      </c>
      <c r="D8" s="281">
        <v>9077.9116548700003</v>
      </c>
      <c r="E8" s="282">
        <v>4679.1491902700009</v>
      </c>
      <c r="F8" s="281">
        <v>13757.060845139998</v>
      </c>
      <c r="G8" s="309">
        <v>7.1970273487516487E-2</v>
      </c>
    </row>
    <row r="9" spans="1:11" ht="0.75" hidden="1" customHeight="1" thickBot="1">
      <c r="A9" s="280">
        <v>1998</v>
      </c>
      <c r="B9" s="281">
        <v>4492.0042062100001</v>
      </c>
      <c r="C9" s="282">
        <v>10278.585833719999</v>
      </c>
      <c r="D9" s="281">
        <v>9968.5479871799998</v>
      </c>
      <c r="E9" s="282">
        <v>4802.0420530199999</v>
      </c>
      <c r="F9" s="281">
        <v>14770.59003996</v>
      </c>
      <c r="G9" s="309">
        <v>7.3673381707696217E-2</v>
      </c>
    </row>
    <row r="10" spans="1:11" ht="19.75" hidden="1" customHeight="1" thickBot="1">
      <c r="A10" s="280">
        <v>1999</v>
      </c>
      <c r="B10" s="281">
        <v>4039.0720529599998</v>
      </c>
      <c r="C10" s="282">
        <v>10698.624229800002</v>
      </c>
      <c r="D10" s="281">
        <v>9829.3330688500009</v>
      </c>
      <c r="E10" s="282">
        <v>4908.3632139400006</v>
      </c>
      <c r="F10" s="281">
        <v>14737.696282749999</v>
      </c>
      <c r="G10" s="309">
        <v>-2.2269765203022374E-3</v>
      </c>
    </row>
    <row r="11" spans="1:11" ht="19.75" hidden="1" customHeight="1" thickBot="1">
      <c r="A11" s="280">
        <v>2000</v>
      </c>
      <c r="B11" s="281">
        <v>4332.0125006399994</v>
      </c>
      <c r="C11" s="282">
        <v>10499.430512299999</v>
      </c>
      <c r="D11" s="281">
        <v>10459.0563088</v>
      </c>
      <c r="E11" s="282">
        <v>4372.38670413</v>
      </c>
      <c r="F11" s="281">
        <v>14831.443012869999</v>
      </c>
      <c r="G11" s="309">
        <v>6.361016560622712E-3</v>
      </c>
    </row>
    <row r="12" spans="1:11" ht="20" hidden="1" customHeight="1" thickBot="1">
      <c r="A12" s="280">
        <v>2001</v>
      </c>
      <c r="B12" s="281">
        <v>4480.2212955000005</v>
      </c>
      <c r="C12" s="282">
        <v>9101.4192862999989</v>
      </c>
      <c r="D12" s="281">
        <v>10583.525388</v>
      </c>
      <c r="E12" s="282">
        <v>2998.1151934999998</v>
      </c>
      <c r="F12" s="281">
        <v>13581.640582</v>
      </c>
      <c r="G12" s="309">
        <v>-8.4267082426536799E-2</v>
      </c>
    </row>
    <row r="13" spans="1:11" ht="20" hidden="1" customHeight="1" thickBot="1">
      <c r="A13" s="280">
        <v>2002</v>
      </c>
      <c r="B13" s="281">
        <v>5055.0187533999997</v>
      </c>
      <c r="C13" s="282">
        <v>8256.3197148999989</v>
      </c>
      <c r="D13" s="281">
        <v>10485.582893000001</v>
      </c>
      <c r="E13" s="282">
        <v>2730.3161460000001</v>
      </c>
      <c r="F13" s="281">
        <v>13311.318467999999</v>
      </c>
      <c r="G13" s="309">
        <v>-1.9903494895768592E-2</v>
      </c>
    </row>
    <row r="14" spans="1:11" ht="20" customHeight="1" thickBot="1">
      <c r="A14" s="280">
        <v>2003</v>
      </c>
      <c r="B14" s="281">
        <v>6067.1959962000001</v>
      </c>
      <c r="C14" s="282">
        <v>8398.4942018000002</v>
      </c>
      <c r="D14" s="281">
        <v>11252.005746999999</v>
      </c>
      <c r="E14" s="282">
        <v>3213.6844504999999</v>
      </c>
      <c r="F14" s="281">
        <v>14465.690198</v>
      </c>
      <c r="G14" s="309">
        <v>8.6721066194537677E-2</v>
      </c>
    </row>
    <row r="15" spans="1:11" ht="20" customHeight="1" thickBot="1">
      <c r="A15" s="280">
        <v>2004</v>
      </c>
      <c r="B15" s="281">
        <v>6542.9172908</v>
      </c>
      <c r="C15" s="282">
        <v>8401.4767168999988</v>
      </c>
      <c r="D15" s="281">
        <v>11192.037166</v>
      </c>
      <c r="E15" s="282">
        <v>3752.3568421999998</v>
      </c>
      <c r="F15" s="281">
        <v>14944.394007999999</v>
      </c>
      <c r="G15" s="309">
        <v>3.3092358777750075E-2</v>
      </c>
    </row>
    <row r="16" spans="1:11" ht="20" customHeight="1" thickBot="1">
      <c r="A16" s="280">
        <v>2005</v>
      </c>
      <c r="B16" s="281">
        <v>6906.5407365000001</v>
      </c>
      <c r="C16" s="282">
        <v>9245.4417635000009</v>
      </c>
      <c r="D16" s="281">
        <v>12133.7989425</v>
      </c>
      <c r="E16" s="282">
        <v>4018.1835572</v>
      </c>
      <c r="F16" s="281">
        <v>16151.982499600001</v>
      </c>
      <c r="G16" s="309">
        <v>8.0805450589268357E-2</v>
      </c>
    </row>
    <row r="17" spans="1:7" ht="20" customHeight="1" thickBot="1">
      <c r="A17" s="280">
        <v>2006</v>
      </c>
      <c r="B17" s="281">
        <v>7617.7471638000006</v>
      </c>
      <c r="C17" s="282">
        <v>10441.159153100001</v>
      </c>
      <c r="D17" s="281">
        <v>13475.7956639</v>
      </c>
      <c r="E17" s="282">
        <v>4583.1106529999997</v>
      </c>
      <c r="F17" s="281">
        <v>18058.9063169</v>
      </c>
      <c r="G17" s="309">
        <v>0.11806128550146866</v>
      </c>
    </row>
    <row r="18" spans="1:7" ht="20" customHeight="1" thickBot="1">
      <c r="A18" s="280">
        <v>2007</v>
      </c>
      <c r="B18" s="281">
        <v>7365.8641676499992</v>
      </c>
      <c r="C18" s="282">
        <v>11399.08539328</v>
      </c>
      <c r="D18" s="281">
        <v>13954.63675686</v>
      </c>
      <c r="E18" s="282">
        <v>4810.3128043300003</v>
      </c>
      <c r="F18" s="281">
        <v>18764.949561189998</v>
      </c>
      <c r="G18" s="309">
        <v>3.9096677943849967E-2</v>
      </c>
    </row>
    <row r="19" spans="1:7" ht="20" customHeight="1" thickBot="1">
      <c r="A19" s="280">
        <v>2008</v>
      </c>
      <c r="B19" s="281">
        <v>7264.3011704499995</v>
      </c>
      <c r="C19" s="282">
        <v>10486.349606420001</v>
      </c>
      <c r="D19" s="281">
        <v>13652.812469889999</v>
      </c>
      <c r="E19" s="282">
        <v>4097.8383069800002</v>
      </c>
      <c r="F19" s="281">
        <v>17750.650776869999</v>
      </c>
      <c r="G19" s="309">
        <v>-5.4052838299005646E-2</v>
      </c>
    </row>
    <row r="20" spans="1:7" ht="20" customHeight="1" thickBot="1">
      <c r="A20" s="280">
        <v>2009</v>
      </c>
      <c r="B20" s="281">
        <v>6894.4859353700003</v>
      </c>
      <c r="C20" s="282">
        <v>10208.640743260001</v>
      </c>
      <c r="D20" s="281">
        <v>13357.56575199</v>
      </c>
      <c r="E20" s="282">
        <v>3745.5609266199999</v>
      </c>
      <c r="F20" s="281">
        <v>17103.126678610002</v>
      </c>
      <c r="G20" s="309">
        <v>-3.6478893444501392E-2</v>
      </c>
    </row>
    <row r="21" spans="1:7" ht="20" customHeight="1" thickBot="1">
      <c r="A21" s="280">
        <v>2010</v>
      </c>
      <c r="B21" s="281">
        <v>8001.951770560001</v>
      </c>
      <c r="C21" s="282">
        <v>10157.524135550002</v>
      </c>
      <c r="D21" s="281">
        <v>14095.938375880005</v>
      </c>
      <c r="E21" s="282">
        <v>4063.5375305399994</v>
      </c>
      <c r="F21" s="281">
        <v>18159.475906430001</v>
      </c>
      <c r="G21" s="309">
        <v>6.1763515389330559E-2</v>
      </c>
    </row>
    <row r="22" spans="1:7" ht="20" customHeight="1" thickBot="1">
      <c r="A22" s="280">
        <v>2011</v>
      </c>
      <c r="B22" s="281">
        <v>8288.6884721999995</v>
      </c>
      <c r="C22" s="282">
        <v>10229.26596449</v>
      </c>
      <c r="D22" s="281">
        <v>14059.089480889999</v>
      </c>
      <c r="E22" s="282">
        <v>4458.8649558100005</v>
      </c>
      <c r="F22" s="281">
        <v>18517.954436700002</v>
      </c>
      <c r="G22" s="309">
        <v>1.974057688212616E-2</v>
      </c>
    </row>
    <row r="23" spans="1:7" ht="20" customHeight="1" thickBot="1">
      <c r="A23" s="280">
        <v>2012</v>
      </c>
      <c r="B23" s="281" vm="285">
        <v>5684.1836997000009</v>
      </c>
      <c r="C23" s="282" vm="282">
        <v>13302.049702279999</v>
      </c>
      <c r="D23" s="281" vm="284">
        <v>11448.866608409999</v>
      </c>
      <c r="E23" s="282" vm="281">
        <v>7537.3667935699978</v>
      </c>
      <c r="F23" s="281" vm="283">
        <v>18986.23340198</v>
      </c>
      <c r="G23" s="309">
        <v>2.5287834403131093E-2</v>
      </c>
    </row>
    <row r="24" spans="1:7" s="185" customFormat="1" ht="27.75" customHeight="1" thickBot="1">
      <c r="A24" s="391">
        <v>2013</v>
      </c>
      <c r="B24" s="524" vm="248">
        <v>5318.3751747100014</v>
      </c>
      <c r="C24" s="525" vm="264">
        <v>13319.403649339998</v>
      </c>
      <c r="D24" s="524" vm="212">
        <v>11300.79903805</v>
      </c>
      <c r="E24" s="525" vm="235">
        <v>7336.9797859999981</v>
      </c>
      <c r="F24" s="524" vm="247">
        <v>18637.778824049998</v>
      </c>
      <c r="G24" s="310">
        <v>-1.8353012446042261E-2</v>
      </c>
    </row>
    <row r="25" spans="1:7" ht="20" customHeight="1">
      <c r="A25" s="189" t="s">
        <v>346</v>
      </c>
      <c r="B25" s="189"/>
      <c r="C25" s="189"/>
      <c r="D25" s="189"/>
      <c r="E25" s="189"/>
      <c r="F25" s="189"/>
      <c r="G25" s="528"/>
    </row>
    <row r="26" spans="1:7" ht="10.5" customHeight="1">
      <c r="A26" s="219"/>
      <c r="B26" s="219"/>
      <c r="C26" s="219"/>
      <c r="D26" s="219"/>
      <c r="E26" s="219"/>
      <c r="F26" s="219"/>
      <c r="G26" s="529"/>
    </row>
    <row r="27" spans="1:7">
      <c r="A27" s="219" t="s">
        <v>862</v>
      </c>
    </row>
    <row r="28" spans="1:7">
      <c r="A28" s="3" t="s">
        <v>863</v>
      </c>
    </row>
    <row r="29" spans="1:7">
      <c r="A29" s="3" t="s">
        <v>864</v>
      </c>
    </row>
    <row r="31" spans="1:7">
      <c r="A31" s="3" t="s">
        <v>865</v>
      </c>
    </row>
    <row r="34" spans="1:1">
      <c r="A34" s="3" t="s">
        <v>302</v>
      </c>
    </row>
  </sheetData>
  <pageMargins left="0.65" right="0.61" top="0.99" bottom="0.49" header="0.56000000000000005" footer="0.4921259845"/>
  <pageSetup paperSize="9" scale="80" orientation="portrait" horizontalDpi="4294967292" verticalDpi="4294967292"/>
  <headerFooter alignWithMargins="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DE389-721A-4D44-998E-463EEF81353D}">
  <sheetPr>
    <pageSetUpPr fitToPage="1"/>
  </sheetPr>
  <dimension ref="A1:I33"/>
  <sheetViews>
    <sheetView zoomScaleNormal="100" workbookViewId="0">
      <selection activeCell="A23" sqref="A23:IV23"/>
    </sheetView>
  </sheetViews>
  <sheetFormatPr baseColWidth="10" defaultColWidth="11.3984375" defaultRowHeight="13"/>
  <cols>
    <col min="1" max="1" width="14.19921875" style="3" customWidth="1"/>
    <col min="2" max="2" width="14" style="3" customWidth="1"/>
    <col min="3" max="5" width="14" style="530" customWidth="1"/>
    <col min="6" max="8" width="14" style="3" customWidth="1"/>
    <col min="9" max="16384" width="11.3984375" style="3"/>
  </cols>
  <sheetData>
    <row r="1" spans="1:9" s="1" customFormat="1" ht="14" customHeight="1">
      <c r="C1" s="518"/>
      <c r="D1" s="518"/>
      <c r="E1" s="518"/>
    </row>
    <row r="2" spans="1:9" s="1" customFormat="1" ht="25.75" customHeight="1">
      <c r="A2" s="2010" t="s">
        <v>839</v>
      </c>
      <c r="B2" s="2011"/>
      <c r="C2" s="2011"/>
      <c r="D2" s="2011"/>
      <c r="E2" s="2011"/>
      <c r="F2" s="2011"/>
      <c r="G2" s="2011"/>
      <c r="H2" s="327"/>
    </row>
    <row r="3" spans="1:9" ht="24" customHeight="1">
      <c r="A3" s="224" t="s">
        <v>445</v>
      </c>
      <c r="B3" s="267" t="s">
        <v>761</v>
      </c>
      <c r="C3" s="519" t="s">
        <v>475</v>
      </c>
      <c r="D3" s="520" t="s">
        <v>840</v>
      </c>
      <c r="E3" s="519" t="s">
        <v>841</v>
      </c>
      <c r="F3" s="225" t="s">
        <v>475</v>
      </c>
      <c r="G3" s="519" t="s">
        <v>842</v>
      </c>
      <c r="H3" s="225" t="s">
        <v>475</v>
      </c>
    </row>
    <row r="4" spans="1:9" ht="15" customHeight="1">
      <c r="A4" s="269"/>
      <c r="B4" s="270" t="s">
        <v>843</v>
      </c>
      <c r="C4" s="521" t="s">
        <v>476</v>
      </c>
      <c r="D4" s="522" t="s">
        <v>844</v>
      </c>
      <c r="E4" s="521" t="s">
        <v>845</v>
      </c>
      <c r="F4" s="332" t="s">
        <v>476</v>
      </c>
      <c r="G4" s="521" t="s">
        <v>846</v>
      </c>
      <c r="H4" s="332" t="s">
        <v>476</v>
      </c>
    </row>
    <row r="5" spans="1:9" ht="15" customHeight="1">
      <c r="A5" s="269"/>
      <c r="B5" s="270"/>
      <c r="C5" s="521" t="s">
        <v>477</v>
      </c>
      <c r="D5" s="522"/>
      <c r="E5" s="306" t="s">
        <v>843</v>
      </c>
      <c r="F5" s="522" t="s">
        <v>477</v>
      </c>
      <c r="G5" s="306" t="s">
        <v>843</v>
      </c>
      <c r="H5" s="522" t="s">
        <v>477</v>
      </c>
    </row>
    <row r="6" spans="1:9" ht="24" customHeight="1">
      <c r="A6" s="273"/>
      <c r="B6" s="274"/>
      <c r="C6" s="471"/>
      <c r="D6" s="523"/>
      <c r="E6" s="471"/>
      <c r="F6" s="229"/>
      <c r="G6" s="471"/>
      <c r="H6" s="523"/>
    </row>
    <row r="7" spans="1:9" ht="1.5" customHeight="1" thickBot="1">
      <c r="A7" s="277">
        <v>1996</v>
      </c>
      <c r="B7" s="278">
        <v>4007.8366596000001</v>
      </c>
      <c r="C7" s="308">
        <v>-1.767505493939879E-2</v>
      </c>
      <c r="D7" s="406">
        <v>0.24196501185861982</v>
      </c>
      <c r="E7" s="279">
        <v>7634.4120938999995</v>
      </c>
      <c r="F7" s="406" t="s">
        <v>153</v>
      </c>
      <c r="G7" s="279">
        <v>878.70776672</v>
      </c>
      <c r="H7" s="406" t="s">
        <v>153</v>
      </c>
      <c r="I7" s="8"/>
    </row>
    <row r="8" spans="1:9" ht="0.75" hidden="1" customHeight="1" thickBot="1">
      <c r="A8" s="280">
        <v>1997</v>
      </c>
      <c r="B8" s="281">
        <v>4017.3956079</v>
      </c>
      <c r="C8" s="309">
        <v>2.385064340659509E-3</v>
      </c>
      <c r="D8" s="351">
        <v>0.22399999999999998</v>
      </c>
      <c r="E8" s="282">
        <v>8314.1764980999997</v>
      </c>
      <c r="F8" s="351">
        <v>8.9039522079655792E-2</v>
      </c>
      <c r="G8" s="282">
        <v>892.88593902000002</v>
      </c>
      <c r="H8" s="351">
        <v>1.6135253194499075E-2</v>
      </c>
    </row>
    <row r="9" spans="1:9" ht="19.5" hidden="1" customHeight="1" thickBot="1">
      <c r="A9" s="280">
        <v>1998</v>
      </c>
      <c r="B9" s="281">
        <v>4117.6667946999996</v>
      </c>
      <c r="C9" s="309">
        <v>2.4959251362455213E-2</v>
      </c>
      <c r="D9" s="351">
        <v>0.22</v>
      </c>
      <c r="E9" s="282">
        <v>9206.9689780000008</v>
      </c>
      <c r="F9" s="351">
        <v>0.1073819493853693</v>
      </c>
      <c r="G9" s="282">
        <v>910.20990798000003</v>
      </c>
      <c r="H9" s="351">
        <v>1.9402219480591416E-2</v>
      </c>
    </row>
    <row r="10" spans="1:9" ht="19.75" hidden="1" customHeight="1" thickBot="1">
      <c r="A10" s="280">
        <v>1999</v>
      </c>
      <c r="B10" s="281">
        <v>4531.0035571000008</v>
      </c>
      <c r="C10" s="309">
        <v>0.10038130402683909</v>
      </c>
      <c r="D10" s="351">
        <v>0.248</v>
      </c>
      <c r="E10" s="282">
        <v>9587.3624237999993</v>
      </c>
      <c r="F10" s="351">
        <v>4.1315817041302827E-2</v>
      </c>
      <c r="G10" s="282">
        <v>929.94977453999991</v>
      </c>
      <c r="H10" s="351">
        <v>2.168715851908054E-2</v>
      </c>
    </row>
    <row r="11" spans="1:9" ht="0.5" customHeight="1" thickBot="1">
      <c r="A11" s="280">
        <v>2000</v>
      </c>
      <c r="B11" s="281">
        <v>4046.3173426999997</v>
      </c>
      <c r="C11" s="309">
        <v>-0.10697105139997221</v>
      </c>
      <c r="D11" s="351">
        <v>0.22899999999999998</v>
      </c>
      <c r="E11" s="282">
        <v>9383.0818280000003</v>
      </c>
      <c r="F11" s="351">
        <v>-2.1307277932133384E-2</v>
      </c>
      <c r="G11" s="282">
        <v>935.15434852999999</v>
      </c>
      <c r="H11" s="351">
        <v>5.5966183685292048E-3</v>
      </c>
    </row>
    <row r="12" spans="1:9" ht="20" hidden="1" customHeight="1" thickBot="1">
      <c r="A12" s="280">
        <v>2001</v>
      </c>
      <c r="B12" s="281">
        <v>2721.4537870999998</v>
      </c>
      <c r="C12" s="309">
        <v>-0.32742453035479269</v>
      </c>
      <c r="D12" s="351">
        <v>0.16266572127677031</v>
      </c>
      <c r="E12" s="282">
        <v>7961.4574869999997</v>
      </c>
      <c r="F12" s="351">
        <v>-0.15150931933234768</v>
      </c>
      <c r="G12" s="282">
        <v>954.93160932000001</v>
      </c>
      <c r="H12" s="351">
        <v>2.1148659385574753E-2</v>
      </c>
    </row>
    <row r="13" spans="1:9" ht="20" hidden="1" customHeight="1" thickBot="1">
      <c r="A13" s="280">
        <v>2002</v>
      </c>
      <c r="B13" s="281">
        <v>2517.2839804</v>
      </c>
      <c r="C13" s="309">
        <v>-7.5022330957000949E-2</v>
      </c>
      <c r="D13" s="351">
        <v>0.13972376589664312</v>
      </c>
      <c r="E13" s="282">
        <v>7106.5237452000001</v>
      </c>
      <c r="F13" s="351">
        <v>-0.10738407423464769</v>
      </c>
      <c r="G13" s="282">
        <v>984.65094364999993</v>
      </c>
      <c r="H13" s="351">
        <v>3.1121950556399325E-2</v>
      </c>
    </row>
    <row r="14" spans="1:9" ht="20" customHeight="1" thickBot="1">
      <c r="A14" s="280">
        <v>2003</v>
      </c>
      <c r="B14" s="281">
        <v>3007.4782717600006</v>
      </c>
      <c r="C14" s="309">
        <v>0.19473142290529655</v>
      </c>
      <c r="D14" s="351">
        <v>0.15444074863234167</v>
      </c>
      <c r="E14" s="282">
        <v>7378.0453514999999</v>
      </c>
      <c r="F14" s="351">
        <v>3.820737339875846E-2</v>
      </c>
      <c r="G14" s="282">
        <v>885.89521162999995</v>
      </c>
      <c r="H14" s="351">
        <v>-0.1002951682084644</v>
      </c>
    </row>
    <row r="15" spans="1:9" ht="20" customHeight="1" thickBot="1">
      <c r="A15" s="280">
        <v>2004</v>
      </c>
      <c r="B15" s="281">
        <v>3581.7878758600004</v>
      </c>
      <c r="C15" s="309">
        <v>0.19096051648742551</v>
      </c>
      <c r="D15" s="351">
        <v>0.17609858201884715</v>
      </c>
      <c r="E15" s="282">
        <v>7386.4198756999995</v>
      </c>
      <c r="F15" s="351">
        <v>1.1350600058723792E-3</v>
      </c>
      <c r="G15" s="282">
        <v>876.33966492999991</v>
      </c>
      <c r="H15" s="351">
        <v>-1.0786317133849699E-2</v>
      </c>
    </row>
    <row r="16" spans="1:9" ht="20" customHeight="1" thickBot="1">
      <c r="A16" s="280">
        <v>2005</v>
      </c>
      <c r="B16" s="281">
        <v>3869.5470762</v>
      </c>
      <c r="C16" s="309">
        <v>8.0339542796321384E-2</v>
      </c>
      <c r="D16" s="351">
        <v>0.18526823405593668</v>
      </c>
      <c r="E16" s="282">
        <v>8227.3219200000003</v>
      </c>
      <c r="F16" s="351">
        <v>0.11384433303966635</v>
      </c>
      <c r="G16" s="282">
        <v>864.96945500000004</v>
      </c>
      <c r="H16" s="351">
        <v>-1.2974660836455598E-2</v>
      </c>
    </row>
    <row r="17" spans="1:8" ht="20" customHeight="1" thickBot="1">
      <c r="A17" s="280">
        <v>2006</v>
      </c>
      <c r="B17" s="281">
        <v>4510.5379199999998</v>
      </c>
      <c r="C17" s="309">
        <v>0.16565009578058176</v>
      </c>
      <c r="D17" s="351">
        <v>0.20772626624087148</v>
      </c>
      <c r="E17" s="282">
        <v>9466.6831490000004</v>
      </c>
      <c r="F17" s="351">
        <v>0.15063969066133254</v>
      </c>
      <c r="G17" s="282">
        <v>858.28986799999996</v>
      </c>
      <c r="H17" s="351">
        <v>-7.7223385882453366E-3</v>
      </c>
    </row>
    <row r="18" spans="1:8" ht="20" customHeight="1" thickBot="1">
      <c r="A18" s="280">
        <v>2007</v>
      </c>
      <c r="B18" s="281">
        <v>4787.9201766100005</v>
      </c>
      <c r="C18" s="309">
        <v>6.1496491445082624E-2</v>
      </c>
      <c r="D18" s="351">
        <v>0.21638748853648229</v>
      </c>
      <c r="E18" s="282">
        <v>10372.83324</v>
      </c>
      <c r="F18" s="351">
        <v>9.5719913378078836E-2</v>
      </c>
      <c r="G18" s="282">
        <v>895.33742199999995</v>
      </c>
      <c r="H18" s="351">
        <v>4.3164384645864251E-2</v>
      </c>
    </row>
    <row r="19" spans="1:8" ht="20" customHeight="1" thickBot="1">
      <c r="A19" s="280">
        <v>2008</v>
      </c>
      <c r="B19" s="281">
        <v>4080.91032378</v>
      </c>
      <c r="C19" s="309">
        <v>-0.1476653383412474</v>
      </c>
      <c r="D19" s="351">
        <v>0.18391331751178366</v>
      </c>
      <c r="E19" s="282">
        <v>9350.3630895499991</v>
      </c>
      <c r="F19" s="351">
        <v>-9.8571925990974529E-2</v>
      </c>
      <c r="G19" s="282">
        <v>999.65196694000008</v>
      </c>
      <c r="H19" s="351">
        <v>0.11650863951043489</v>
      </c>
    </row>
    <row r="20" spans="1:8" ht="20" customHeight="1" thickBot="1">
      <c r="A20" s="280">
        <v>2009</v>
      </c>
      <c r="B20" s="281">
        <v>3730.97067328</v>
      </c>
      <c r="C20" s="309">
        <v>-8.5750389676748306E-2</v>
      </c>
      <c r="D20" s="351">
        <v>0.16506146744457434</v>
      </c>
      <c r="E20" s="282">
        <v>9018.8227868199992</v>
      </c>
      <c r="F20" s="351">
        <v>-3.5457478982878321E-2</v>
      </c>
      <c r="G20" s="282">
        <v>1016.50244943</v>
      </c>
      <c r="H20" s="351">
        <v>1.6856349056742603E-2</v>
      </c>
    </row>
    <row r="21" spans="1:8" ht="20" customHeight="1" thickBot="1">
      <c r="A21" s="280">
        <v>2010</v>
      </c>
      <c r="B21" s="281">
        <v>4055.8357633599976</v>
      </c>
      <c r="C21" s="309">
        <v>8.7072539166972218E-2</v>
      </c>
      <c r="D21" s="351">
        <v>0.16490555759813022</v>
      </c>
      <c r="E21" s="282">
        <v>9041.5524071900018</v>
      </c>
      <c r="F21" s="351">
        <v>2.5202424869927853E-3</v>
      </c>
      <c r="G21" s="282">
        <v>966.36126515000001</v>
      </c>
      <c r="H21" s="351">
        <v>-4.932716523026226E-2</v>
      </c>
    </row>
    <row r="22" spans="1:8" ht="20" customHeight="1" thickBot="1">
      <c r="A22" s="280">
        <v>2011</v>
      </c>
      <c r="B22" s="281">
        <v>4451.2256192599998</v>
      </c>
      <c r="C22" s="309">
        <v>9.7486653545469926E-2</v>
      </c>
      <c r="D22" s="351">
        <v>0.17129265866854412</v>
      </c>
      <c r="E22" s="282">
        <v>9122.3261908099994</v>
      </c>
      <c r="F22" s="351">
        <v>8.9336189165662994E-3</v>
      </c>
      <c r="G22" s="282">
        <v>973.59030969000003</v>
      </c>
      <c r="H22" s="351">
        <v>7.4806853303230891E-3</v>
      </c>
    </row>
    <row r="23" spans="1:8" ht="20" customHeight="1" thickBot="1">
      <c r="A23" s="280">
        <v>2012</v>
      </c>
      <c r="B23" s="281" vm="281">
        <v>7537.3667935699978</v>
      </c>
      <c r="C23" s="309">
        <v>0.69332391531819448</v>
      </c>
      <c r="D23" s="351" vm="280">
        <v>0.27969545063761414</v>
      </c>
      <c r="E23" s="282" vm="281">
        <v>13302.049702279999</v>
      </c>
      <c r="F23" s="351">
        <v>0.45818614945831815</v>
      </c>
      <c r="G23" s="282" vm="280">
        <v>1071.0635904800001</v>
      </c>
      <c r="H23" s="351">
        <v>0.1001173489709819</v>
      </c>
    </row>
    <row r="24" spans="1:8" s="185" customFormat="1" ht="28.5" customHeight="1" thickBot="1">
      <c r="A24" s="391">
        <v>2013</v>
      </c>
      <c r="B24" s="524" vm="264">
        <v>7336.9797859999981</v>
      </c>
      <c r="C24" s="310">
        <v>-2.6585810808749111E-2</v>
      </c>
      <c r="D24" s="409" vm="204">
        <v>0.27198055114207342</v>
      </c>
      <c r="E24" s="525" vm="264">
        <v>13319.403649339998</v>
      </c>
      <c r="F24" s="526">
        <v>1.3046069927873383E-3</v>
      </c>
      <c r="G24" s="527" vm="204">
        <v>1049.8319238199999</v>
      </c>
      <c r="H24" s="526">
        <v>-1.9822974890300604E-2</v>
      </c>
    </row>
    <row r="25" spans="1:8" ht="20" customHeight="1">
      <c r="A25" s="189" t="s">
        <v>346</v>
      </c>
      <c r="B25" s="189"/>
      <c r="C25" s="528"/>
      <c r="D25" s="528"/>
      <c r="E25" s="528"/>
    </row>
    <row r="26" spans="1:8" ht="11.25" customHeight="1">
      <c r="A26" s="219"/>
      <c r="B26" s="219"/>
      <c r="C26" s="529"/>
      <c r="D26" s="529"/>
      <c r="E26" s="529"/>
    </row>
    <row r="27" spans="1:8">
      <c r="A27" s="3" t="s">
        <v>847</v>
      </c>
    </row>
    <row r="29" spans="1:8">
      <c r="A29" s="3" t="s">
        <v>848</v>
      </c>
    </row>
    <row r="30" spans="1:8">
      <c r="A30" s="68" t="s">
        <v>849</v>
      </c>
    </row>
    <row r="33" spans="1:1">
      <c r="A33" s="3" t="s">
        <v>302</v>
      </c>
    </row>
  </sheetData>
  <mergeCells count="1">
    <mergeCell ref="A2:G2"/>
  </mergeCells>
  <pageMargins left="0.69" right="0.56000000000000005" top="1.08" bottom="0.49" header="0.53" footer="0.4921259845"/>
  <pageSetup paperSize="9" scale="80" orientation="portrait" horizontalDpi="4294967292" verticalDpi="4294967292"/>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069A5-87E7-B348-B3A0-65C349FB3F7A}">
  <sheetPr>
    <pageSetUpPr fitToPage="1"/>
  </sheetPr>
  <dimension ref="A1:H64"/>
  <sheetViews>
    <sheetView zoomScaleNormal="100" workbookViewId="0"/>
  </sheetViews>
  <sheetFormatPr baseColWidth="10" defaultColWidth="11.3984375" defaultRowHeight="13"/>
  <cols>
    <col min="1" max="1" width="17.3984375" style="3" customWidth="1"/>
    <col min="2" max="2" width="67.19921875" style="245" customWidth="1"/>
    <col min="3" max="3" width="7.19921875" style="245" customWidth="1"/>
    <col min="4" max="4" width="20.19921875" style="246" customWidth="1"/>
    <col min="5" max="5" width="12.19921875" style="3" customWidth="1"/>
    <col min="6" max="16384" width="11.3984375" style="3"/>
  </cols>
  <sheetData>
    <row r="1" spans="1:8" s="1" customFormat="1" ht="14" customHeight="1">
      <c r="B1" s="221"/>
      <c r="C1" s="221"/>
      <c r="D1" s="222"/>
    </row>
    <row r="2" spans="1:8" s="1" customFormat="1" ht="24" customHeight="1">
      <c r="A2" s="2010" t="s">
        <v>802</v>
      </c>
      <c r="B2" s="2011"/>
      <c r="C2" s="221"/>
      <c r="D2" s="223"/>
      <c r="E2" s="223">
        <v>2013</v>
      </c>
    </row>
    <row r="3" spans="1:8" ht="39" customHeight="1">
      <c r="A3" s="224" t="s">
        <v>380</v>
      </c>
      <c r="B3" s="224"/>
      <c r="C3" s="225"/>
      <c r="D3" s="226" t="s">
        <v>381</v>
      </c>
      <c r="E3" s="225" t="s">
        <v>721</v>
      </c>
    </row>
    <row r="4" spans="1:8" ht="38" customHeight="1">
      <c r="A4" s="513"/>
      <c r="B4" s="228"/>
      <c r="C4" s="229"/>
      <c r="D4" s="230" t="s">
        <v>382</v>
      </c>
      <c r="E4" s="229" t="s">
        <v>648</v>
      </c>
    </row>
    <row r="5" spans="1:8" ht="20" customHeight="1" thickBot="1">
      <c r="A5" s="514"/>
      <c r="B5" s="502" t="s">
        <v>803</v>
      </c>
      <c r="C5" s="232"/>
      <c r="D5" s="233" t="s">
        <v>390</v>
      </c>
      <c r="E5" s="232"/>
      <c r="F5" s="43"/>
      <c r="G5" s="43"/>
      <c r="H5" s="43"/>
    </row>
    <row r="6" spans="1:8" ht="20" customHeight="1" thickBot="1">
      <c r="A6" s="515">
        <v>10</v>
      </c>
      <c r="B6" s="234" t="s">
        <v>804</v>
      </c>
      <c r="C6" s="235"/>
      <c r="D6" s="233" vm="264">
        <v>13255659213.759998</v>
      </c>
      <c r="E6" s="503">
        <v>0.71122526664255892</v>
      </c>
      <c r="F6" s="43"/>
      <c r="G6" s="43"/>
      <c r="H6" s="43"/>
    </row>
    <row r="7" spans="1:8" ht="20" customHeight="1" thickBot="1">
      <c r="A7" s="515">
        <v>100</v>
      </c>
      <c r="B7" s="234" t="s">
        <v>805</v>
      </c>
      <c r="C7" s="235"/>
      <c r="D7" s="233" vm="193">
        <v>11664072648.279999</v>
      </c>
      <c r="E7" s="503">
        <v>0.62582954537634061</v>
      </c>
      <c r="F7" s="43"/>
      <c r="G7" s="43"/>
      <c r="H7" s="43"/>
    </row>
    <row r="8" spans="1:8" ht="20" customHeight="1" thickBot="1">
      <c r="A8" s="515">
        <v>101</v>
      </c>
      <c r="B8" s="234" t="s">
        <v>806</v>
      </c>
      <c r="C8" s="235"/>
      <c r="D8" s="233" vm="279">
        <v>1550747497.1299999</v>
      </c>
      <c r="E8" s="503">
        <v>8.3204523015850532E-2</v>
      </c>
      <c r="F8" s="43"/>
      <c r="G8" s="43"/>
      <c r="H8" s="43"/>
    </row>
    <row r="9" spans="1:8" ht="20" customHeight="1" thickBot="1">
      <c r="A9" s="515">
        <v>102</v>
      </c>
      <c r="B9" s="234" t="s">
        <v>807</v>
      </c>
      <c r="C9" s="235"/>
      <c r="D9" s="233" vm="278">
        <v>20397725.84</v>
      </c>
      <c r="E9" s="503">
        <v>1.0944290106972932E-3</v>
      </c>
      <c r="F9" s="43"/>
      <c r="G9" s="43"/>
      <c r="H9" s="43"/>
    </row>
    <row r="10" spans="1:8" ht="20" customHeight="1" thickBot="1">
      <c r="A10" s="515">
        <v>103</v>
      </c>
      <c r="B10" s="234" t="s">
        <v>808</v>
      </c>
      <c r="C10" s="235"/>
      <c r="D10" s="233" vm="277">
        <v>41811.230000000003</v>
      </c>
      <c r="E10" s="503">
        <v>2.2433590609009277E-6</v>
      </c>
      <c r="F10" s="43"/>
      <c r="G10" s="43"/>
      <c r="H10" s="43"/>
    </row>
    <row r="11" spans="1:8" ht="20" customHeight="1" thickBot="1">
      <c r="A11" s="515">
        <v>104</v>
      </c>
      <c r="B11" s="234" t="s">
        <v>809</v>
      </c>
      <c r="C11" s="235"/>
      <c r="D11" s="233" vm="276">
        <v>20399531.280000001</v>
      </c>
      <c r="E11" s="503">
        <v>1.0945258806095851E-3</v>
      </c>
      <c r="F11" s="43"/>
      <c r="G11" s="43"/>
      <c r="H11" s="43"/>
    </row>
    <row r="12" spans="1:8" ht="20" customHeight="1" thickBot="1">
      <c r="A12" s="515">
        <v>11</v>
      </c>
      <c r="B12" s="234" t="s">
        <v>810</v>
      </c>
      <c r="C12" s="235"/>
      <c r="D12" s="233" vm="275">
        <v>25636053.259999998</v>
      </c>
      <c r="E12" s="503">
        <v>1.3754886514115887E-3</v>
      </c>
      <c r="F12" s="43"/>
      <c r="G12" s="43"/>
      <c r="H12" s="43"/>
    </row>
    <row r="13" spans="1:8" ht="20" customHeight="1" thickBot="1">
      <c r="A13" s="515">
        <v>110</v>
      </c>
      <c r="B13" s="234" t="s">
        <v>811</v>
      </c>
      <c r="C13" s="235"/>
      <c r="D13" s="233" vm="274">
        <v>774468.2</v>
      </c>
      <c r="E13" s="503">
        <v>4.1553674786645397E-5</v>
      </c>
      <c r="F13" s="43"/>
      <c r="G13" s="43"/>
      <c r="H13" s="43"/>
    </row>
    <row r="14" spans="1:8" ht="20" customHeight="1" thickBot="1">
      <c r="A14" s="515">
        <v>111</v>
      </c>
      <c r="B14" s="234" t="s">
        <v>812</v>
      </c>
      <c r="C14" s="235"/>
      <c r="D14" s="233" vm="273">
        <v>0</v>
      </c>
      <c r="E14" s="503">
        <v>0</v>
      </c>
      <c r="F14" s="43"/>
      <c r="G14" s="43"/>
      <c r="H14" s="43"/>
    </row>
    <row r="15" spans="1:8" ht="20" customHeight="1" thickBot="1">
      <c r="A15" s="515">
        <v>112</v>
      </c>
      <c r="B15" s="234" t="s">
        <v>813</v>
      </c>
      <c r="C15" s="235"/>
      <c r="D15" s="233" vm="272">
        <v>15880750.209999997</v>
      </c>
      <c r="E15" s="503">
        <v>8.5207311235540792E-4</v>
      </c>
      <c r="F15" s="43"/>
      <c r="G15" s="43"/>
      <c r="H15" s="43"/>
    </row>
    <row r="16" spans="1:8" ht="20" customHeight="1" thickBot="1">
      <c r="A16" s="515">
        <v>113</v>
      </c>
      <c r="B16" s="234" t="s">
        <v>814</v>
      </c>
      <c r="C16" s="235"/>
      <c r="D16" s="233" vm="271">
        <v>7780434.8499999996</v>
      </c>
      <c r="E16" s="503">
        <v>4.1745504780645889E-4</v>
      </c>
      <c r="F16" s="43"/>
      <c r="G16" s="43"/>
      <c r="H16" s="237"/>
    </row>
    <row r="17" spans="1:8" ht="20" customHeight="1" thickBot="1">
      <c r="A17" s="515">
        <v>114</v>
      </c>
      <c r="B17" s="234" t="s">
        <v>815</v>
      </c>
      <c r="C17" s="235"/>
      <c r="D17" s="233" vm="270">
        <v>1200400</v>
      </c>
      <c r="E17" s="503">
        <v>6.4406816463076394E-5</v>
      </c>
      <c r="F17" s="43"/>
      <c r="G17" s="43"/>
      <c r="H17" s="43"/>
    </row>
    <row r="18" spans="1:8" ht="20" customHeight="1" thickBot="1">
      <c r="A18" s="515">
        <v>115</v>
      </c>
      <c r="B18" s="234" t="s">
        <v>816</v>
      </c>
      <c r="C18" s="235"/>
      <c r="D18" s="233" vm="269">
        <v>0</v>
      </c>
      <c r="E18" s="503">
        <v>0</v>
      </c>
      <c r="F18" s="43"/>
      <c r="G18" s="43"/>
      <c r="H18" s="238"/>
    </row>
    <row r="19" spans="1:8" ht="20" customHeight="1" thickBot="1">
      <c r="A19" s="515">
        <v>13</v>
      </c>
      <c r="B19" s="234" t="s">
        <v>817</v>
      </c>
      <c r="C19" s="235"/>
      <c r="D19" s="233" vm="268">
        <v>38108382.319999948</v>
      </c>
      <c r="E19" s="503">
        <v>2.0446847599041836E-3</v>
      </c>
      <c r="F19" s="43"/>
      <c r="G19" s="43"/>
      <c r="H19" s="43"/>
    </row>
    <row r="20" spans="1:8" ht="20" customHeight="1" thickBot="1">
      <c r="A20" s="515">
        <v>130</v>
      </c>
      <c r="B20" s="234" t="s">
        <v>818</v>
      </c>
      <c r="C20" s="235"/>
      <c r="D20" s="233" vm="267">
        <v>16726095.859999955</v>
      </c>
      <c r="E20" s="503">
        <v>8.9742967860616371E-4</v>
      </c>
      <c r="F20" s="43"/>
      <c r="G20" s="43"/>
      <c r="H20" s="43"/>
    </row>
    <row r="21" spans="1:8" ht="20" customHeight="1" thickBot="1">
      <c r="A21" s="515">
        <v>131</v>
      </c>
      <c r="B21" s="234" t="s">
        <v>819</v>
      </c>
      <c r="C21" s="235"/>
      <c r="D21" s="233" vm="266">
        <v>20555207.289999992</v>
      </c>
      <c r="E21" s="503">
        <v>1.1028785932085299E-3</v>
      </c>
      <c r="F21" s="43"/>
      <c r="G21" s="43"/>
      <c r="H21" s="43"/>
    </row>
    <row r="22" spans="1:8" ht="20" customHeight="1" thickBot="1">
      <c r="A22" s="515">
        <v>132</v>
      </c>
      <c r="B22" s="234" t="s">
        <v>820</v>
      </c>
      <c r="C22" s="235"/>
      <c r="D22" s="233" vm="265">
        <v>827079.16999999993</v>
      </c>
      <c r="E22" s="503">
        <v>4.4376488089489795E-5</v>
      </c>
      <c r="F22" s="43"/>
      <c r="G22" s="43"/>
      <c r="H22" s="43"/>
    </row>
    <row r="23" spans="1:8" ht="20" customHeight="1" thickBot="1">
      <c r="A23" s="515">
        <v>990</v>
      </c>
      <c r="B23" s="234" t="s">
        <v>821</v>
      </c>
      <c r="C23" s="235"/>
      <c r="D23" s="233" vm="264">
        <v>13319403649.339998</v>
      </c>
      <c r="E23" s="503">
        <v>0.71464544005387465</v>
      </c>
      <c r="F23" s="43"/>
      <c r="G23" s="43"/>
      <c r="H23" s="43"/>
    </row>
    <row r="24" spans="1:8" ht="20" customHeight="1" thickBot="1">
      <c r="A24" s="515"/>
      <c r="B24" s="234"/>
      <c r="C24" s="235"/>
      <c r="D24" s="233" t="s">
        <v>390</v>
      </c>
      <c r="E24" s="503" t="s">
        <v>390</v>
      </c>
      <c r="F24" s="43"/>
      <c r="G24" s="43"/>
      <c r="H24" s="43"/>
    </row>
    <row r="25" spans="1:8" ht="20" customHeight="1" thickBot="1">
      <c r="A25" s="515"/>
      <c r="B25" s="504" t="s">
        <v>822</v>
      </c>
      <c r="C25" s="235"/>
      <c r="D25" s="233" t="s">
        <v>390</v>
      </c>
      <c r="E25" s="503" t="s">
        <v>390</v>
      </c>
      <c r="F25" s="43"/>
      <c r="G25" s="43"/>
      <c r="H25" s="43"/>
    </row>
    <row r="26" spans="1:8" ht="20" customHeight="1" thickBot="1">
      <c r="A26" s="515">
        <v>15</v>
      </c>
      <c r="B26" s="234" t="s">
        <v>823</v>
      </c>
      <c r="C26" s="235"/>
      <c r="D26" s="233" vm="248">
        <v>396883281.26999998</v>
      </c>
      <c r="E26" s="503">
        <v>2.1294559025341896E-2</v>
      </c>
      <c r="F26" s="43"/>
      <c r="G26" s="43"/>
      <c r="H26" s="43"/>
    </row>
    <row r="27" spans="1:8" ht="20" customHeight="1" thickBot="1">
      <c r="A27" s="515">
        <v>150</v>
      </c>
      <c r="B27" s="234" t="s">
        <v>824</v>
      </c>
      <c r="C27" s="235"/>
      <c r="D27" s="233" vm="263">
        <v>74436598.969999984</v>
      </c>
      <c r="E27" s="503">
        <v>3.9938556881009748E-3</v>
      </c>
      <c r="F27" s="43"/>
      <c r="G27" s="43"/>
      <c r="H27" s="43"/>
    </row>
    <row r="28" spans="1:8" ht="20" customHeight="1" thickBot="1">
      <c r="A28" s="515">
        <v>153</v>
      </c>
      <c r="B28" s="234" t="s">
        <v>401</v>
      </c>
      <c r="C28" s="235"/>
      <c r="D28" s="233" vm="262">
        <v>133015718.84999999</v>
      </c>
      <c r="E28" s="503">
        <v>7.1368868632756752E-3</v>
      </c>
      <c r="F28" s="43"/>
      <c r="G28" s="43"/>
      <c r="H28" s="43"/>
    </row>
    <row r="29" spans="1:8" ht="20" customHeight="1" thickBot="1">
      <c r="A29" s="515">
        <v>157</v>
      </c>
      <c r="B29" s="234" t="s">
        <v>825</v>
      </c>
      <c r="C29" s="235"/>
      <c r="D29" s="233" vm="261">
        <v>189430963.44999996</v>
      </c>
      <c r="E29" s="503">
        <v>1.0163816473965245E-2</v>
      </c>
      <c r="F29" s="43"/>
      <c r="G29" s="43"/>
      <c r="H29" s="43"/>
    </row>
    <row r="30" spans="1:8" ht="20" customHeight="1" thickBot="1">
      <c r="A30" s="515">
        <v>158</v>
      </c>
      <c r="B30" s="234" t="s">
        <v>826</v>
      </c>
      <c r="C30" s="235"/>
      <c r="D30" s="233" vm="260">
        <v>0</v>
      </c>
      <c r="E30" s="503">
        <v>0</v>
      </c>
      <c r="F30" s="43"/>
      <c r="G30" s="43"/>
      <c r="H30" s="43"/>
    </row>
    <row r="31" spans="1:8" ht="20" customHeight="1" thickBot="1">
      <c r="A31" s="515">
        <v>16</v>
      </c>
      <c r="B31" s="234" t="s">
        <v>827</v>
      </c>
      <c r="C31" s="235"/>
      <c r="D31" s="233" vm="259">
        <v>1930402836.160001</v>
      </c>
      <c r="E31" s="503">
        <v>0.10357472606494444</v>
      </c>
      <c r="F31" s="43"/>
      <c r="G31" s="43"/>
      <c r="H31" s="43"/>
    </row>
    <row r="32" spans="1:8" ht="20" customHeight="1" thickBot="1">
      <c r="A32" s="515">
        <v>160</v>
      </c>
      <c r="B32" s="234" t="s">
        <v>828</v>
      </c>
      <c r="C32" s="235"/>
      <c r="D32" s="233" vm="258">
        <v>1691822981.3700011</v>
      </c>
      <c r="E32" s="503">
        <v>9.0773852256841356E-2</v>
      </c>
      <c r="F32" s="43"/>
      <c r="G32" s="43"/>
      <c r="H32" s="43"/>
    </row>
    <row r="33" spans="1:8" ht="20" customHeight="1" thickBot="1">
      <c r="A33" s="515">
        <v>161</v>
      </c>
      <c r="B33" s="234" t="s">
        <v>829</v>
      </c>
      <c r="C33" s="235"/>
      <c r="D33" s="233" vm="257">
        <v>4512061.2</v>
      </c>
      <c r="E33" s="503">
        <v>2.4209221724305917E-4</v>
      </c>
      <c r="F33" s="43"/>
      <c r="G33" s="43"/>
      <c r="H33" s="43"/>
    </row>
    <row r="34" spans="1:8" ht="20" customHeight="1" thickBot="1">
      <c r="A34" s="515">
        <v>164</v>
      </c>
      <c r="B34" s="234" t="s">
        <v>792</v>
      </c>
      <c r="C34" s="235"/>
      <c r="D34" s="233" vm="256">
        <v>33844479.680000015</v>
      </c>
      <c r="E34" s="503">
        <v>1.8159073567461507E-3</v>
      </c>
      <c r="F34" s="43"/>
      <c r="G34" s="43"/>
      <c r="H34" s="43"/>
    </row>
    <row r="35" spans="1:8" ht="20" customHeight="1" thickBot="1">
      <c r="A35" s="515">
        <v>165</v>
      </c>
      <c r="B35" s="234" t="s">
        <v>793</v>
      </c>
      <c r="C35" s="235"/>
      <c r="D35" s="233" vm="255">
        <v>7780692.7599999998</v>
      </c>
      <c r="E35" s="503">
        <v>4.1746888582881313E-4</v>
      </c>
      <c r="F35" s="43"/>
      <c r="G35" s="43"/>
      <c r="H35" s="43"/>
    </row>
    <row r="36" spans="1:8" ht="20" customHeight="1" thickBot="1">
      <c r="A36" s="515">
        <v>167</v>
      </c>
      <c r="B36" s="234" t="s">
        <v>794</v>
      </c>
      <c r="C36" s="235"/>
      <c r="D36" s="233" vm="254">
        <v>132902561.20000003</v>
      </c>
      <c r="E36" s="503">
        <v>7.1308154504175101E-3</v>
      </c>
      <c r="F36" s="43"/>
      <c r="G36" s="43"/>
      <c r="H36" s="43"/>
    </row>
    <row r="37" spans="1:8" ht="20" customHeight="1" thickBot="1">
      <c r="A37" s="515">
        <v>169</v>
      </c>
      <c r="B37" s="234" t="s">
        <v>830</v>
      </c>
      <c r="C37" s="235"/>
      <c r="D37" s="233" vm="255">
        <v>59540059.949999996</v>
      </c>
      <c r="E37" s="503">
        <v>3.1945898978675566E-3</v>
      </c>
      <c r="F37" s="43"/>
      <c r="G37" s="43"/>
      <c r="H37" s="43"/>
    </row>
    <row r="38" spans="1:8" ht="20" customHeight="1" thickBot="1">
      <c r="A38" s="515">
        <v>17</v>
      </c>
      <c r="B38" s="234" t="s">
        <v>831</v>
      </c>
      <c r="C38" s="235"/>
      <c r="D38" s="233" vm="253">
        <v>429635326.06</v>
      </c>
      <c r="E38" s="503">
        <v>2.3051852375541821E-2</v>
      </c>
      <c r="F38" s="43"/>
      <c r="G38" s="43"/>
      <c r="H38" s="43"/>
    </row>
    <row r="39" spans="1:8" ht="20" customHeight="1" thickBot="1">
      <c r="A39" s="515">
        <v>170</v>
      </c>
      <c r="B39" s="234" t="s">
        <v>832</v>
      </c>
      <c r="C39" s="235"/>
      <c r="D39" s="233" vm="252">
        <v>366986958.82999998</v>
      </c>
      <c r="E39" s="503">
        <v>1.9690487922114613E-2</v>
      </c>
      <c r="F39" s="43"/>
      <c r="G39" s="43"/>
      <c r="H39" s="43"/>
    </row>
    <row r="40" spans="1:8" ht="20" customHeight="1" thickBot="1">
      <c r="A40" s="515">
        <v>171</v>
      </c>
      <c r="B40" s="234" t="s">
        <v>833</v>
      </c>
      <c r="C40" s="235"/>
      <c r="D40" s="233" vm="251">
        <v>62648367.229999997</v>
      </c>
      <c r="E40" s="503">
        <v>3.3613644534272067E-3</v>
      </c>
      <c r="F40" s="43"/>
      <c r="G40" s="43"/>
      <c r="H40" s="43"/>
    </row>
    <row r="41" spans="1:8" ht="20" customHeight="1" thickBot="1">
      <c r="A41" s="515">
        <v>175</v>
      </c>
      <c r="B41" s="234" t="s">
        <v>834</v>
      </c>
      <c r="C41" s="235"/>
      <c r="D41" s="233" vm="250">
        <v>0</v>
      </c>
      <c r="E41" s="503">
        <v>0</v>
      </c>
      <c r="F41" s="43"/>
      <c r="G41" s="43"/>
      <c r="H41" s="43"/>
    </row>
    <row r="42" spans="1:8" ht="20" customHeight="1" thickBot="1">
      <c r="A42" s="515">
        <v>19</v>
      </c>
      <c r="B42" s="234" t="s">
        <v>835</v>
      </c>
      <c r="C42" s="235"/>
      <c r="D42" s="233" vm="249">
        <v>2561453731.2199998</v>
      </c>
      <c r="E42" s="503">
        <v>0.13743342248029716</v>
      </c>
      <c r="F42" s="43"/>
      <c r="G42" s="43"/>
      <c r="H42" s="43"/>
    </row>
    <row r="43" spans="1:8" ht="20" customHeight="1" thickBot="1">
      <c r="A43" s="515">
        <v>991</v>
      </c>
      <c r="B43" s="234" t="s">
        <v>836</v>
      </c>
      <c r="C43" s="235"/>
      <c r="D43" s="233" vm="248">
        <v>5318375174.710001</v>
      </c>
      <c r="E43" s="503">
        <v>0.28535455994612535</v>
      </c>
      <c r="F43" s="43"/>
      <c r="G43" s="43"/>
      <c r="H43" s="43"/>
    </row>
    <row r="44" spans="1:8" s="200" customFormat="1" ht="20" customHeight="1" thickBot="1">
      <c r="A44" s="516">
        <v>1</v>
      </c>
      <c r="B44" s="509" t="s">
        <v>837</v>
      </c>
      <c r="C44" s="505"/>
      <c r="D44" s="233" vm="247">
        <v>18637778824.049999</v>
      </c>
      <c r="E44" s="503">
        <v>1</v>
      </c>
      <c r="F44" s="506"/>
      <c r="G44" s="506"/>
      <c r="H44" s="506"/>
    </row>
    <row r="45" spans="1:8" ht="20" hidden="1" customHeight="1" thickBot="1">
      <c r="A45" s="515"/>
      <c r="B45" s="234"/>
      <c r="C45" s="235"/>
      <c r="D45" s="233" t="s">
        <v>390</v>
      </c>
      <c r="E45" s="235"/>
      <c r="F45" s="43"/>
      <c r="G45" s="43"/>
      <c r="H45" s="43"/>
    </row>
    <row r="46" spans="1:8" ht="20" hidden="1" customHeight="1" thickBot="1">
      <c r="A46" s="515"/>
      <c r="B46" s="234"/>
      <c r="C46" s="235"/>
      <c r="D46" s="233" t="s">
        <v>390</v>
      </c>
      <c r="E46" s="235"/>
      <c r="F46" s="43"/>
      <c r="G46" s="43"/>
      <c r="H46" s="43"/>
    </row>
    <row r="47" spans="1:8" ht="20" hidden="1" customHeight="1" thickBot="1">
      <c r="A47" s="515"/>
      <c r="B47" s="234"/>
      <c r="C47" s="235"/>
      <c r="D47" s="233" t="s">
        <v>390</v>
      </c>
      <c r="E47" s="235"/>
      <c r="F47" s="43"/>
      <c r="G47" s="43"/>
      <c r="H47" s="43"/>
    </row>
    <row r="48" spans="1:8" ht="20" hidden="1" customHeight="1" thickBot="1">
      <c r="A48" s="515"/>
      <c r="B48" s="234"/>
      <c r="C48" s="235"/>
      <c r="D48" s="233" t="s">
        <v>390</v>
      </c>
      <c r="E48" s="235"/>
      <c r="F48" s="43"/>
      <c r="G48" s="43"/>
      <c r="H48" s="43"/>
    </row>
    <row r="49" spans="1:8" ht="18" customHeight="1" thickBot="1">
      <c r="A49" s="517"/>
      <c r="B49" s="242"/>
      <c r="C49" s="243"/>
      <c r="D49" s="244" t="s">
        <v>390</v>
      </c>
      <c r="E49" s="243"/>
      <c r="F49" s="43"/>
      <c r="G49" s="43"/>
      <c r="H49" s="43"/>
    </row>
    <row r="50" spans="1:8" ht="15.5" customHeight="1">
      <c r="A50" s="3" t="s">
        <v>346</v>
      </c>
    </row>
    <row r="52" spans="1:8">
      <c r="A52" s="3" t="s">
        <v>838</v>
      </c>
    </row>
    <row r="55" spans="1:8">
      <c r="A55" s="3" t="s">
        <v>302</v>
      </c>
    </row>
    <row r="61" spans="1:8">
      <c r="B61" s="259"/>
      <c r="C61" s="259"/>
      <c r="D61" s="43"/>
    </row>
    <row r="64" spans="1:8" ht="14">
      <c r="A64" s="260"/>
      <c r="B64" s="260"/>
      <c r="C64" s="261"/>
      <c r="D64" s="262"/>
    </row>
  </sheetData>
  <mergeCells count="1">
    <mergeCell ref="A2:B2"/>
  </mergeCells>
  <pageMargins left="0.6" right="0.63" top="0.78" bottom="0.49" header="0.42" footer="0.4921259845"/>
  <pageSetup paperSize="9" scale="72" orientation="portrait"/>
  <headerFooter alignWithMargins="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9669-39CA-4742-8947-811C32365AB8}">
  <sheetPr>
    <pageSetUpPr fitToPage="1"/>
  </sheetPr>
  <dimension ref="A1:H68"/>
  <sheetViews>
    <sheetView zoomScaleNormal="100" workbookViewId="0"/>
  </sheetViews>
  <sheetFormatPr baseColWidth="10" defaultColWidth="11.3984375" defaultRowHeight="13"/>
  <cols>
    <col min="1" max="1" width="16.3984375" style="3" customWidth="1"/>
    <col min="2" max="2" width="80.796875" style="245" customWidth="1"/>
    <col min="3" max="3" width="7.19921875" style="245" customWidth="1"/>
    <col min="4" max="4" width="20.19921875" style="246" customWidth="1"/>
    <col min="5" max="16384" width="11.3984375" style="3"/>
  </cols>
  <sheetData>
    <row r="1" spans="1:8" s="1" customFormat="1" ht="14" customHeight="1">
      <c r="B1" s="221"/>
      <c r="C1" s="221"/>
      <c r="D1" s="222"/>
    </row>
    <row r="2" spans="1:8" s="1" customFormat="1" ht="27" customHeight="1">
      <c r="A2" s="2010" t="s">
        <v>760</v>
      </c>
      <c r="B2" s="2011"/>
      <c r="C2" s="221"/>
      <c r="D2" s="223"/>
      <c r="E2" s="223">
        <v>2013</v>
      </c>
    </row>
    <row r="3" spans="1:8" ht="39" customHeight="1">
      <c r="A3" s="224" t="s">
        <v>380</v>
      </c>
      <c r="B3" s="224"/>
      <c r="C3" s="225"/>
      <c r="D3" s="226" t="s">
        <v>381</v>
      </c>
      <c r="E3" s="225" t="s">
        <v>721</v>
      </c>
    </row>
    <row r="4" spans="1:8" ht="38" customHeight="1">
      <c r="A4" s="227"/>
      <c r="B4" s="228"/>
      <c r="C4" s="229"/>
      <c r="D4" s="230" t="s">
        <v>382</v>
      </c>
      <c r="E4" s="229" t="s">
        <v>648</v>
      </c>
    </row>
    <row r="5" spans="1:8" ht="20" customHeight="1" thickBot="1">
      <c r="A5" s="231"/>
      <c r="B5" s="502" t="s">
        <v>761</v>
      </c>
      <c r="C5" s="232"/>
      <c r="D5" s="233"/>
      <c r="E5" s="232"/>
      <c r="F5" s="43"/>
      <c r="G5" s="43"/>
      <c r="H5" s="43"/>
    </row>
    <row r="6" spans="1:8" ht="20" customHeight="1" thickBot="1">
      <c r="A6" s="234">
        <v>200</v>
      </c>
      <c r="B6" s="234" t="s">
        <v>762</v>
      </c>
      <c r="C6" s="235"/>
      <c r="D6" s="233" vm="246">
        <v>88682663.799999997</v>
      </c>
      <c r="E6" s="503">
        <v>4.7582206354742666E-3</v>
      </c>
      <c r="F6" s="43"/>
      <c r="G6" s="43"/>
      <c r="H6" s="43"/>
    </row>
    <row r="7" spans="1:8" ht="20" customHeight="1" thickBot="1">
      <c r="A7" s="234">
        <v>201</v>
      </c>
      <c r="B7" s="234" t="s">
        <v>763</v>
      </c>
      <c r="C7" s="235"/>
      <c r="D7" s="233" vm="245">
        <v>0</v>
      </c>
      <c r="E7" s="503">
        <v>0</v>
      </c>
      <c r="F7" s="43"/>
      <c r="G7" s="43"/>
      <c r="H7" s="43"/>
    </row>
    <row r="8" spans="1:8" ht="20" customHeight="1" thickBot="1">
      <c r="A8" s="234">
        <v>202</v>
      </c>
      <c r="B8" s="234" t="s">
        <v>764</v>
      </c>
      <c r="C8" s="235"/>
      <c r="D8" s="1516" vm="244">
        <v>0</v>
      </c>
      <c r="E8" s="1517">
        <v>0</v>
      </c>
      <c r="F8" s="43"/>
      <c r="G8" s="43"/>
      <c r="H8" s="43"/>
    </row>
    <row r="9" spans="1:8" ht="20" customHeight="1" thickBot="1">
      <c r="A9" s="234">
        <v>205</v>
      </c>
      <c r="B9" s="234" t="s">
        <v>765</v>
      </c>
      <c r="C9" s="235"/>
      <c r="D9" s="233" vm="244">
        <v>267265</v>
      </c>
      <c r="E9" s="503">
        <v>1.43399598483873E-5</v>
      </c>
      <c r="F9" s="43"/>
      <c r="G9" s="43"/>
      <c r="H9" s="43"/>
    </row>
    <row r="10" spans="1:8" ht="20" customHeight="1" thickBot="1">
      <c r="A10" s="234">
        <v>206</v>
      </c>
      <c r="B10" s="234" t="s">
        <v>766</v>
      </c>
      <c r="C10" s="235"/>
      <c r="D10" s="233" vm="243">
        <v>7248029857.1999979</v>
      </c>
      <c r="E10" s="503">
        <v>0.388889144228239</v>
      </c>
      <c r="F10" s="43"/>
      <c r="G10" s="43"/>
      <c r="H10" s="43"/>
    </row>
    <row r="11" spans="1:8" ht="20" customHeight="1" thickBot="1">
      <c r="A11" s="234">
        <v>2060</v>
      </c>
      <c r="B11" s="234" t="s">
        <v>767</v>
      </c>
      <c r="C11" s="235"/>
      <c r="D11" s="233" vm="242">
        <v>6984468098.1800003</v>
      </c>
      <c r="E11" s="503">
        <v>0.37474787978314861</v>
      </c>
      <c r="F11" s="43"/>
      <c r="G11" s="43"/>
      <c r="H11" s="43"/>
    </row>
    <row r="12" spans="1:8" ht="20" customHeight="1" thickBot="1">
      <c r="A12" s="234">
        <v>20600</v>
      </c>
      <c r="B12" s="234" t="s">
        <v>768</v>
      </c>
      <c r="C12" s="235"/>
      <c r="D12" s="233" vm="242">
        <v>6273535738.6599998</v>
      </c>
      <c r="E12" s="503">
        <v>0.33660318634990427</v>
      </c>
      <c r="F12" s="43"/>
      <c r="G12" s="43"/>
      <c r="H12" s="43"/>
    </row>
    <row r="13" spans="1:8" ht="20" customHeight="1" thickBot="1">
      <c r="A13" s="234">
        <v>20601</v>
      </c>
      <c r="B13" s="234" t="s">
        <v>769</v>
      </c>
      <c r="C13" s="235"/>
      <c r="D13" s="233" vm="241">
        <v>126248268.89999999</v>
      </c>
      <c r="E13" s="503">
        <v>6.7737829755276707E-3</v>
      </c>
      <c r="F13" s="43"/>
      <c r="G13" s="43"/>
      <c r="H13" s="43"/>
    </row>
    <row r="14" spans="1:8" ht="20" customHeight="1" thickBot="1">
      <c r="A14" s="234">
        <v>20602</v>
      </c>
      <c r="B14" s="234" t="s">
        <v>770</v>
      </c>
      <c r="C14" s="235"/>
      <c r="D14" s="233" vm="240">
        <v>592927106.69000018</v>
      </c>
      <c r="E14" s="503">
        <v>3.181318505212076E-2</v>
      </c>
      <c r="F14" s="43"/>
      <c r="G14" s="43"/>
      <c r="H14" s="43"/>
    </row>
    <row r="15" spans="1:8" ht="20" customHeight="1" thickBot="1">
      <c r="A15" s="234">
        <v>20603</v>
      </c>
      <c r="B15" s="234" t="s">
        <v>771</v>
      </c>
      <c r="C15" s="235"/>
      <c r="D15" s="233" vm="239">
        <v>-8243016.0699999984</v>
      </c>
      <c r="E15" s="503">
        <v>-4.4227459440409803E-4</v>
      </c>
      <c r="F15" s="43"/>
      <c r="G15" s="43"/>
      <c r="H15" s="43"/>
    </row>
    <row r="16" spans="1:8" ht="20" customHeight="1" thickBot="1">
      <c r="A16" s="234">
        <v>2061</v>
      </c>
      <c r="B16" s="234" t="s">
        <v>772</v>
      </c>
      <c r="C16" s="235"/>
      <c r="D16" s="233" vm="238">
        <v>243948615.01999998</v>
      </c>
      <c r="E16" s="503">
        <v>1.3088931751095319E-2</v>
      </c>
      <c r="F16" s="43"/>
      <c r="G16" s="43"/>
      <c r="H16" s="43"/>
    </row>
    <row r="17" spans="1:8" ht="20" customHeight="1" thickBot="1">
      <c r="A17" s="234">
        <v>2062</v>
      </c>
      <c r="B17" s="234" t="s">
        <v>773</v>
      </c>
      <c r="C17" s="235"/>
      <c r="D17" s="233" vm="237">
        <v>19613144</v>
      </c>
      <c r="E17" s="503">
        <v>1.0523326939952417E-3</v>
      </c>
      <c r="F17" s="43"/>
      <c r="G17" s="43"/>
      <c r="H17" s="43"/>
    </row>
    <row r="18" spans="1:8" ht="20" customHeight="1" thickBot="1">
      <c r="A18" s="236">
        <v>207</v>
      </c>
      <c r="B18" s="234" t="s">
        <v>774</v>
      </c>
      <c r="C18" s="235"/>
      <c r="D18" s="233" vm="236">
        <v>0</v>
      </c>
      <c r="E18" s="503">
        <v>0</v>
      </c>
      <c r="F18" s="43"/>
      <c r="G18" s="43"/>
      <c r="H18" s="43"/>
    </row>
    <row r="19" spans="1:8" ht="20" customHeight="1" thickBot="1">
      <c r="A19" s="234">
        <v>20</v>
      </c>
      <c r="B19" s="234" t="s">
        <v>775</v>
      </c>
      <c r="C19" s="235"/>
      <c r="D19" s="233" vm="235">
        <v>7336979785.9999981</v>
      </c>
      <c r="E19" s="503">
        <v>0.39366170482356172</v>
      </c>
      <c r="F19" s="43"/>
      <c r="G19" s="43"/>
      <c r="H19" s="237"/>
    </row>
    <row r="20" spans="1:8" ht="20" customHeight="1" thickBot="1">
      <c r="A20" s="234"/>
      <c r="B20" s="234"/>
      <c r="C20" s="235"/>
      <c r="D20" s="233" t="s">
        <v>390</v>
      </c>
      <c r="E20" s="503" t="s">
        <v>390</v>
      </c>
      <c r="F20" s="43"/>
      <c r="G20" s="43"/>
      <c r="H20" s="43"/>
    </row>
    <row r="21" spans="1:8" ht="20" customHeight="1" thickBot="1">
      <c r="A21" s="234"/>
      <c r="B21" s="504" t="s">
        <v>776</v>
      </c>
      <c r="C21" s="235"/>
      <c r="D21" s="233" t="s">
        <v>390</v>
      </c>
      <c r="E21" s="503" t="s">
        <v>390</v>
      </c>
      <c r="F21" s="43"/>
      <c r="G21" s="43"/>
      <c r="H21" s="238"/>
    </row>
    <row r="22" spans="1:8" ht="20" customHeight="1" thickBot="1">
      <c r="A22" s="234">
        <v>210</v>
      </c>
      <c r="B22" s="234" t="s">
        <v>777</v>
      </c>
      <c r="C22" s="235"/>
      <c r="D22" s="233" vm="234">
        <v>6431470428</v>
      </c>
      <c r="E22" s="503">
        <v>0.34507708717419144</v>
      </c>
      <c r="F22" s="43"/>
      <c r="G22" s="43"/>
      <c r="H22" s="43"/>
    </row>
    <row r="23" spans="1:8" ht="20" customHeight="1" thickBot="1">
      <c r="A23" s="234">
        <v>2100</v>
      </c>
      <c r="B23" s="234" t="s">
        <v>778</v>
      </c>
      <c r="C23" s="235"/>
      <c r="D23" s="233" vm="233">
        <v>91258897.140000001</v>
      </c>
      <c r="E23" s="503">
        <v>4.8964470499156514E-3</v>
      </c>
      <c r="F23" s="43"/>
      <c r="G23" s="43"/>
      <c r="H23" s="43"/>
    </row>
    <row r="24" spans="1:8" ht="20" customHeight="1" thickBot="1">
      <c r="A24" s="234">
        <v>2101</v>
      </c>
      <c r="B24" s="234" t="s">
        <v>779</v>
      </c>
      <c r="C24" s="235"/>
      <c r="D24" s="233" vm="232">
        <v>5620883199.7699995</v>
      </c>
      <c r="E24" s="503">
        <v>0.30158546535152947</v>
      </c>
      <c r="F24" s="43"/>
      <c r="G24" s="43"/>
      <c r="H24" s="43"/>
    </row>
    <row r="25" spans="1:8" ht="20" customHeight="1" thickBot="1">
      <c r="A25" s="234">
        <v>21010</v>
      </c>
      <c r="B25" s="234" t="s">
        <v>780</v>
      </c>
      <c r="C25" s="235"/>
      <c r="D25" s="233" vm="232">
        <v>5541308146.1999998</v>
      </c>
      <c r="E25" s="503">
        <v>0.29731590864516289</v>
      </c>
      <c r="F25" s="43"/>
      <c r="G25" s="43"/>
      <c r="H25" s="43"/>
    </row>
    <row r="26" spans="1:8" ht="20" customHeight="1" thickBot="1">
      <c r="A26" s="234">
        <v>21011</v>
      </c>
      <c r="B26" s="234" t="s">
        <v>781</v>
      </c>
      <c r="C26" s="235"/>
      <c r="D26" s="233" vm="231">
        <v>79575053.570000008</v>
      </c>
      <c r="E26" s="503">
        <v>4.269556706366597E-3</v>
      </c>
      <c r="F26" s="43"/>
      <c r="G26" s="43"/>
      <c r="H26" s="43"/>
    </row>
    <row r="27" spans="1:8" ht="20" customHeight="1" thickBot="1">
      <c r="A27" s="234">
        <v>2102</v>
      </c>
      <c r="B27" s="234" t="s">
        <v>782</v>
      </c>
      <c r="C27" s="235"/>
      <c r="D27" s="233" vm="230">
        <v>2205000</v>
      </c>
      <c r="E27" s="503">
        <v>1.183080892211625E-4</v>
      </c>
      <c r="F27" s="43"/>
      <c r="G27" s="43"/>
      <c r="H27" s="43"/>
    </row>
    <row r="28" spans="1:8" ht="20" customHeight="1" thickBot="1">
      <c r="A28" s="234">
        <v>2103</v>
      </c>
      <c r="B28" s="234" t="s">
        <v>783</v>
      </c>
      <c r="C28" s="235"/>
      <c r="D28" s="233" vm="229">
        <v>679361367.09000003</v>
      </c>
      <c r="E28" s="503">
        <v>3.6450768812287829E-2</v>
      </c>
      <c r="F28" s="43"/>
      <c r="G28" s="43"/>
      <c r="H28" s="43"/>
    </row>
    <row r="29" spans="1:8" ht="20" customHeight="1" thickBot="1">
      <c r="A29" s="234">
        <v>2104</v>
      </c>
      <c r="B29" s="234" t="s">
        <v>784</v>
      </c>
      <c r="C29" s="235"/>
      <c r="D29" s="233" vm="228">
        <v>37761964</v>
      </c>
      <c r="E29" s="503">
        <v>2.0260978712373363E-3</v>
      </c>
      <c r="F29" s="43"/>
      <c r="G29" s="43"/>
      <c r="H29" s="43"/>
    </row>
    <row r="30" spans="1:8" ht="20" customHeight="1" thickBot="1">
      <c r="A30" s="234">
        <v>2110</v>
      </c>
      <c r="B30" s="234" t="s">
        <v>785</v>
      </c>
      <c r="C30" s="235"/>
      <c r="D30" s="233" vm="227">
        <v>428621851.90999997</v>
      </c>
      <c r="E30" s="503">
        <v>2.2997474965037724E-2</v>
      </c>
      <c r="F30" s="43"/>
      <c r="G30" s="43"/>
      <c r="H30" s="43"/>
    </row>
    <row r="31" spans="1:8" ht="20" customHeight="1" thickBot="1">
      <c r="A31" s="234">
        <v>220</v>
      </c>
      <c r="B31" s="234" t="s">
        <v>786</v>
      </c>
      <c r="C31" s="235"/>
      <c r="D31" s="233" vm="226">
        <v>75696993.350000009</v>
      </c>
      <c r="E31" s="503">
        <v>4.0614814707598847E-3</v>
      </c>
      <c r="F31" s="43"/>
      <c r="G31" s="43"/>
      <c r="H31" s="43"/>
    </row>
    <row r="32" spans="1:8" ht="20" customHeight="1" thickBot="1">
      <c r="A32" s="234">
        <v>230</v>
      </c>
      <c r="B32" s="234" t="s">
        <v>787</v>
      </c>
      <c r="C32" s="235"/>
      <c r="D32" s="233" vm="224">
        <v>171719113.23000002</v>
      </c>
      <c r="E32" s="503">
        <v>9.2134966752806108E-3</v>
      </c>
      <c r="F32" s="43"/>
      <c r="G32" s="43"/>
      <c r="H32" s="43"/>
    </row>
    <row r="33" spans="1:8" ht="20" customHeight="1" thickBot="1">
      <c r="A33" s="234">
        <v>240</v>
      </c>
      <c r="B33" s="234" t="s">
        <v>788</v>
      </c>
      <c r="C33" s="235"/>
      <c r="D33" s="233" vm="225">
        <v>88762537.049999997</v>
      </c>
      <c r="E33" s="503">
        <v>4.7625061917497243E-3</v>
      </c>
      <c r="F33" s="43"/>
      <c r="G33" s="43"/>
      <c r="H33" s="43"/>
    </row>
    <row r="34" spans="1:8" ht="20" customHeight="1" thickBot="1">
      <c r="A34" s="234">
        <v>250</v>
      </c>
      <c r="B34" s="234" t="s">
        <v>2208</v>
      </c>
      <c r="C34" s="235"/>
      <c r="D34" s="233" vm="223">
        <v>232352797.57000008</v>
      </c>
      <c r="E34" s="503">
        <v>1.2466764401677224E-2</v>
      </c>
      <c r="F34" s="43"/>
      <c r="G34" s="43"/>
      <c r="H34" s="43"/>
    </row>
    <row r="35" spans="1:8" ht="20" customHeight="1" thickBot="1">
      <c r="A35" s="234">
        <v>260</v>
      </c>
      <c r="B35" s="234" t="s">
        <v>789</v>
      </c>
      <c r="C35" s="235"/>
      <c r="D35" s="233" vm="221">
        <v>568284611.6700002</v>
      </c>
      <c r="E35" s="503">
        <v>3.0491005233772368E-2</v>
      </c>
      <c r="F35" s="43"/>
      <c r="G35" s="43"/>
      <c r="H35" s="43"/>
    </row>
    <row r="36" spans="1:8" ht="20" customHeight="1" thickBot="1">
      <c r="A36" s="234">
        <v>261</v>
      </c>
      <c r="B36" s="234" t="s">
        <v>790</v>
      </c>
      <c r="C36" s="235"/>
      <c r="D36" s="233" vm="222">
        <v>1764614111.3500001</v>
      </c>
      <c r="E36" s="503">
        <v>9.4679421191164723E-2</v>
      </c>
      <c r="F36" s="43"/>
      <c r="G36" s="43"/>
      <c r="H36" s="43"/>
    </row>
    <row r="37" spans="1:8" ht="20" customHeight="1" thickBot="1">
      <c r="A37" s="234">
        <v>262</v>
      </c>
      <c r="B37" s="234" t="s">
        <v>791</v>
      </c>
      <c r="C37" s="235"/>
      <c r="D37" s="233" vm="220">
        <v>202157894.02999994</v>
      </c>
      <c r="E37" s="503">
        <v>1.0846673090096848E-2</v>
      </c>
      <c r="F37" s="43"/>
      <c r="G37" s="43"/>
      <c r="H37" s="43"/>
    </row>
    <row r="38" spans="1:8" ht="20" customHeight="1" thickBot="1">
      <c r="A38" s="234">
        <v>263</v>
      </c>
      <c r="B38" s="234" t="s">
        <v>792</v>
      </c>
      <c r="C38" s="235"/>
      <c r="D38" s="233" vm="219">
        <v>32098388.310000002</v>
      </c>
      <c r="E38" s="503">
        <v>1.7222217632811791E-3</v>
      </c>
      <c r="F38" s="43"/>
      <c r="G38" s="43"/>
      <c r="H38" s="43"/>
    </row>
    <row r="39" spans="1:8" ht="20" customHeight="1" thickBot="1">
      <c r="A39" s="234">
        <v>264</v>
      </c>
      <c r="B39" s="234" t="s">
        <v>793</v>
      </c>
      <c r="C39" s="235"/>
      <c r="D39" s="233" vm="218">
        <v>8668578.4199999981</v>
      </c>
      <c r="E39" s="503">
        <v>4.6510791343945746E-4</v>
      </c>
      <c r="F39" s="43"/>
      <c r="G39" s="43"/>
      <c r="H39" s="43"/>
    </row>
    <row r="40" spans="1:8" ht="20" customHeight="1" thickBot="1">
      <c r="A40" s="234">
        <v>265</v>
      </c>
      <c r="B40" s="234" t="s">
        <v>794</v>
      </c>
      <c r="C40" s="235"/>
      <c r="D40" s="233" vm="217">
        <v>34163281.969999999</v>
      </c>
      <c r="E40" s="503">
        <v>1.8330125221743729E-3</v>
      </c>
      <c r="F40" s="43"/>
      <c r="G40" s="43"/>
      <c r="H40" s="43"/>
    </row>
    <row r="41" spans="1:8" ht="20" customHeight="1" thickBot="1">
      <c r="A41" s="234">
        <v>266</v>
      </c>
      <c r="B41" s="234" t="s">
        <v>795</v>
      </c>
      <c r="C41" s="235"/>
      <c r="D41" s="233" vm="216">
        <v>26693107</v>
      </c>
      <c r="E41" s="503">
        <v>1.4322043013814229E-3</v>
      </c>
      <c r="F41" s="43"/>
      <c r="G41" s="43"/>
      <c r="H41" s="43"/>
    </row>
    <row r="42" spans="1:8" ht="20" customHeight="1" thickBot="1">
      <c r="A42" s="234">
        <v>268</v>
      </c>
      <c r="B42" s="234" t="s">
        <v>796</v>
      </c>
      <c r="C42" s="235"/>
      <c r="D42" s="233" vm="215">
        <v>158004015.30999997</v>
      </c>
      <c r="E42" s="503">
        <v>8.4776204719262602E-3</v>
      </c>
      <c r="F42" s="43"/>
      <c r="G42" s="43"/>
      <c r="H42" s="43"/>
    </row>
    <row r="43" spans="1:8" ht="20" customHeight="1" thickBot="1">
      <c r="A43" s="234">
        <v>269</v>
      </c>
      <c r="B43" s="234" t="s">
        <v>797</v>
      </c>
      <c r="C43" s="235"/>
      <c r="D43" s="233" vm="214">
        <v>723432507.56000018</v>
      </c>
      <c r="E43" s="503">
        <v>3.8815382154148668E-2</v>
      </c>
      <c r="F43" s="43"/>
      <c r="G43" s="43"/>
      <c r="H43" s="43"/>
    </row>
    <row r="44" spans="1:8" ht="20" customHeight="1" thickBot="1">
      <c r="A44" s="234">
        <v>270</v>
      </c>
      <c r="B44" s="234" t="s">
        <v>798</v>
      </c>
      <c r="C44" s="235"/>
      <c r="D44" s="233" vm="213">
        <v>354058821.31999999</v>
      </c>
      <c r="E44" s="503">
        <v>1.8996835656356549E-2</v>
      </c>
      <c r="F44" s="43"/>
      <c r="G44" s="43"/>
      <c r="H44" s="43"/>
    </row>
    <row r="45" spans="1:8" ht="20" customHeight="1" thickBot="1">
      <c r="A45" s="234">
        <v>21</v>
      </c>
      <c r="B45" s="234" t="s">
        <v>799</v>
      </c>
      <c r="C45" s="235"/>
      <c r="D45" s="233" vm="212">
        <v>11300799038.049999</v>
      </c>
      <c r="E45" s="503">
        <v>0.60633829517643845</v>
      </c>
      <c r="F45" s="43"/>
      <c r="G45" s="43"/>
      <c r="H45" s="43"/>
    </row>
    <row r="46" spans="1:8" s="200" customFormat="1" ht="20" customHeight="1" thickBot="1">
      <c r="A46" s="509">
        <v>2</v>
      </c>
      <c r="B46" s="509" t="s">
        <v>800</v>
      </c>
      <c r="C46" s="505"/>
      <c r="D46" s="233" vm="211">
        <v>18637778824.049995</v>
      </c>
      <c r="E46" s="503">
        <v>1</v>
      </c>
      <c r="F46" s="506"/>
      <c r="G46" s="506"/>
      <c r="H46" s="506"/>
    </row>
    <row r="47" spans="1:8" ht="20" hidden="1" customHeight="1" thickBot="1">
      <c r="A47" s="234"/>
      <c r="B47" s="234"/>
      <c r="C47" s="235"/>
      <c r="D47" s="233" t="s">
        <v>390</v>
      </c>
      <c r="E47" s="235"/>
      <c r="F47" s="43"/>
      <c r="G47" s="43"/>
      <c r="H47" s="43"/>
    </row>
    <row r="48" spans="1:8" ht="20" hidden="1" customHeight="1" thickBot="1">
      <c r="A48" s="234"/>
      <c r="B48" s="234"/>
      <c r="C48" s="235"/>
      <c r="D48" s="233" t="s">
        <v>390</v>
      </c>
      <c r="E48" s="235"/>
      <c r="F48" s="43"/>
      <c r="G48" s="43"/>
      <c r="H48" s="43"/>
    </row>
    <row r="49" spans="1:8" ht="20" hidden="1" customHeight="1" thickBot="1">
      <c r="A49" s="234"/>
      <c r="B49" s="234"/>
      <c r="C49" s="235"/>
      <c r="D49" s="233" t="s">
        <v>390</v>
      </c>
      <c r="E49" s="235"/>
      <c r="F49" s="43"/>
      <c r="G49" s="43"/>
      <c r="H49" s="43"/>
    </row>
    <row r="50" spans="1:8" ht="20" hidden="1" customHeight="1" thickBot="1">
      <c r="A50" s="234"/>
      <c r="B50" s="234"/>
      <c r="C50" s="235"/>
      <c r="D50" s="233" t="s">
        <v>390</v>
      </c>
      <c r="E50" s="235"/>
      <c r="F50" s="43"/>
      <c r="G50" s="43"/>
      <c r="H50" s="43"/>
    </row>
    <row r="51" spans="1:8" ht="20" hidden="1" customHeight="1" thickBot="1">
      <c r="A51" s="234"/>
      <c r="B51" s="234"/>
      <c r="C51" s="235"/>
      <c r="D51" s="233" t="s">
        <v>390</v>
      </c>
      <c r="E51" s="235"/>
      <c r="F51" s="43"/>
      <c r="G51" s="43"/>
      <c r="H51" s="43"/>
    </row>
    <row r="52" spans="1:8" ht="20" hidden="1" customHeight="1" thickBot="1">
      <c r="A52" s="234"/>
      <c r="B52" s="234"/>
      <c r="C52" s="235"/>
      <c r="D52" s="233" t="s">
        <v>390</v>
      </c>
      <c r="E52" s="235"/>
      <c r="F52" s="43"/>
      <c r="G52" s="43"/>
      <c r="H52" s="43"/>
    </row>
    <row r="53" spans="1:8" ht="21" customHeight="1" thickBot="1">
      <c r="A53" s="242"/>
      <c r="B53" s="242"/>
      <c r="C53" s="243"/>
      <c r="D53" s="244" t="s">
        <v>390</v>
      </c>
      <c r="E53" s="243"/>
      <c r="F53" s="43"/>
      <c r="G53" s="43"/>
      <c r="H53" s="43"/>
    </row>
    <row r="54" spans="1:8" ht="15.5" customHeight="1">
      <c r="A54" s="3" t="s">
        <v>346</v>
      </c>
    </row>
    <row r="56" spans="1:8">
      <c r="A56" s="3" t="s">
        <v>801</v>
      </c>
    </row>
    <row r="59" spans="1:8">
      <c r="A59" s="3" t="s">
        <v>302</v>
      </c>
    </row>
    <row r="65" spans="1:4">
      <c r="B65" s="259"/>
      <c r="C65" s="259"/>
      <c r="D65" s="43"/>
    </row>
    <row r="68" spans="1:4" ht="14">
      <c r="A68" s="260"/>
      <c r="B68" s="260"/>
      <c r="C68" s="261"/>
      <c r="D68" s="262"/>
    </row>
  </sheetData>
  <mergeCells count="1">
    <mergeCell ref="A2:B2"/>
  </mergeCells>
  <pageMargins left="0.6" right="0.63" top="0.59" bottom="0.49" header="0.42" footer="0.4921259845"/>
  <pageSetup paperSize="9" scale="66" orientation="portrait"/>
  <headerFooter alignWithMargins="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C8211-DE69-1945-85F1-29627BA3D767}">
  <sheetPr>
    <pageSetUpPr fitToPage="1"/>
  </sheetPr>
  <dimension ref="A1:H79"/>
  <sheetViews>
    <sheetView zoomScaleNormal="100" workbookViewId="0">
      <selection activeCell="E3" sqref="E3:E6"/>
    </sheetView>
  </sheetViews>
  <sheetFormatPr baseColWidth="10" defaultColWidth="11.3984375" defaultRowHeight="13"/>
  <cols>
    <col min="1" max="1" width="16.3984375" style="3" customWidth="1"/>
    <col min="2" max="2" width="91.3984375" style="245" customWidth="1"/>
    <col min="3" max="3" width="7.19921875" style="245" customWidth="1"/>
    <col min="4" max="4" width="20.19921875" style="246" customWidth="1"/>
    <col min="5" max="5" width="13" style="3" customWidth="1"/>
    <col min="6" max="16384" width="11.3984375" style="3"/>
  </cols>
  <sheetData>
    <row r="1" spans="1:8" s="1" customFormat="1" ht="14" customHeight="1">
      <c r="B1" s="221"/>
      <c r="C1" s="221"/>
      <c r="D1" s="222"/>
    </row>
    <row r="2" spans="1:8" s="1" customFormat="1" ht="25.75" customHeight="1">
      <c r="A2" s="125" t="s">
        <v>720</v>
      </c>
      <c r="B2" s="360"/>
      <c r="C2" s="221"/>
      <c r="D2" s="223"/>
      <c r="E2" s="223">
        <v>2013</v>
      </c>
    </row>
    <row r="3" spans="1:8" ht="39" customHeight="1">
      <c r="A3" s="224" t="s">
        <v>380</v>
      </c>
      <c r="B3" s="224"/>
      <c r="C3" s="225"/>
      <c r="D3" s="226" t="s">
        <v>381</v>
      </c>
      <c r="E3" s="225" t="s">
        <v>721</v>
      </c>
    </row>
    <row r="4" spans="1:8" ht="38" customHeight="1">
      <c r="A4" s="227"/>
      <c r="B4" s="228"/>
      <c r="C4" s="229"/>
      <c r="D4" s="230" t="s">
        <v>382</v>
      </c>
      <c r="E4" s="229" t="s">
        <v>648</v>
      </c>
    </row>
    <row r="5" spans="1:8" ht="20" customHeight="1" thickBot="1">
      <c r="A5" s="231"/>
      <c r="B5" s="502" t="s">
        <v>722</v>
      </c>
      <c r="C5" s="232"/>
      <c r="D5" s="233" t="s">
        <v>390</v>
      </c>
      <c r="E5" s="232"/>
      <c r="F5" s="43"/>
      <c r="G5" s="43"/>
      <c r="H5" s="43"/>
    </row>
    <row r="6" spans="1:8" ht="20" customHeight="1" thickBot="1">
      <c r="A6" s="234" t="s">
        <v>723</v>
      </c>
      <c r="B6" s="234" t="s">
        <v>724</v>
      </c>
      <c r="C6" s="235"/>
      <c r="D6" s="233" vm="210">
        <v>456857306.23999995</v>
      </c>
      <c r="E6" s="503">
        <v>3.9167906443669895E-2</v>
      </c>
      <c r="F6" s="43"/>
      <c r="G6" s="43"/>
      <c r="H6" s="43"/>
    </row>
    <row r="7" spans="1:8" ht="20" customHeight="1" thickBot="1">
      <c r="A7" s="234" t="s">
        <v>725</v>
      </c>
      <c r="B7" s="234" t="s">
        <v>726</v>
      </c>
      <c r="C7" s="235"/>
      <c r="D7" s="233" vm="209">
        <v>454779006.40999997</v>
      </c>
      <c r="E7" s="503">
        <v>3.8989726840998572E-2</v>
      </c>
      <c r="F7" s="43"/>
      <c r="G7" s="43"/>
      <c r="H7" s="43"/>
    </row>
    <row r="8" spans="1:8" ht="20" customHeight="1" thickBot="1">
      <c r="A8" s="234" t="s">
        <v>727</v>
      </c>
      <c r="B8" s="234" t="s">
        <v>381</v>
      </c>
      <c r="C8" s="235"/>
      <c r="D8" s="233">
        <v>911636312.64999986</v>
      </c>
      <c r="E8" s="503">
        <v>7.815763328466846E-2</v>
      </c>
      <c r="F8" s="43"/>
      <c r="G8" s="43"/>
      <c r="H8" s="43"/>
    </row>
    <row r="9" spans="1:8" ht="20" customHeight="1" thickBot="1">
      <c r="A9" s="234"/>
      <c r="B9" s="504" t="s">
        <v>728</v>
      </c>
      <c r="C9" s="235"/>
      <c r="D9" s="233" t="s">
        <v>390</v>
      </c>
      <c r="E9" s="503" t="s">
        <v>390</v>
      </c>
      <c r="F9" s="43"/>
      <c r="G9" s="43"/>
      <c r="H9" s="43"/>
    </row>
    <row r="10" spans="1:8" ht="20" customHeight="1" thickBot="1">
      <c r="A10" s="234" t="s">
        <v>729</v>
      </c>
      <c r="B10" s="234" t="s">
        <v>724</v>
      </c>
      <c r="C10" s="235"/>
      <c r="D10" s="233" vm="208">
        <v>461713508.83999997</v>
      </c>
      <c r="E10" s="503">
        <v>3.9584244951362244E-2</v>
      </c>
      <c r="F10" s="43"/>
      <c r="G10" s="43"/>
      <c r="H10" s="43"/>
    </row>
    <row r="11" spans="1:8" ht="20" customHeight="1" thickBot="1">
      <c r="A11" s="234" t="s">
        <v>730</v>
      </c>
      <c r="B11" s="234" t="s">
        <v>726</v>
      </c>
      <c r="C11" s="235"/>
      <c r="D11" s="233" vm="207">
        <v>5428982785.039999</v>
      </c>
      <c r="E11" s="503">
        <v>0.46544487065078122</v>
      </c>
      <c r="F11" s="43"/>
      <c r="G11" s="43"/>
      <c r="H11" s="43"/>
    </row>
    <row r="12" spans="1:8" s="200" customFormat="1" ht="20" customHeight="1" thickBot="1">
      <c r="A12" s="234" t="s">
        <v>731</v>
      </c>
      <c r="B12" s="234" t="s">
        <v>381</v>
      </c>
      <c r="C12" s="505"/>
      <c r="D12" s="233">
        <v>5890696293.8799992</v>
      </c>
      <c r="E12" s="503">
        <v>0.50502911560214347</v>
      </c>
      <c r="F12" s="506"/>
      <c r="G12" s="506"/>
      <c r="H12" s="506"/>
    </row>
    <row r="13" spans="1:8" ht="20" customHeight="1" thickBot="1">
      <c r="A13" s="234"/>
      <c r="B13" s="504" t="s">
        <v>732</v>
      </c>
      <c r="C13" s="235"/>
      <c r="D13" s="233" t="s">
        <v>390</v>
      </c>
      <c r="E13" s="503" t="s">
        <v>390</v>
      </c>
      <c r="F13" s="43"/>
      <c r="G13" s="43"/>
      <c r="H13" s="43"/>
    </row>
    <row r="14" spans="1:8" ht="20" customHeight="1" thickBot="1">
      <c r="A14" s="234" t="s">
        <v>733</v>
      </c>
      <c r="B14" s="234" t="s">
        <v>724</v>
      </c>
      <c r="C14" s="235"/>
      <c r="D14" s="233" vm="206">
        <v>59813515.010000005</v>
      </c>
      <c r="E14" s="503">
        <v>5.1280129002643166E-3</v>
      </c>
      <c r="F14" s="43"/>
      <c r="G14" s="43"/>
      <c r="H14" s="43"/>
    </row>
    <row r="15" spans="1:8" ht="20" customHeight="1" thickBot="1">
      <c r="A15" s="236" t="s">
        <v>734</v>
      </c>
      <c r="B15" s="234" t="s">
        <v>726</v>
      </c>
      <c r="C15" s="235"/>
      <c r="D15" s="233" vm="205">
        <v>1517219415.22</v>
      </c>
      <c r="E15" s="503">
        <v>0.13007630018865934</v>
      </c>
      <c r="F15" s="43"/>
      <c r="G15" s="43"/>
      <c r="H15" s="43"/>
    </row>
    <row r="16" spans="1:8" ht="20" customHeight="1" thickBot="1">
      <c r="A16" s="234" t="s">
        <v>735</v>
      </c>
      <c r="B16" s="234" t="s">
        <v>381</v>
      </c>
      <c r="C16" s="235"/>
      <c r="D16" s="233">
        <v>1577032930.23</v>
      </c>
      <c r="E16" s="503">
        <v>0.13520431308892367</v>
      </c>
      <c r="F16" s="43"/>
      <c r="G16" s="43"/>
      <c r="H16" s="43"/>
    </row>
    <row r="17" spans="1:8" ht="20" customHeight="1" thickBot="1">
      <c r="A17" s="234"/>
      <c r="B17" s="504" t="s">
        <v>736</v>
      </c>
      <c r="C17" s="235"/>
      <c r="D17" s="233" t="s">
        <v>390</v>
      </c>
      <c r="E17" s="503" t="s">
        <v>390</v>
      </c>
      <c r="F17" s="43"/>
      <c r="G17" s="43"/>
      <c r="H17" s="237"/>
    </row>
    <row r="18" spans="1:8" ht="20" customHeight="1" thickBot="1">
      <c r="A18" s="234">
        <v>100</v>
      </c>
      <c r="B18" s="234" t="s">
        <v>726</v>
      </c>
      <c r="C18" s="235"/>
      <c r="D18" s="233" vm="204">
        <v>1049831923.8199999</v>
      </c>
      <c r="E18" s="503">
        <v>9.0005605715668249E-2</v>
      </c>
      <c r="F18" s="43"/>
      <c r="G18" s="43"/>
      <c r="H18" s="43"/>
    </row>
    <row r="19" spans="1:8" ht="20" customHeight="1" thickBot="1">
      <c r="A19" s="234"/>
      <c r="B19" s="234"/>
      <c r="C19" s="235"/>
      <c r="D19" s="233" t="s">
        <v>390</v>
      </c>
      <c r="E19" s="503" t="s">
        <v>390</v>
      </c>
      <c r="F19" s="43"/>
      <c r="G19" s="43"/>
      <c r="H19" s="238"/>
    </row>
    <row r="20" spans="1:8" ht="39.5" customHeight="1" thickBot="1">
      <c r="A20" s="234"/>
      <c r="B20" s="507" t="s">
        <v>737</v>
      </c>
      <c r="C20" s="235"/>
      <c r="D20" s="233" t="s">
        <v>390</v>
      </c>
      <c r="E20" s="503" t="s">
        <v>390</v>
      </c>
      <c r="F20" s="43"/>
      <c r="G20" s="43"/>
      <c r="H20" s="43"/>
    </row>
    <row r="21" spans="1:8" ht="20" customHeight="1" thickBot="1">
      <c r="A21" s="234">
        <v>120</v>
      </c>
      <c r="B21" s="234" t="s">
        <v>726</v>
      </c>
      <c r="C21" s="235"/>
      <c r="D21" s="233" vm="203">
        <v>20945452.839999996</v>
      </c>
      <c r="E21" s="503">
        <v>1.7957237983328785E-3</v>
      </c>
      <c r="F21" s="43"/>
      <c r="G21" s="43"/>
      <c r="H21" s="43"/>
    </row>
    <row r="22" spans="1:8" ht="20" customHeight="1" thickBot="1">
      <c r="A22" s="234"/>
      <c r="B22" s="234"/>
      <c r="C22" s="235"/>
      <c r="D22" s="233" t="s">
        <v>390</v>
      </c>
      <c r="E22" s="503" t="s">
        <v>390</v>
      </c>
      <c r="F22" s="43"/>
      <c r="G22" s="43"/>
      <c r="H22" s="43"/>
    </row>
    <row r="23" spans="1:8" ht="20" customHeight="1" thickBot="1">
      <c r="A23" s="234"/>
      <c r="B23" s="504" t="s">
        <v>738</v>
      </c>
      <c r="C23" s="235"/>
      <c r="D23" s="233" t="s">
        <v>390</v>
      </c>
      <c r="E23" s="503" t="s">
        <v>390</v>
      </c>
      <c r="F23" s="43"/>
      <c r="G23" s="43"/>
      <c r="H23" s="43"/>
    </row>
    <row r="24" spans="1:8" ht="20" customHeight="1" thickBot="1">
      <c r="A24" s="234"/>
      <c r="B24" s="504" t="s">
        <v>739</v>
      </c>
      <c r="C24" s="235"/>
      <c r="D24" s="233" t="s">
        <v>390</v>
      </c>
      <c r="E24" s="503" t="s">
        <v>390</v>
      </c>
      <c r="F24" s="43"/>
      <c r="G24" s="43"/>
      <c r="H24" s="43"/>
    </row>
    <row r="25" spans="1:8" ht="20" customHeight="1" thickBot="1">
      <c r="A25" s="234">
        <v>140</v>
      </c>
      <c r="B25" s="234" t="s">
        <v>724</v>
      </c>
      <c r="C25" s="235"/>
      <c r="D25" s="233" vm="202">
        <v>72568353.019999996</v>
      </c>
      <c r="E25" s="503">
        <v>6.2215278666582236E-3</v>
      </c>
      <c r="F25" s="43"/>
      <c r="G25" s="43"/>
      <c r="H25" s="43"/>
    </row>
    <row r="26" spans="1:8" ht="20" customHeight="1" thickBot="1">
      <c r="A26" s="234">
        <v>150</v>
      </c>
      <c r="B26" s="234" t="s">
        <v>726</v>
      </c>
      <c r="C26" s="235"/>
      <c r="D26" s="233" vm="201">
        <v>119089979.8</v>
      </c>
      <c r="E26" s="503">
        <v>1.0209982687098676E-2</v>
      </c>
      <c r="F26" s="43"/>
      <c r="G26" s="43"/>
      <c r="H26" s="43"/>
    </row>
    <row r="27" spans="1:8" ht="20" customHeight="1" thickBot="1">
      <c r="A27" s="234">
        <v>160</v>
      </c>
      <c r="B27" s="234" t="s">
        <v>381</v>
      </c>
      <c r="C27" s="235"/>
      <c r="D27" s="233">
        <v>191658332.81999999</v>
      </c>
      <c r="E27" s="503">
        <v>1.6431510553756901E-2</v>
      </c>
      <c r="F27" s="43"/>
      <c r="G27" s="43"/>
      <c r="H27" s="43"/>
    </row>
    <row r="28" spans="1:8" ht="20" customHeight="1" thickBot="1">
      <c r="A28" s="234"/>
      <c r="B28" s="504" t="s">
        <v>740</v>
      </c>
      <c r="C28" s="235"/>
      <c r="D28" s="233" t="s">
        <v>390</v>
      </c>
      <c r="E28" s="503" t="s">
        <v>390</v>
      </c>
      <c r="F28" s="43"/>
      <c r="G28" s="43"/>
      <c r="H28" s="43"/>
    </row>
    <row r="29" spans="1:8" ht="20" customHeight="1" thickBot="1">
      <c r="A29" s="234">
        <v>170</v>
      </c>
      <c r="B29" s="234" t="s">
        <v>724</v>
      </c>
      <c r="C29" s="235"/>
      <c r="D29" s="233" vm="199">
        <v>366258405.30999994</v>
      </c>
      <c r="E29" s="503">
        <v>3.1400559337566275E-2</v>
      </c>
      <c r="F29" s="43"/>
      <c r="G29" s="43"/>
      <c r="H29" s="43"/>
    </row>
    <row r="30" spans="1:8" ht="20" customHeight="1" thickBot="1">
      <c r="A30" s="234">
        <v>180</v>
      </c>
      <c r="B30" s="234" t="s">
        <v>726</v>
      </c>
      <c r="C30" s="235"/>
      <c r="D30" s="233" vm="198">
        <v>376606507.73000008</v>
      </c>
      <c r="E30" s="503">
        <v>3.2287736803965725E-2</v>
      </c>
      <c r="F30" s="43"/>
      <c r="G30" s="43"/>
      <c r="H30" s="43"/>
    </row>
    <row r="31" spans="1:8" ht="20" customHeight="1" thickBot="1">
      <c r="A31" s="234">
        <v>190</v>
      </c>
      <c r="B31" s="234" t="s">
        <v>381</v>
      </c>
      <c r="C31" s="235"/>
      <c r="D31" s="233">
        <v>742864913.03999996</v>
      </c>
      <c r="E31" s="503">
        <v>6.3688296141532E-2</v>
      </c>
      <c r="F31" s="43"/>
      <c r="G31" s="43"/>
      <c r="H31" s="43"/>
    </row>
    <row r="32" spans="1:8" ht="20" customHeight="1" thickBot="1">
      <c r="A32" s="234"/>
      <c r="B32" s="507" t="s">
        <v>741</v>
      </c>
      <c r="C32" s="235"/>
      <c r="D32" s="233" t="s">
        <v>390</v>
      </c>
      <c r="E32" s="503" t="s">
        <v>390</v>
      </c>
      <c r="F32" s="43"/>
      <c r="G32" s="43"/>
      <c r="H32" s="43"/>
    </row>
    <row r="33" spans="1:8" ht="20" customHeight="1" thickBot="1">
      <c r="A33" s="234">
        <v>200</v>
      </c>
      <c r="B33" s="234" t="s">
        <v>724</v>
      </c>
      <c r="C33" s="235"/>
      <c r="D33" s="233" vm="200">
        <v>63019258.639999993</v>
      </c>
      <c r="E33" s="503">
        <v>5.4028520346444259E-3</v>
      </c>
      <c r="F33" s="43"/>
      <c r="G33" s="43"/>
      <c r="H33" s="43"/>
    </row>
    <row r="34" spans="1:8" ht="20" customHeight="1" thickBot="1">
      <c r="A34" s="234">
        <v>210</v>
      </c>
      <c r="B34" s="234" t="s">
        <v>726</v>
      </c>
      <c r="C34" s="235"/>
      <c r="D34" s="233" vm="197">
        <v>604681136.05999994</v>
      </c>
      <c r="E34" s="503">
        <v>5.1841338295262343E-2</v>
      </c>
      <c r="F34" s="43"/>
      <c r="G34" s="43"/>
      <c r="H34" s="43"/>
    </row>
    <row r="35" spans="1:8" ht="20" customHeight="1" thickBot="1">
      <c r="A35" s="234">
        <v>220</v>
      </c>
      <c r="B35" s="234" t="s">
        <v>381</v>
      </c>
      <c r="C35" s="235"/>
      <c r="D35" s="233">
        <v>667700394.69999993</v>
      </c>
      <c r="E35" s="503">
        <v>5.7244190329906769E-2</v>
      </c>
      <c r="F35" s="43"/>
      <c r="G35" s="43"/>
      <c r="H35" s="43"/>
    </row>
    <row r="36" spans="1:8" ht="20" customHeight="1" thickBot="1">
      <c r="A36" s="234"/>
      <c r="B36" s="504" t="s">
        <v>742</v>
      </c>
      <c r="C36" s="235"/>
      <c r="D36" s="233" t="s">
        <v>390</v>
      </c>
      <c r="E36" s="503" t="s">
        <v>390</v>
      </c>
      <c r="F36" s="43"/>
      <c r="G36" s="43"/>
      <c r="H36" s="43"/>
    </row>
    <row r="37" spans="1:8" s="200" customFormat="1" ht="20" customHeight="1" thickBot="1">
      <c r="A37" s="234">
        <v>230</v>
      </c>
      <c r="B37" s="234" t="s">
        <v>724</v>
      </c>
      <c r="C37" s="505"/>
      <c r="D37" s="233" vm="196">
        <v>92667253.080000013</v>
      </c>
      <c r="E37" s="503">
        <v>7.9446738608632429E-3</v>
      </c>
      <c r="F37" s="506"/>
      <c r="G37" s="506"/>
      <c r="H37" s="506"/>
    </row>
    <row r="38" spans="1:8" ht="20" customHeight="1" thickBot="1">
      <c r="A38" s="234">
        <v>240</v>
      </c>
      <c r="B38" s="234" t="s">
        <v>726</v>
      </c>
      <c r="C38" s="235"/>
      <c r="D38" s="233" vm="195">
        <v>507103785.35000002</v>
      </c>
      <c r="E38" s="503">
        <v>4.3475705325341771E-2</v>
      </c>
      <c r="F38" s="43"/>
      <c r="G38" s="43"/>
      <c r="H38" s="43"/>
    </row>
    <row r="39" spans="1:8" ht="20" customHeight="1" thickBot="1">
      <c r="A39" s="234">
        <v>250</v>
      </c>
      <c r="B39" s="234" t="s">
        <v>381</v>
      </c>
      <c r="C39" s="235"/>
      <c r="D39" s="233">
        <v>599771038.43000007</v>
      </c>
      <c r="E39" s="503">
        <v>5.1420379186205019E-2</v>
      </c>
      <c r="F39" s="43"/>
      <c r="G39" s="43"/>
      <c r="H39" s="43"/>
    </row>
    <row r="40" spans="1:8" ht="20" customHeight="1" thickBot="1">
      <c r="A40" s="234">
        <v>260</v>
      </c>
      <c r="B40" s="504" t="s">
        <v>743</v>
      </c>
      <c r="C40" s="235"/>
      <c r="D40" s="233">
        <v>2201994678.9900002</v>
      </c>
      <c r="E40" s="503">
        <v>0.18878437621140071</v>
      </c>
      <c r="F40" s="43"/>
      <c r="G40" s="43"/>
      <c r="H40" s="43"/>
    </row>
    <row r="41" spans="1:8" ht="20" customHeight="1" thickBot="1">
      <c r="A41" s="234"/>
      <c r="B41" s="234" t="s">
        <v>744</v>
      </c>
      <c r="C41" s="235"/>
      <c r="D41" s="233" t="s">
        <v>390</v>
      </c>
      <c r="E41" s="503" t="s">
        <v>390</v>
      </c>
      <c r="F41" s="43"/>
      <c r="G41" s="43"/>
      <c r="H41" s="43"/>
    </row>
    <row r="42" spans="1:8" s="200" customFormat="1" ht="20" customHeight="1" thickBot="1">
      <c r="A42" s="234">
        <v>270</v>
      </c>
      <c r="B42" s="234" t="s">
        <v>745</v>
      </c>
      <c r="C42" s="505"/>
      <c r="D42" s="233" vm="194">
        <v>11935055.870000003</v>
      </c>
      <c r="E42" s="503">
        <v>1.0232322988626072E-3</v>
      </c>
      <c r="F42" s="506"/>
      <c r="G42" s="506"/>
      <c r="H42" s="506"/>
    </row>
    <row r="43" spans="1:8" ht="20" customHeight="1" thickBot="1">
      <c r="A43" s="234"/>
      <c r="B43" s="234"/>
      <c r="C43" s="235"/>
      <c r="D43" s="233" t="s">
        <v>390</v>
      </c>
      <c r="E43" s="503" t="s">
        <v>390</v>
      </c>
      <c r="F43" s="43"/>
      <c r="G43" s="43"/>
      <c r="H43" s="43"/>
    </row>
    <row r="44" spans="1:8" ht="20" customHeight="1" thickBot="1">
      <c r="A44" s="234"/>
      <c r="B44" s="234"/>
      <c r="C44" s="235"/>
      <c r="D44" s="233" t="s">
        <v>390</v>
      </c>
      <c r="E44" s="503" t="s">
        <v>390</v>
      </c>
      <c r="F44" s="43"/>
      <c r="G44" s="43"/>
      <c r="H44" s="43"/>
    </row>
    <row r="45" spans="1:8" ht="20" customHeight="1" thickBot="1">
      <c r="A45" s="234">
        <v>290</v>
      </c>
      <c r="B45" s="504" t="s">
        <v>746</v>
      </c>
      <c r="C45" s="235"/>
      <c r="D45" s="233" vm="193">
        <v>11664072648.279999</v>
      </c>
      <c r="E45" s="503">
        <v>1</v>
      </c>
      <c r="F45" s="43"/>
      <c r="G45" s="43"/>
      <c r="H45" s="43"/>
    </row>
    <row r="46" spans="1:8" ht="20" hidden="1" customHeight="1" thickBot="1">
      <c r="A46" s="234"/>
      <c r="B46" s="234"/>
      <c r="C46" s="235"/>
      <c r="D46" s="508" vm="193">
        <v>11664072648.279999</v>
      </c>
      <c r="E46" s="503">
        <v>0</v>
      </c>
      <c r="F46" s="43"/>
      <c r="G46" s="43"/>
      <c r="H46" s="43"/>
    </row>
    <row r="47" spans="1:8" ht="20" hidden="1" customHeight="1" thickBot="1">
      <c r="A47" s="234"/>
      <c r="B47" s="248"/>
      <c r="C47" s="235"/>
      <c r="D47" s="233" t="s">
        <v>390</v>
      </c>
      <c r="E47" s="503">
        <v>0</v>
      </c>
      <c r="F47" s="43"/>
      <c r="G47" s="43"/>
      <c r="H47" s="43"/>
    </row>
    <row r="48" spans="1:8" ht="20" hidden="1" customHeight="1" thickBot="1">
      <c r="A48" s="234"/>
      <c r="B48" s="234"/>
      <c r="C48" s="235"/>
      <c r="D48" s="233" t="s">
        <v>390</v>
      </c>
      <c r="E48" s="503">
        <v>0</v>
      </c>
      <c r="F48" s="43"/>
      <c r="G48" s="43"/>
      <c r="H48" s="43"/>
    </row>
    <row r="49" spans="1:8" ht="20" hidden="1" customHeight="1" thickBot="1">
      <c r="A49" s="234"/>
      <c r="B49" s="234"/>
      <c r="C49" s="235"/>
      <c r="D49" s="233" t="s">
        <v>390</v>
      </c>
      <c r="E49" s="503">
        <v>0</v>
      </c>
      <c r="F49" s="43"/>
      <c r="G49" s="43"/>
      <c r="H49" s="43"/>
    </row>
    <row r="50" spans="1:8" s="200" customFormat="1" ht="20" hidden="1" customHeight="1" thickBot="1">
      <c r="A50" s="509"/>
      <c r="B50" s="509"/>
      <c r="C50" s="505"/>
      <c r="D50" s="233" t="s">
        <v>390</v>
      </c>
      <c r="E50" s="503">
        <v>0</v>
      </c>
      <c r="F50" s="506"/>
      <c r="G50" s="506"/>
      <c r="H50" s="506"/>
    </row>
    <row r="51" spans="1:8" ht="20" customHeight="1" thickBot="1">
      <c r="A51" s="242"/>
      <c r="B51" s="242"/>
      <c r="C51" s="243"/>
      <c r="D51" s="244" t="s">
        <v>390</v>
      </c>
      <c r="E51" s="243"/>
      <c r="F51" s="43"/>
      <c r="G51" s="43"/>
      <c r="H51" s="43"/>
    </row>
    <row r="52" spans="1:8" ht="15.5" customHeight="1">
      <c r="A52" s="3" t="s">
        <v>346</v>
      </c>
    </row>
    <row r="54" spans="1:8">
      <c r="A54" s="204" t="s">
        <v>747</v>
      </c>
    </row>
    <row r="55" spans="1:8" ht="14">
      <c r="A55" s="510" t="s">
        <v>748</v>
      </c>
      <c r="C55" s="511"/>
    </row>
    <row r="56" spans="1:8" ht="14">
      <c r="A56" s="510" t="s">
        <v>749</v>
      </c>
      <c r="C56" s="511"/>
    </row>
    <row r="57" spans="1:8" ht="14">
      <c r="A57" s="80" t="s">
        <v>750</v>
      </c>
      <c r="C57" s="511"/>
    </row>
    <row r="58" spans="1:8" ht="14">
      <c r="A58" s="512" t="s">
        <v>751</v>
      </c>
      <c r="C58" s="511"/>
    </row>
    <row r="59" spans="1:8" ht="14">
      <c r="A59" s="80" t="s">
        <v>752</v>
      </c>
      <c r="C59" s="511"/>
    </row>
    <row r="60" spans="1:8" ht="14">
      <c r="A60" s="80" t="s">
        <v>753</v>
      </c>
      <c r="C60" s="511"/>
    </row>
    <row r="61" spans="1:8" ht="14">
      <c r="A61" s="80" t="s">
        <v>754</v>
      </c>
      <c r="C61" s="511"/>
    </row>
    <row r="62" spans="1:8" ht="14">
      <c r="A62" s="512" t="s">
        <v>755</v>
      </c>
      <c r="C62" s="511"/>
    </row>
    <row r="63" spans="1:8" ht="14">
      <c r="A63" s="80" t="s">
        <v>756</v>
      </c>
      <c r="C63" s="511"/>
    </row>
    <row r="64" spans="1:8" ht="14">
      <c r="A64" s="80" t="s">
        <v>757</v>
      </c>
      <c r="C64" s="511"/>
    </row>
    <row r="65" spans="1:4" ht="14">
      <c r="A65" s="80" t="s">
        <v>758</v>
      </c>
      <c r="C65" s="511"/>
    </row>
    <row r="66" spans="1:4">
      <c r="A66" s="247"/>
    </row>
    <row r="67" spans="1:4">
      <c r="A67" s="3" t="s">
        <v>759</v>
      </c>
    </row>
    <row r="70" spans="1:4">
      <c r="A70" s="3" t="s">
        <v>302</v>
      </c>
    </row>
    <row r="76" spans="1:4">
      <c r="B76" s="259"/>
      <c r="C76" s="259"/>
      <c r="D76" s="43"/>
    </row>
    <row r="79" spans="1:4" ht="14">
      <c r="A79" s="260"/>
      <c r="B79" s="260"/>
      <c r="C79" s="261"/>
      <c r="D79" s="262"/>
    </row>
  </sheetData>
  <pageMargins left="0.52" right="0.49" top="0.61" bottom="0.49" header="0.42" footer="0.4921259845"/>
  <pageSetup paperSize="9" scale="64" orientation="portrait"/>
  <headerFooter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7F87C-6B08-544F-80C0-8D7A169F11A5}">
  <sheetPr>
    <pageSetUpPr fitToPage="1"/>
  </sheetPr>
  <dimension ref="A1:J21"/>
  <sheetViews>
    <sheetView workbookViewId="0">
      <selection activeCell="L18" sqref="L18"/>
    </sheetView>
  </sheetViews>
  <sheetFormatPr baseColWidth="10" defaultColWidth="11.59765625" defaultRowHeight="13"/>
  <cols>
    <col min="1" max="1" width="5.59765625" style="393" customWidth="1"/>
    <col min="2" max="8" width="11.59765625" style="393"/>
    <col min="9" max="9" width="8.3984375" style="393" customWidth="1"/>
    <col min="10" max="10" width="7.59765625" style="393" customWidth="1"/>
    <col min="11" max="16384" width="11.59765625" style="393"/>
  </cols>
  <sheetData>
    <row r="1" spans="1:10" ht="16">
      <c r="A1" s="392" t="s">
        <v>2122</v>
      </c>
    </row>
    <row r="2" spans="1:10" ht="16">
      <c r="A2" s="394"/>
    </row>
    <row r="3" spans="1:10">
      <c r="A3" s="536">
        <v>9.01</v>
      </c>
      <c r="B3" s="537" t="s">
        <v>2123</v>
      </c>
      <c r="J3" s="400"/>
    </row>
    <row r="4" spans="1:10">
      <c r="A4" s="536">
        <v>9.02</v>
      </c>
      <c r="B4" s="537" t="s">
        <v>2124</v>
      </c>
      <c r="J4" s="400"/>
    </row>
    <row r="5" spans="1:10">
      <c r="A5" s="536">
        <v>9.0299999999999994</v>
      </c>
      <c r="B5" s="537" t="s">
        <v>2125</v>
      </c>
      <c r="J5" s="400"/>
    </row>
    <row r="6" spans="1:10">
      <c r="A6" s="536">
        <v>9.0399999999999991</v>
      </c>
      <c r="B6" s="537" t="s">
        <v>2126</v>
      </c>
      <c r="J6" s="400"/>
    </row>
    <row r="7" spans="1:10">
      <c r="A7" s="536">
        <v>9.0500000000000007</v>
      </c>
      <c r="B7" s="537" t="s">
        <v>2127</v>
      </c>
      <c r="J7" s="400"/>
    </row>
    <row r="8" spans="1:10">
      <c r="A8" s="536">
        <v>9.06</v>
      </c>
      <c r="B8" s="537" t="s">
        <v>2128</v>
      </c>
      <c r="J8" s="400"/>
    </row>
    <row r="9" spans="1:10">
      <c r="A9" s="536">
        <v>9.07</v>
      </c>
      <c r="B9" s="396" t="s">
        <v>2129</v>
      </c>
      <c r="J9" s="400"/>
    </row>
    <row r="10" spans="1:10">
      <c r="A10" s="536">
        <v>9.08</v>
      </c>
      <c r="B10" s="396" t="s">
        <v>2130</v>
      </c>
      <c r="J10" s="400"/>
    </row>
    <row r="11" spans="1:10">
      <c r="A11" s="536">
        <v>9.09</v>
      </c>
      <c r="B11" s="396" t="s">
        <v>2131</v>
      </c>
      <c r="J11" s="400"/>
    </row>
    <row r="12" spans="1:10">
      <c r="A12" s="536">
        <v>9.1</v>
      </c>
      <c r="B12" s="537" t="s">
        <v>2132</v>
      </c>
      <c r="J12" s="400"/>
    </row>
    <row r="13" spans="1:10">
      <c r="A13" s="536">
        <v>9.11</v>
      </c>
      <c r="B13" s="537" t="s">
        <v>2133</v>
      </c>
      <c r="J13" s="400"/>
    </row>
    <row r="14" spans="1:10">
      <c r="A14" s="536">
        <v>9.1199999999999992</v>
      </c>
      <c r="B14" s="537" t="s">
        <v>2134</v>
      </c>
      <c r="J14" s="400"/>
    </row>
    <row r="15" spans="1:10">
      <c r="A15" s="536">
        <v>9.1300000000000008</v>
      </c>
      <c r="B15" s="537" t="s">
        <v>2135</v>
      </c>
      <c r="J15" s="400"/>
    </row>
    <row r="16" spans="1:10">
      <c r="A16" s="536">
        <v>9.14</v>
      </c>
      <c r="B16" s="537" t="s">
        <v>2136</v>
      </c>
      <c r="J16" s="400"/>
    </row>
    <row r="17" spans="1:10">
      <c r="A17" s="536">
        <v>9.15</v>
      </c>
      <c r="B17" s="1444" t="s">
        <v>2137</v>
      </c>
      <c r="J17" s="400"/>
    </row>
    <row r="20" spans="1:10">
      <c r="A20" s="402" t="s">
        <v>302</v>
      </c>
    </row>
    <row r="21" spans="1:10">
      <c r="B21" s="537"/>
    </row>
  </sheetData>
  <pageMargins left="0.46" right="0.3" top="0.78" bottom="0.984251969" header="0.34" footer="0.4921259845"/>
  <pageSetup paperSize="9" orientation="portrait"/>
  <headerFooter alignWithMargins="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DD2C4-B599-F642-B8A4-AF9344FEAD8D}">
  <sheetPr>
    <pageSetUpPr fitToPage="1"/>
  </sheetPr>
  <dimension ref="A1:K54"/>
  <sheetViews>
    <sheetView zoomScaleNormal="100" workbookViewId="0"/>
  </sheetViews>
  <sheetFormatPr baseColWidth="10" defaultColWidth="11.3984375" defaultRowHeight="13"/>
  <cols>
    <col min="1" max="1" width="15.796875" style="3" customWidth="1"/>
    <col min="2" max="2" width="12.796875" style="201" customWidth="1"/>
    <col min="3" max="3" width="11" style="201" customWidth="1"/>
    <col min="4" max="4" width="11.59765625" style="201" customWidth="1"/>
    <col min="5" max="5" width="11.3984375" style="201" customWidth="1"/>
    <col min="6" max="6" width="11" style="201" customWidth="1"/>
    <col min="7" max="7" width="11.59765625" style="201" customWidth="1"/>
    <col min="8" max="8" width="11" style="201" customWidth="1"/>
    <col min="9" max="9" width="11.59765625" style="245" customWidth="1"/>
    <col min="10" max="10" width="9.59765625" style="201" customWidth="1"/>
    <col min="11" max="11" width="11" style="201" customWidth="1"/>
    <col min="12" max="13" width="4.59765625" style="3" customWidth="1"/>
    <col min="14" max="16384" width="11.3984375" style="3"/>
  </cols>
  <sheetData>
    <row r="1" spans="1:11" s="1" customFormat="1" ht="14" customHeight="1">
      <c r="A1" s="191"/>
      <c r="B1" s="1425"/>
      <c r="C1" s="1425"/>
      <c r="D1" s="1425"/>
      <c r="E1" s="1425"/>
      <c r="F1" s="1425"/>
      <c r="G1" s="1425"/>
      <c r="H1" s="1425"/>
      <c r="I1" s="1585"/>
      <c r="J1" s="1425"/>
      <c r="K1" s="1425"/>
    </row>
    <row r="2" spans="1:11" s="1" customFormat="1" ht="27" customHeight="1">
      <c r="A2" s="464" t="s">
        <v>2352</v>
      </c>
      <c r="B2" s="1425"/>
      <c r="C2" s="1425"/>
      <c r="D2" s="1425"/>
      <c r="E2" s="1425"/>
      <c r="F2" s="1425"/>
      <c r="G2" s="1425"/>
      <c r="H2" s="1425"/>
      <c r="I2" s="327">
        <v>2013</v>
      </c>
      <c r="J2" s="1425"/>
    </row>
    <row r="3" spans="1:11" ht="27" customHeight="1">
      <c r="A3" s="1107" t="s">
        <v>67</v>
      </c>
      <c r="B3" s="1110" t="s">
        <v>1752</v>
      </c>
      <c r="C3" s="1521" t="s">
        <v>2353</v>
      </c>
      <c r="D3" s="1110" t="s">
        <v>2353</v>
      </c>
      <c r="E3" s="1521" t="s">
        <v>381</v>
      </c>
      <c r="F3" s="1110" t="s">
        <v>2339</v>
      </c>
      <c r="G3" s="1521" t="s">
        <v>1634</v>
      </c>
      <c r="H3" s="1518" t="s">
        <v>2354</v>
      </c>
      <c r="I3" s="1521" t="s">
        <v>2341</v>
      </c>
      <c r="J3" s="3"/>
      <c r="K3" s="3"/>
    </row>
    <row r="4" spans="1:11" ht="21.75" customHeight="1">
      <c r="A4" s="269"/>
      <c r="B4" s="494" t="s">
        <v>1756</v>
      </c>
      <c r="C4" s="495" t="s">
        <v>2355</v>
      </c>
      <c r="D4" s="494" t="s">
        <v>2356</v>
      </c>
      <c r="E4" s="495" t="s">
        <v>2357</v>
      </c>
      <c r="F4" s="494" t="s">
        <v>2358</v>
      </c>
      <c r="G4" s="495" t="s">
        <v>2359</v>
      </c>
      <c r="H4" s="496" t="s">
        <v>2360</v>
      </c>
      <c r="I4" s="495" t="s">
        <v>2361</v>
      </c>
      <c r="J4" s="3"/>
      <c r="K4" s="3"/>
    </row>
    <row r="5" spans="1:11" ht="20.25" customHeight="1">
      <c r="A5" s="269"/>
      <c r="B5" s="494" t="s">
        <v>2346</v>
      </c>
      <c r="C5" s="495" t="s">
        <v>2362</v>
      </c>
      <c r="D5" s="494" t="s">
        <v>2363</v>
      </c>
      <c r="E5" s="495" t="s">
        <v>2364</v>
      </c>
      <c r="F5" s="494"/>
      <c r="G5" s="495"/>
      <c r="H5" s="496" t="s">
        <v>2365</v>
      </c>
      <c r="I5" s="495"/>
      <c r="J5" s="3"/>
      <c r="K5" s="3"/>
    </row>
    <row r="6" spans="1:11" ht="19.5" customHeight="1">
      <c r="A6" s="269"/>
      <c r="B6" s="494"/>
      <c r="C6" s="495"/>
      <c r="D6" s="494"/>
      <c r="E6" s="495" t="s">
        <v>2366</v>
      </c>
      <c r="F6" s="494"/>
      <c r="G6" s="495"/>
      <c r="H6" s="496"/>
      <c r="I6" s="495"/>
      <c r="J6" s="3"/>
      <c r="K6" s="3"/>
    </row>
    <row r="7" spans="1:11" ht="14.25" customHeight="1">
      <c r="A7" s="269"/>
      <c r="B7" s="315"/>
      <c r="C7" s="1178"/>
      <c r="D7" s="315"/>
      <c r="E7" s="1178"/>
      <c r="F7" s="315"/>
      <c r="G7" s="1178"/>
      <c r="H7" s="315"/>
      <c r="I7" s="1178"/>
      <c r="J7" s="3"/>
      <c r="K7" s="3"/>
    </row>
    <row r="8" spans="1:11" ht="30" customHeight="1" thickBot="1">
      <c r="A8" s="1451" t="s">
        <v>502</v>
      </c>
      <c r="B8" s="352">
        <v>1417056.5</v>
      </c>
      <c r="C8" s="353">
        <v>1305</v>
      </c>
      <c r="D8" s="352">
        <v>2360</v>
      </c>
      <c r="E8" s="353">
        <v>3665</v>
      </c>
      <c r="F8" s="1586">
        <v>2.586347121656758</v>
      </c>
      <c r="G8" s="559">
        <v>228</v>
      </c>
      <c r="H8" s="1587">
        <v>1</v>
      </c>
      <c r="I8" s="1588">
        <v>1.6089690142912438</v>
      </c>
      <c r="J8" s="3"/>
      <c r="K8" s="3"/>
    </row>
    <row r="9" spans="1:11" ht="18" customHeight="1" thickBot="1">
      <c r="A9" s="319" t="s">
        <v>503</v>
      </c>
      <c r="B9" s="289">
        <v>996949</v>
      </c>
      <c r="C9" s="159">
        <v>918</v>
      </c>
      <c r="D9" s="289">
        <v>1264</v>
      </c>
      <c r="E9" s="159">
        <v>2182</v>
      </c>
      <c r="F9" s="1589">
        <v>2.1886776555270129</v>
      </c>
      <c r="G9" s="430">
        <v>170</v>
      </c>
      <c r="H9" s="1590">
        <v>2</v>
      </c>
      <c r="I9" s="1591">
        <v>1.7052025730503766</v>
      </c>
      <c r="J9" s="3"/>
      <c r="K9" s="3"/>
    </row>
    <row r="10" spans="1:11" ht="18" customHeight="1" thickBot="1">
      <c r="A10" s="319" t="s">
        <v>504</v>
      </c>
      <c r="B10" s="289">
        <v>388215.5</v>
      </c>
      <c r="C10" s="159">
        <v>297</v>
      </c>
      <c r="D10" s="289">
        <v>327</v>
      </c>
      <c r="E10" s="159">
        <v>624</v>
      </c>
      <c r="F10" s="1589">
        <v>1.607354678007447</v>
      </c>
      <c r="G10" s="430">
        <v>37</v>
      </c>
      <c r="H10" s="1590">
        <v>1</v>
      </c>
      <c r="I10" s="1591">
        <v>0.95307889561338988</v>
      </c>
      <c r="J10" s="3"/>
      <c r="K10" s="3"/>
    </row>
    <row r="11" spans="1:11" ht="18" customHeight="1" thickBot="1">
      <c r="A11" s="319" t="s">
        <v>505</v>
      </c>
      <c r="B11" s="289">
        <v>35779</v>
      </c>
      <c r="C11" s="159">
        <v>23</v>
      </c>
      <c r="D11" s="289">
        <v>12</v>
      </c>
      <c r="E11" s="159">
        <v>35</v>
      </c>
      <c r="F11" s="1589">
        <v>0.9782274518572347</v>
      </c>
      <c r="G11" s="430">
        <v>2</v>
      </c>
      <c r="H11" s="1590">
        <v>1</v>
      </c>
      <c r="I11" s="1591">
        <v>0.5589871153469913</v>
      </c>
      <c r="J11" s="3"/>
      <c r="K11" s="3"/>
    </row>
    <row r="12" spans="1:11" ht="18" customHeight="1" thickBot="1">
      <c r="A12" s="319" t="s">
        <v>506</v>
      </c>
      <c r="B12" s="289">
        <v>150613</v>
      </c>
      <c r="C12" s="159">
        <v>109</v>
      </c>
      <c r="D12" s="289">
        <v>98</v>
      </c>
      <c r="E12" s="159">
        <v>207</v>
      </c>
      <c r="F12" s="1589">
        <v>1.3743833533625915</v>
      </c>
      <c r="G12" s="430">
        <v>13</v>
      </c>
      <c r="H12" s="1590">
        <v>1</v>
      </c>
      <c r="I12" s="1591">
        <v>0.86313930404413963</v>
      </c>
      <c r="J12" s="3"/>
      <c r="K12" s="3"/>
    </row>
    <row r="13" spans="1:11" ht="18" customHeight="1" thickBot="1">
      <c r="A13" s="319" t="s">
        <v>507</v>
      </c>
      <c r="B13" s="289">
        <v>36311</v>
      </c>
      <c r="C13" s="159">
        <v>28</v>
      </c>
      <c r="D13" s="289">
        <v>14</v>
      </c>
      <c r="E13" s="159">
        <v>42</v>
      </c>
      <c r="F13" s="1589">
        <v>1.1566742860290269</v>
      </c>
      <c r="G13" s="430">
        <v>3</v>
      </c>
      <c r="H13" s="1590">
        <v>1</v>
      </c>
      <c r="I13" s="1591">
        <v>0.82619591859216224</v>
      </c>
      <c r="J13" s="3"/>
      <c r="K13" s="3"/>
    </row>
    <row r="14" spans="1:11" ht="18" customHeight="1" thickBot="1">
      <c r="A14" s="319" t="s">
        <v>508</v>
      </c>
      <c r="B14" s="289">
        <v>41736</v>
      </c>
      <c r="C14" s="159">
        <v>26</v>
      </c>
      <c r="D14" s="289">
        <v>26</v>
      </c>
      <c r="E14" s="159">
        <v>52</v>
      </c>
      <c r="F14" s="1589">
        <v>1.2459267778416716</v>
      </c>
      <c r="G14" s="430">
        <v>3</v>
      </c>
      <c r="H14" s="1590">
        <v>1</v>
      </c>
      <c r="I14" s="1591">
        <v>0.71880391029327195</v>
      </c>
      <c r="J14" s="3"/>
      <c r="K14" s="3"/>
    </row>
    <row r="15" spans="1:11" ht="18" customHeight="1" thickBot="1">
      <c r="A15" s="319" t="s">
        <v>509</v>
      </c>
      <c r="B15" s="289">
        <v>39481</v>
      </c>
      <c r="C15" s="159">
        <v>33</v>
      </c>
      <c r="D15" s="289">
        <v>25</v>
      </c>
      <c r="E15" s="159">
        <v>58</v>
      </c>
      <c r="F15" s="1589">
        <v>1.4690610673488513</v>
      </c>
      <c r="G15" s="430">
        <v>2</v>
      </c>
      <c r="H15" s="1590">
        <v>1</v>
      </c>
      <c r="I15" s="1591">
        <v>0.50657278184443155</v>
      </c>
      <c r="J15" s="3"/>
      <c r="K15" s="3"/>
    </row>
    <row r="16" spans="1:11" ht="18" customHeight="1" thickBot="1">
      <c r="A16" s="319" t="s">
        <v>510</v>
      </c>
      <c r="B16" s="289">
        <v>117346.5</v>
      </c>
      <c r="C16" s="159">
        <v>97</v>
      </c>
      <c r="D16" s="289">
        <v>141</v>
      </c>
      <c r="E16" s="159">
        <v>238</v>
      </c>
      <c r="F16" s="1589">
        <v>2.0281814966786396</v>
      </c>
      <c r="G16" s="430">
        <v>15</v>
      </c>
      <c r="H16" s="1590">
        <v>1</v>
      </c>
      <c r="I16" s="1591">
        <v>1.27826564916721</v>
      </c>
      <c r="J16" s="3"/>
      <c r="K16" s="3"/>
    </row>
    <row r="17" spans="1:11" ht="18" customHeight="1" thickBot="1">
      <c r="A17" s="319" t="s">
        <v>511</v>
      </c>
      <c r="B17" s="289">
        <v>294508.5</v>
      </c>
      <c r="C17" s="159">
        <v>165</v>
      </c>
      <c r="D17" s="289">
        <v>222</v>
      </c>
      <c r="E17" s="159">
        <v>387</v>
      </c>
      <c r="F17" s="1589">
        <v>1.3140537539663542</v>
      </c>
      <c r="G17" s="430">
        <v>68</v>
      </c>
      <c r="H17" s="1590">
        <v>2</v>
      </c>
      <c r="I17" s="1591">
        <v>2.3089316607160746</v>
      </c>
      <c r="J17" s="3"/>
      <c r="K17" s="3"/>
    </row>
    <row r="18" spans="1:11" ht="18" customHeight="1" thickBot="1">
      <c r="A18" s="319" t="s">
        <v>512</v>
      </c>
      <c r="B18" s="289">
        <v>260360</v>
      </c>
      <c r="C18" s="159">
        <v>224</v>
      </c>
      <c r="D18" s="289">
        <v>210</v>
      </c>
      <c r="E18" s="159">
        <v>434</v>
      </c>
      <c r="F18" s="1589">
        <v>1.6669227223843908</v>
      </c>
      <c r="G18" s="430">
        <v>27</v>
      </c>
      <c r="H18" s="1590">
        <v>1</v>
      </c>
      <c r="I18" s="1591">
        <v>1.0370256567829159</v>
      </c>
      <c r="J18" s="3"/>
      <c r="K18" s="3"/>
    </row>
    <row r="19" spans="1:11" ht="18" customHeight="1" thickBot="1">
      <c r="A19" s="319" t="s">
        <v>513</v>
      </c>
      <c r="B19" s="289">
        <v>188380</v>
      </c>
      <c r="C19" s="159">
        <v>238</v>
      </c>
      <c r="D19" s="289">
        <v>566</v>
      </c>
      <c r="E19" s="159">
        <v>804</v>
      </c>
      <c r="F19" s="1589">
        <v>4.2679689988321474</v>
      </c>
      <c r="G19" s="430">
        <v>75</v>
      </c>
      <c r="H19" s="1590">
        <v>3</v>
      </c>
      <c r="I19" s="1591">
        <v>3.9813143645822273</v>
      </c>
      <c r="J19" s="3"/>
      <c r="K19" s="3"/>
    </row>
    <row r="20" spans="1:11" ht="18" customHeight="1" thickBot="1">
      <c r="A20" s="319" t="s">
        <v>514</v>
      </c>
      <c r="B20" s="289">
        <v>277596.5</v>
      </c>
      <c r="C20" s="159">
        <v>253</v>
      </c>
      <c r="D20" s="289">
        <v>394</v>
      </c>
      <c r="E20" s="159">
        <v>647</v>
      </c>
      <c r="F20" s="1589">
        <v>2.3307210285432274</v>
      </c>
      <c r="G20" s="430">
        <v>48</v>
      </c>
      <c r="H20" s="1590">
        <v>1</v>
      </c>
      <c r="I20" s="1591">
        <v>1.7291284292129043</v>
      </c>
      <c r="J20" s="3"/>
      <c r="K20" s="3"/>
    </row>
    <row r="21" spans="1:11" ht="18" customHeight="1" thickBot="1">
      <c r="A21" s="319" t="s">
        <v>515</v>
      </c>
      <c r="B21" s="289">
        <v>78369</v>
      </c>
      <c r="C21" s="159">
        <v>75</v>
      </c>
      <c r="D21" s="289">
        <v>76</v>
      </c>
      <c r="E21" s="159">
        <v>151</v>
      </c>
      <c r="F21" s="1589">
        <v>1.9267822736030829</v>
      </c>
      <c r="G21" s="430">
        <v>13</v>
      </c>
      <c r="H21" s="1590">
        <v>2</v>
      </c>
      <c r="I21" s="1591">
        <v>1.658819175949674</v>
      </c>
      <c r="J21" s="3"/>
      <c r="K21" s="3"/>
    </row>
    <row r="22" spans="1:11" ht="18" customHeight="1" thickBot="1">
      <c r="A22" s="319" t="s">
        <v>516</v>
      </c>
      <c r="B22" s="289">
        <v>53564.5</v>
      </c>
      <c r="C22" s="159">
        <v>47</v>
      </c>
      <c r="D22" s="289">
        <v>39</v>
      </c>
      <c r="E22" s="159">
        <v>86</v>
      </c>
      <c r="F22" s="1589">
        <v>1.605540983300507</v>
      </c>
      <c r="G22" s="430">
        <v>5</v>
      </c>
      <c r="H22" s="1590">
        <v>1</v>
      </c>
      <c r="I22" s="1591">
        <v>0.93345406005843423</v>
      </c>
      <c r="J22" s="3"/>
      <c r="K22" s="3"/>
    </row>
    <row r="23" spans="1:11" ht="18" customHeight="1" thickBot="1">
      <c r="A23" s="319" t="s">
        <v>517</v>
      </c>
      <c r="B23" s="289">
        <v>15747.5</v>
      </c>
      <c r="C23" s="159">
        <v>11</v>
      </c>
      <c r="D23" s="289">
        <v>6</v>
      </c>
      <c r="E23" s="159">
        <v>17</v>
      </c>
      <c r="F23" s="1589">
        <v>1.0795364343546596</v>
      </c>
      <c r="G23" s="430">
        <v>1</v>
      </c>
      <c r="H23" s="1590">
        <v>1</v>
      </c>
      <c r="I23" s="1591">
        <v>0.63502143197332916</v>
      </c>
      <c r="J23" s="3"/>
      <c r="K23" s="3"/>
    </row>
    <row r="24" spans="1:11" ht="18" customHeight="1" thickBot="1">
      <c r="A24" s="319" t="s">
        <v>518</v>
      </c>
      <c r="B24" s="289">
        <v>489379.5</v>
      </c>
      <c r="C24" s="159">
        <v>400</v>
      </c>
      <c r="D24" s="289">
        <v>510</v>
      </c>
      <c r="E24" s="159">
        <v>910</v>
      </c>
      <c r="F24" s="1589">
        <v>1.8594975882724962</v>
      </c>
      <c r="G24" s="430">
        <v>55</v>
      </c>
      <c r="H24" s="1590">
        <v>1</v>
      </c>
      <c r="I24" s="1591">
        <v>1.1238721687361239</v>
      </c>
      <c r="J24" s="3"/>
      <c r="K24" s="3"/>
    </row>
    <row r="25" spans="1:11" ht="18" customHeight="1" thickBot="1">
      <c r="A25" s="319" t="s">
        <v>519</v>
      </c>
      <c r="B25" s="289">
        <v>194439.5</v>
      </c>
      <c r="C25" s="159">
        <v>189</v>
      </c>
      <c r="D25" s="289">
        <v>151</v>
      </c>
      <c r="E25" s="159">
        <v>340</v>
      </c>
      <c r="F25" s="1589">
        <v>1.7486158933755744</v>
      </c>
      <c r="G25" s="430">
        <v>43</v>
      </c>
      <c r="H25" s="1590">
        <v>2</v>
      </c>
      <c r="I25" s="1591">
        <v>2.2114848063279324</v>
      </c>
      <c r="J25" s="3"/>
      <c r="K25" s="3"/>
    </row>
    <row r="26" spans="1:11" ht="18" customHeight="1" thickBot="1">
      <c r="A26" s="319" t="s">
        <v>520</v>
      </c>
      <c r="B26" s="289">
        <v>631851</v>
      </c>
      <c r="C26" s="159">
        <v>420</v>
      </c>
      <c r="D26" s="289">
        <v>611</v>
      </c>
      <c r="E26" s="159">
        <v>1031</v>
      </c>
      <c r="F26" s="1589">
        <v>1.631713805944756</v>
      </c>
      <c r="G26" s="430">
        <v>118</v>
      </c>
      <c r="H26" s="1590">
        <v>2</v>
      </c>
      <c r="I26" s="1591">
        <v>1.8675288952616995</v>
      </c>
      <c r="J26" s="3"/>
      <c r="K26" s="3"/>
    </row>
    <row r="27" spans="1:11" ht="18" customHeight="1" thickBot="1">
      <c r="A27" s="319" t="s">
        <v>521</v>
      </c>
      <c r="B27" s="289">
        <v>258245.5</v>
      </c>
      <c r="C27" s="159">
        <v>195</v>
      </c>
      <c r="D27" s="289">
        <v>218</v>
      </c>
      <c r="E27" s="159">
        <v>413</v>
      </c>
      <c r="F27" s="1589">
        <v>1.5992534235833731</v>
      </c>
      <c r="G27" s="430">
        <v>25</v>
      </c>
      <c r="H27" s="1590">
        <v>1</v>
      </c>
      <c r="I27" s="1591">
        <v>0.96807107965095229</v>
      </c>
      <c r="J27" s="3"/>
      <c r="K27" s="3"/>
    </row>
    <row r="28" spans="1:11" ht="18" customHeight="1" thickBot="1">
      <c r="A28" s="319" t="s">
        <v>522</v>
      </c>
      <c r="B28" s="289">
        <v>344095.5</v>
      </c>
      <c r="C28" s="159">
        <v>314</v>
      </c>
      <c r="D28" s="289">
        <v>410</v>
      </c>
      <c r="E28" s="159">
        <v>724</v>
      </c>
      <c r="F28" s="1589">
        <v>2.1040670395282706</v>
      </c>
      <c r="G28" s="430">
        <v>191</v>
      </c>
      <c r="H28" s="1590">
        <v>3</v>
      </c>
      <c r="I28" s="1591">
        <v>5.5507845932306585</v>
      </c>
      <c r="J28" s="3"/>
      <c r="K28" s="3"/>
    </row>
    <row r="29" spans="1:11" ht="18" customHeight="1" thickBot="1">
      <c r="A29" s="319" t="s">
        <v>523</v>
      </c>
      <c r="B29" s="289">
        <v>741864.5</v>
      </c>
      <c r="C29" s="159">
        <v>624</v>
      </c>
      <c r="D29" s="289">
        <v>1164</v>
      </c>
      <c r="E29" s="159">
        <v>1788</v>
      </c>
      <c r="F29" s="1589">
        <v>2.4101436313504689</v>
      </c>
      <c r="G29" s="430">
        <v>247</v>
      </c>
      <c r="H29" s="1590">
        <v>3</v>
      </c>
      <c r="I29" s="1591">
        <v>3.3294489761944401</v>
      </c>
      <c r="J29" s="3"/>
      <c r="K29" s="3"/>
    </row>
    <row r="30" spans="1:11" ht="18" customHeight="1" thickBot="1">
      <c r="A30" s="319" t="s">
        <v>524</v>
      </c>
      <c r="B30" s="289">
        <v>324371.5</v>
      </c>
      <c r="C30" s="159">
        <v>244</v>
      </c>
      <c r="D30" s="289">
        <v>264</v>
      </c>
      <c r="E30" s="159">
        <v>508</v>
      </c>
      <c r="F30" s="1589">
        <v>1.5661055302330815</v>
      </c>
      <c r="G30" s="430">
        <v>114</v>
      </c>
      <c r="H30" s="1590">
        <v>2</v>
      </c>
      <c r="I30" s="1591">
        <v>3.5144887883183324</v>
      </c>
      <c r="J30" s="3"/>
      <c r="K30" s="3"/>
    </row>
    <row r="31" spans="1:11" ht="18" customHeight="1" thickBot="1">
      <c r="A31" s="319" t="s">
        <v>525</v>
      </c>
      <c r="B31" s="289">
        <v>175478</v>
      </c>
      <c r="C31" s="159">
        <v>157</v>
      </c>
      <c r="D31" s="289">
        <v>195</v>
      </c>
      <c r="E31" s="159">
        <v>352</v>
      </c>
      <c r="F31" s="1589">
        <v>2.0059494637504418</v>
      </c>
      <c r="G31" s="430">
        <v>55</v>
      </c>
      <c r="H31" s="1590">
        <v>3</v>
      </c>
      <c r="I31" s="1591">
        <v>3.1342960371100652</v>
      </c>
      <c r="J31" s="3"/>
      <c r="K31" s="3"/>
    </row>
    <row r="32" spans="1:11" ht="18" customHeight="1" thickBot="1">
      <c r="A32" s="319" t="s">
        <v>526</v>
      </c>
      <c r="B32" s="289">
        <v>466267</v>
      </c>
      <c r="C32" s="159">
        <v>522</v>
      </c>
      <c r="D32" s="289">
        <v>1234</v>
      </c>
      <c r="E32" s="159">
        <v>1756</v>
      </c>
      <c r="F32" s="1589">
        <v>3.766082523532654</v>
      </c>
      <c r="G32" s="430">
        <v>167</v>
      </c>
      <c r="H32" s="1590">
        <v>3</v>
      </c>
      <c r="I32" s="1591">
        <v>3.5816388464120346</v>
      </c>
      <c r="J32" s="3"/>
      <c r="K32" s="3"/>
    </row>
    <row r="33" spans="1:11" ht="18" customHeight="1" thickBot="1">
      <c r="A33" s="319" t="s">
        <v>527</v>
      </c>
      <c r="B33" s="289">
        <v>71340</v>
      </c>
      <c r="C33" s="159">
        <v>51</v>
      </c>
      <c r="D33" s="289">
        <v>52</v>
      </c>
      <c r="E33" s="159">
        <v>103</v>
      </c>
      <c r="F33" s="1589">
        <v>1.4437902999719652</v>
      </c>
      <c r="G33" s="430">
        <v>19</v>
      </c>
      <c r="H33" s="1590">
        <v>2</v>
      </c>
      <c r="I33" s="1591">
        <v>2.6633024950939168</v>
      </c>
      <c r="J33" s="3"/>
      <c r="K33" s="3"/>
    </row>
    <row r="34" spans="1:11" ht="30" customHeight="1" thickBot="1">
      <c r="A34" s="322" t="s">
        <v>530</v>
      </c>
      <c r="B34" s="290">
        <v>8089345.5</v>
      </c>
      <c r="C34" s="291">
        <v>6965</v>
      </c>
      <c r="D34" s="290">
        <v>10589</v>
      </c>
      <c r="E34" s="291">
        <v>17554</v>
      </c>
      <c r="F34" s="1592">
        <v>2.1700148670865893</v>
      </c>
      <c r="G34" s="265">
        <v>1744</v>
      </c>
      <c r="H34" s="1593" t="s">
        <v>153</v>
      </c>
      <c r="I34" s="1594">
        <v>2.1559222560094633</v>
      </c>
      <c r="J34" s="219"/>
      <c r="K34" s="219"/>
    </row>
    <row r="35" spans="1:11" ht="17.5" customHeight="1">
      <c r="A35" s="1431" t="s">
        <v>2313</v>
      </c>
      <c r="B35" s="1432"/>
      <c r="C35" s="1432"/>
      <c r="D35" s="1432"/>
      <c r="E35" s="1432"/>
      <c r="F35" s="1432"/>
      <c r="G35" s="1432"/>
      <c r="H35" s="1432"/>
      <c r="I35" s="1595"/>
      <c r="J35" s="1121"/>
      <c r="K35" s="1121"/>
    </row>
    <row r="36" spans="1:11" ht="13.75" customHeight="1">
      <c r="A36" s="1442"/>
      <c r="B36" s="1121"/>
      <c r="C36" s="1121"/>
      <c r="D36" s="1121"/>
      <c r="E36" s="1121"/>
      <c r="F36" s="1121"/>
      <c r="G36" s="1121"/>
      <c r="H36" s="1121"/>
      <c r="I36" s="1596"/>
      <c r="J36" s="1121"/>
      <c r="K36" s="1121"/>
    </row>
    <row r="37" spans="1:11" ht="12" customHeight="1">
      <c r="A37" s="219" t="s">
        <v>2367</v>
      </c>
      <c r="B37" s="1121"/>
      <c r="C37" s="1121"/>
      <c r="D37" s="1121"/>
      <c r="E37" s="1121"/>
      <c r="F37" s="1121"/>
      <c r="G37" s="1121"/>
      <c r="H37" s="1121"/>
      <c r="I37" s="1596"/>
      <c r="J37" s="1121"/>
      <c r="K37" s="1121"/>
    </row>
    <row r="38" spans="1:11" ht="12" customHeight="1">
      <c r="A38" s="219" t="s">
        <v>2368</v>
      </c>
      <c r="B38" s="1121"/>
      <c r="C38" s="1121"/>
      <c r="D38" s="1121"/>
      <c r="E38" s="1121"/>
      <c r="F38" s="1121"/>
      <c r="G38" s="1121"/>
      <c r="H38" s="1121"/>
      <c r="I38" s="1596"/>
      <c r="J38" s="1121"/>
      <c r="K38" s="1121"/>
    </row>
    <row r="39" spans="1:11" ht="13.75" customHeight="1">
      <c r="A39" s="1442" t="s">
        <v>2369</v>
      </c>
      <c r="B39" s="1121"/>
      <c r="C39" s="1121"/>
      <c r="D39" s="1121"/>
      <c r="E39" s="1121"/>
      <c r="F39" s="1121"/>
      <c r="G39" s="1121"/>
      <c r="H39" s="1121"/>
      <c r="I39" s="1596"/>
      <c r="J39" s="1121"/>
      <c r="K39" s="1121"/>
    </row>
    <row r="40" spans="1:11" ht="12" customHeight="1">
      <c r="A40" s="1442" t="s">
        <v>2370</v>
      </c>
      <c r="B40" s="1121"/>
      <c r="C40" s="1121"/>
      <c r="D40" s="1121"/>
      <c r="E40" s="1121"/>
      <c r="F40" s="1121"/>
      <c r="G40" s="1121"/>
      <c r="H40" s="1121"/>
      <c r="I40" s="1596"/>
      <c r="J40" s="1121"/>
      <c r="K40" s="1121"/>
    </row>
    <row r="41" spans="1:11" ht="12" customHeight="1">
      <c r="A41" s="1442" t="s">
        <v>2371</v>
      </c>
      <c r="B41" s="1121"/>
      <c r="C41" s="1121"/>
      <c r="D41" s="1121"/>
      <c r="E41" s="1121"/>
      <c r="F41" s="1121"/>
      <c r="G41" s="1121"/>
      <c r="H41" s="1121"/>
      <c r="I41" s="1596"/>
      <c r="J41" s="1121"/>
      <c r="K41" s="1121"/>
    </row>
    <row r="42" spans="1:11" ht="13.75" customHeight="1">
      <c r="A42" s="1442" t="s">
        <v>2372</v>
      </c>
      <c r="B42" s="1121"/>
      <c r="C42" s="1121"/>
      <c r="D42" s="1121"/>
      <c r="E42" s="1121"/>
      <c r="F42" s="1121"/>
      <c r="G42" s="1121"/>
      <c r="H42" s="1121"/>
      <c r="I42" s="1596"/>
      <c r="J42" s="1121"/>
      <c r="K42" s="1121"/>
    </row>
    <row r="43" spans="1:11" ht="13.25" customHeight="1">
      <c r="A43" s="1442" t="s">
        <v>2348</v>
      </c>
      <c r="B43" s="1121"/>
      <c r="C43" s="1121"/>
      <c r="D43" s="1121"/>
      <c r="E43" s="1121"/>
      <c r="F43" s="1121"/>
      <c r="G43" s="1121"/>
      <c r="H43" s="1121"/>
      <c r="I43" s="1596"/>
      <c r="J43" s="1121"/>
      <c r="K43" s="1121"/>
    </row>
    <row r="44" spans="1:11" ht="12.5" customHeight="1">
      <c r="A44" s="1442" t="s">
        <v>2373</v>
      </c>
      <c r="B44" s="1121"/>
      <c r="C44" s="1121"/>
      <c r="D44" s="1121"/>
      <c r="E44" s="1121"/>
      <c r="F44" s="1121"/>
      <c r="G44" s="1121"/>
      <c r="H44" s="1121"/>
      <c r="I44" s="1596"/>
      <c r="J44" s="1121"/>
      <c r="K44" s="1121"/>
    </row>
    <row r="45" spans="1:11" ht="12" customHeight="1">
      <c r="A45" s="1442" t="s">
        <v>2374</v>
      </c>
      <c r="B45" s="1121"/>
      <c r="C45" s="1121"/>
      <c r="D45" s="1121"/>
      <c r="E45" s="1121"/>
      <c r="F45" s="1121"/>
      <c r="G45" s="1121"/>
      <c r="H45" s="1121"/>
      <c r="I45" s="1596"/>
      <c r="J45" s="1121"/>
      <c r="K45" s="1121"/>
    </row>
    <row r="46" spans="1:11" ht="13.75" customHeight="1">
      <c r="A46" s="1442" t="s">
        <v>2375</v>
      </c>
      <c r="B46" s="1121"/>
      <c r="C46" s="1121"/>
      <c r="D46" s="1121"/>
      <c r="E46" s="1121"/>
      <c r="F46" s="1121"/>
      <c r="G46" s="1121"/>
      <c r="H46" s="1121"/>
      <c r="I46" s="1596"/>
      <c r="J46" s="1121"/>
      <c r="K46" s="1121"/>
    </row>
    <row r="47" spans="1:11" ht="12" customHeight="1">
      <c r="A47" s="1496" t="s">
        <v>2376</v>
      </c>
      <c r="B47" s="1121"/>
      <c r="C47" s="1121"/>
      <c r="D47" s="1121"/>
      <c r="E47" s="1121"/>
      <c r="F47" s="1121"/>
      <c r="G47" s="1121"/>
      <c r="H47" s="1121"/>
      <c r="I47" s="1596"/>
      <c r="J47" s="1121"/>
      <c r="K47" s="1121"/>
    </row>
    <row r="48" spans="1:11" ht="13.75" customHeight="1">
      <c r="A48" s="1442" t="s">
        <v>2377</v>
      </c>
      <c r="B48" s="1121"/>
      <c r="C48" s="1121"/>
      <c r="D48" s="1121"/>
      <c r="E48" s="1121"/>
      <c r="F48" s="1121"/>
      <c r="G48" s="1121"/>
      <c r="H48" s="1121"/>
      <c r="I48" s="1596"/>
      <c r="J48" s="1121"/>
      <c r="K48" s="1121"/>
    </row>
    <row r="49" spans="1:11" ht="12" customHeight="1">
      <c r="A49" s="1442"/>
      <c r="B49" s="1121"/>
      <c r="C49" s="1121"/>
      <c r="D49" s="1121"/>
      <c r="E49" s="1121"/>
      <c r="F49" s="1121"/>
      <c r="G49" s="1121"/>
      <c r="H49" s="1121"/>
      <c r="I49" s="1596"/>
      <c r="J49" s="1121"/>
      <c r="K49" s="1121"/>
    </row>
    <row r="50" spans="1:11" ht="12" customHeight="1">
      <c r="A50" s="1442"/>
      <c r="B50" s="1121"/>
      <c r="C50" s="1121"/>
      <c r="D50" s="1121"/>
      <c r="E50" s="1121"/>
      <c r="F50" s="1121"/>
      <c r="G50" s="1121"/>
      <c r="H50" s="1121"/>
      <c r="I50" s="1596"/>
      <c r="J50" s="1121"/>
      <c r="K50" s="1121"/>
    </row>
    <row r="51" spans="1:11" ht="12" customHeight="1">
      <c r="A51" s="1442" t="s">
        <v>302</v>
      </c>
      <c r="B51" s="1121"/>
      <c r="C51" s="1121"/>
      <c r="D51" s="1121"/>
      <c r="E51" s="1121"/>
      <c r="F51" s="1121"/>
      <c r="G51" s="1121"/>
      <c r="H51" s="1121"/>
      <c r="I51" s="1596"/>
      <c r="J51" s="1121"/>
      <c r="K51" s="1121"/>
    </row>
    <row r="52" spans="1:11" ht="12" customHeight="1">
      <c r="A52" s="1442"/>
      <c r="B52" s="1121"/>
      <c r="C52" s="1121"/>
      <c r="D52" s="1121"/>
      <c r="E52" s="1121"/>
      <c r="F52" s="1121"/>
      <c r="G52" s="1121"/>
      <c r="H52" s="1121"/>
      <c r="I52" s="1596"/>
      <c r="J52" s="1121"/>
      <c r="K52" s="1121"/>
    </row>
    <row r="53" spans="1:11" ht="12" customHeight="1">
      <c r="A53" s="1496"/>
      <c r="B53" s="1453"/>
      <c r="C53" s="1453"/>
      <c r="D53" s="1453"/>
      <c r="E53" s="1453"/>
      <c r="F53" s="1453"/>
      <c r="G53" s="1453"/>
      <c r="H53" s="1453"/>
      <c r="I53" s="1597"/>
      <c r="J53" s="1453"/>
      <c r="K53" s="1453"/>
    </row>
    <row r="54" spans="1:11">
      <c r="A54" s="367"/>
      <c r="B54" s="624"/>
      <c r="C54" s="624"/>
      <c r="D54" s="624"/>
      <c r="E54" s="624"/>
      <c r="F54" s="624"/>
      <c r="G54" s="624"/>
      <c r="H54" s="624"/>
      <c r="I54" s="748"/>
      <c r="J54" s="624"/>
      <c r="K54" s="624"/>
    </row>
  </sheetData>
  <pageMargins left="0.43307086614173229" right="0.43307086614173229" top="0.74803149606299213" bottom="0.47244094488188981" header="0.47244094488188981" footer="0.51181102362204722"/>
  <pageSetup paperSize="9" scale="81" orientation="portrait" horizontalDpi="1200" verticalDpi="1200"/>
  <headerFooter alignWithMargins="0"/>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19B10-F9DD-0A4D-9FE8-CD923F836586}">
  <sheetPr>
    <pageSetUpPr fitToPage="1"/>
  </sheetPr>
  <dimension ref="A1:N45"/>
  <sheetViews>
    <sheetView zoomScaleNormal="100" workbookViewId="0"/>
  </sheetViews>
  <sheetFormatPr baseColWidth="10" defaultColWidth="11.3984375" defaultRowHeight="13"/>
  <cols>
    <col min="1" max="1" width="12.59765625" style="3" customWidth="1"/>
    <col min="2" max="2" width="13.796875" style="201" customWidth="1"/>
    <col min="3" max="3" width="14.19921875" style="201" customWidth="1"/>
    <col min="4" max="5" width="11.59765625" style="201" customWidth="1"/>
    <col min="6" max="6" width="14" style="201" customWidth="1"/>
    <col min="7" max="8" width="11.59765625" style="201" customWidth="1"/>
    <col min="9" max="9" width="14.3984375" style="201" customWidth="1"/>
    <col min="10" max="10" width="7.19921875" style="3" customWidth="1"/>
    <col min="11" max="16384" width="11.3984375" style="3"/>
  </cols>
  <sheetData>
    <row r="1" spans="1:9" s="1" customFormat="1" ht="14" customHeight="1">
      <c r="A1" s="191"/>
      <c r="B1" s="1425"/>
      <c r="C1" s="1425"/>
      <c r="D1" s="1425"/>
      <c r="E1" s="1425"/>
      <c r="F1" s="1425"/>
      <c r="G1" s="1425"/>
      <c r="H1" s="1425"/>
      <c r="I1" s="1425"/>
    </row>
    <row r="2" spans="1:9" s="1" customFormat="1" ht="25.75" customHeight="1">
      <c r="A2" s="2012" t="s">
        <v>2338</v>
      </c>
      <c r="B2" s="2011"/>
      <c r="C2" s="2011"/>
      <c r="D2" s="2011"/>
      <c r="E2" s="2011"/>
      <c r="F2" s="2011"/>
      <c r="G2" s="2011"/>
      <c r="H2" s="2011"/>
      <c r="I2" s="2011"/>
    </row>
    <row r="3" spans="1:9" ht="27" customHeight="1">
      <c r="A3" s="224" t="s">
        <v>460</v>
      </c>
      <c r="B3" s="267" t="s">
        <v>1752</v>
      </c>
      <c r="C3" s="305" t="s">
        <v>475</v>
      </c>
      <c r="D3" s="267" t="s">
        <v>1634</v>
      </c>
      <c r="E3" s="1577" t="s">
        <v>2339</v>
      </c>
      <c r="F3" s="225" t="s">
        <v>2340</v>
      </c>
      <c r="G3" s="268" t="s">
        <v>1634</v>
      </c>
      <c r="H3" s="270" t="s">
        <v>2341</v>
      </c>
      <c r="I3" s="305" t="s">
        <v>2340</v>
      </c>
    </row>
    <row r="4" spans="1:9" ht="18" customHeight="1">
      <c r="A4" s="269"/>
      <c r="B4" s="494" t="s">
        <v>1756</v>
      </c>
      <c r="C4" s="1130" t="s">
        <v>476</v>
      </c>
      <c r="D4" s="494" t="s">
        <v>2342</v>
      </c>
      <c r="E4" s="1522" t="s">
        <v>2343</v>
      </c>
      <c r="F4" s="496" t="s">
        <v>476</v>
      </c>
      <c r="G4" s="1522" t="s">
        <v>2344</v>
      </c>
      <c r="H4" s="494" t="s">
        <v>2345</v>
      </c>
      <c r="I4" s="1130" t="s">
        <v>476</v>
      </c>
    </row>
    <row r="5" spans="1:9" ht="18.75" customHeight="1">
      <c r="A5" s="269"/>
      <c r="B5" s="494" t="s">
        <v>2346</v>
      </c>
      <c r="C5" s="1130" t="s">
        <v>477</v>
      </c>
      <c r="D5" s="494"/>
      <c r="E5" s="1522"/>
      <c r="F5" s="496" t="s">
        <v>477</v>
      </c>
      <c r="G5" s="1522"/>
      <c r="H5" s="494"/>
      <c r="I5" s="1130" t="s">
        <v>477</v>
      </c>
    </row>
    <row r="6" spans="1:9" ht="16.75" customHeight="1">
      <c r="A6" s="227"/>
      <c r="B6" s="274"/>
      <c r="C6" s="307"/>
      <c r="D6" s="274"/>
      <c r="E6" s="275"/>
      <c r="F6" s="229"/>
      <c r="G6" s="275"/>
      <c r="H6" s="274"/>
      <c r="I6" s="307"/>
    </row>
    <row r="7" spans="1:9" ht="1.5" customHeight="1" thickBot="1">
      <c r="A7" s="316">
        <v>1996</v>
      </c>
      <c r="B7" s="287">
        <v>7105446</v>
      </c>
      <c r="C7" s="308">
        <v>3.459706242723432E-3</v>
      </c>
      <c r="D7" s="287">
        <v>12711</v>
      </c>
      <c r="E7" s="1578">
        <v>1.7889095209505499</v>
      </c>
      <c r="F7" s="406">
        <v>2.7595951533686547E-2</v>
      </c>
      <c r="G7" s="288">
        <v>1649</v>
      </c>
      <c r="H7" s="1579">
        <v>2.3207550940503947</v>
      </c>
      <c r="I7" s="308">
        <v>1.4104900491136441E-3</v>
      </c>
    </row>
    <row r="8" spans="1:9" ht="0.75" customHeight="1" thickBot="1">
      <c r="A8" s="319">
        <v>1997</v>
      </c>
      <c r="B8" s="289">
        <v>7113565</v>
      </c>
      <c r="C8" s="309">
        <v>1.142644670017899E-3</v>
      </c>
      <c r="D8" s="289">
        <v>13038</v>
      </c>
      <c r="E8" s="1251">
        <v>1.8328362782936545</v>
      </c>
      <c r="F8" s="351">
        <v>2.4555046987375651E-2</v>
      </c>
      <c r="G8" s="159">
        <v>1651</v>
      </c>
      <c r="H8" s="1580">
        <v>2.3209178520193463</v>
      </c>
      <c r="I8" s="309">
        <v>7.0131471161527514E-5</v>
      </c>
    </row>
    <row r="9" spans="1:9" ht="18" hidden="1" customHeight="1" thickBot="1">
      <c r="A9" s="319">
        <v>1998</v>
      </c>
      <c r="B9" s="289">
        <v>7131888</v>
      </c>
      <c r="C9" s="309">
        <v>2.5757830286220764E-3</v>
      </c>
      <c r="D9" s="289">
        <v>13357</v>
      </c>
      <c r="E9" s="1251">
        <v>1.8728561076674226</v>
      </c>
      <c r="F9" s="351">
        <v>2.1834917743458249E-2</v>
      </c>
      <c r="G9" s="159">
        <v>1653</v>
      </c>
      <c r="H9" s="1580">
        <v>2.3177593366581193</v>
      </c>
      <c r="I9" s="309">
        <v>-1.3608906314710456E-3</v>
      </c>
    </row>
    <row r="10" spans="1:9" ht="18" hidden="1" customHeight="1" thickBot="1">
      <c r="A10" s="319">
        <v>1999</v>
      </c>
      <c r="B10" s="289">
        <v>7166738</v>
      </c>
      <c r="C10" s="309">
        <v>4.8865041066264644E-3</v>
      </c>
      <c r="D10" s="289">
        <v>13622</v>
      </c>
      <c r="E10" s="1251">
        <v>1.9007252671996662</v>
      </c>
      <c r="F10" s="351">
        <v>1.4880566327625466E-2</v>
      </c>
      <c r="G10" s="159">
        <v>1654</v>
      </c>
      <c r="H10" s="1580">
        <v>2.3078840052475758</v>
      </c>
      <c r="I10" s="309">
        <v>-4.260723386743992E-3</v>
      </c>
    </row>
    <row r="11" spans="1:9" ht="18" hidden="1" customHeight="1" thickBot="1">
      <c r="A11" s="319">
        <v>2000</v>
      </c>
      <c r="B11" s="289">
        <v>7209042</v>
      </c>
      <c r="C11" s="309">
        <v>5.9028249672305588E-3</v>
      </c>
      <c r="D11" s="289">
        <v>13935</v>
      </c>
      <c r="E11" s="1251">
        <v>1.9329891544535323</v>
      </c>
      <c r="F11" s="351">
        <v>1.6974513787255674E-2</v>
      </c>
      <c r="G11" s="159">
        <v>1664</v>
      </c>
      <c r="H11" s="1580">
        <v>2.3082123810625603</v>
      </c>
      <c r="I11" s="309">
        <v>1.4228436708174641E-4</v>
      </c>
    </row>
    <row r="12" spans="1:9" ht="18" hidden="1" customHeight="1" thickBot="1">
      <c r="A12" s="319">
        <v>2001</v>
      </c>
      <c r="B12" s="289">
        <v>7260339</v>
      </c>
      <c r="C12" s="309">
        <v>7.1156472663080617E-3</v>
      </c>
      <c r="D12" s="289">
        <v>14178</v>
      </c>
      <c r="E12" s="1251">
        <v>1.952801377456342</v>
      </c>
      <c r="F12" s="351">
        <v>1.0249526210306614E-2</v>
      </c>
      <c r="G12" s="159">
        <v>1653</v>
      </c>
      <c r="H12" s="1580">
        <v>2.2767531929294211</v>
      </c>
      <c r="I12" s="309">
        <v>-1.362924330154458E-2</v>
      </c>
    </row>
    <row r="13" spans="1:9" ht="18" hidden="1" customHeight="1" thickBot="1">
      <c r="A13" s="319">
        <v>2002</v>
      </c>
      <c r="B13" s="289">
        <v>7347770</v>
      </c>
      <c r="C13" s="309">
        <v>1.2042275160980775E-2</v>
      </c>
      <c r="D13" s="289">
        <v>14408</v>
      </c>
      <c r="E13" s="1251">
        <v>1.9608670385708864</v>
      </c>
      <c r="F13" s="351">
        <v>4.1303028601149538E-3</v>
      </c>
      <c r="G13" s="159">
        <v>1648</v>
      </c>
      <c r="H13" s="1580">
        <v>2.2428573567218355</v>
      </c>
      <c r="I13" s="309">
        <v>-1.4887795617395394E-2</v>
      </c>
    </row>
    <row r="14" spans="1:9" ht="18" customHeight="1" thickBot="1">
      <c r="A14" s="319">
        <v>2003</v>
      </c>
      <c r="B14" s="289">
        <v>7405051</v>
      </c>
      <c r="C14" s="309">
        <v>7.7956985588824908E-3</v>
      </c>
      <c r="D14" s="289">
        <v>14879</v>
      </c>
      <c r="E14" s="1251">
        <v>2.0093041898023394</v>
      </c>
      <c r="F14" s="351">
        <v>2.4701904962793897E-2</v>
      </c>
      <c r="G14" s="159">
        <v>1653</v>
      </c>
      <c r="H14" s="1580">
        <v>2.2322601154266191</v>
      </c>
      <c r="I14" s="309">
        <v>-4.7248842033830174E-3</v>
      </c>
    </row>
    <row r="15" spans="1:9" ht="18" customHeight="1" thickBot="1">
      <c r="A15" s="319">
        <v>2004</v>
      </c>
      <c r="B15" s="289">
        <v>7454112</v>
      </c>
      <c r="C15" s="309">
        <v>6.6253426208678374E-3</v>
      </c>
      <c r="D15" s="289">
        <v>15199</v>
      </c>
      <c r="E15" s="1251">
        <v>2.03900880480465</v>
      </c>
      <c r="F15" s="351">
        <v>1.4783533102189272E-2</v>
      </c>
      <c r="G15" s="159">
        <v>1656</v>
      </c>
      <c r="H15" s="1580">
        <v>2.2215925921155999</v>
      </c>
      <c r="I15" s="309">
        <v>-4.7787994048267279E-3</v>
      </c>
    </row>
    <row r="16" spans="1:9" ht="18" customHeight="1" thickBot="1">
      <c r="A16" s="319">
        <v>2005</v>
      </c>
      <c r="B16" s="289">
        <v>7501255</v>
      </c>
      <c r="C16" s="309">
        <v>6.3244287180015402E-3</v>
      </c>
      <c r="D16" s="289">
        <v>15313</v>
      </c>
      <c r="E16" s="1251">
        <v>2.0413917404487649</v>
      </c>
      <c r="F16" s="351">
        <v>1.1686735429978778E-3</v>
      </c>
      <c r="G16" s="159">
        <v>1672</v>
      </c>
      <c r="H16" s="1580">
        <v>2.2289603539674361</v>
      </c>
      <c r="I16" s="309">
        <v>3.3164324899102038E-3</v>
      </c>
    </row>
    <row r="17" spans="1:9" ht="18" customHeight="1" thickBot="1">
      <c r="A17" s="319">
        <v>2006</v>
      </c>
      <c r="B17" s="289">
        <v>7557609</v>
      </c>
      <c r="C17" s="309">
        <v>7.5126095566675488E-3</v>
      </c>
      <c r="D17" s="289">
        <v>15532</v>
      </c>
      <c r="E17" s="1251">
        <v>2.0551473356189769</v>
      </c>
      <c r="F17" s="351">
        <v>6.7383417389490496E-3</v>
      </c>
      <c r="G17" s="159">
        <v>1692</v>
      </c>
      <c r="H17" s="1580">
        <v>2.2388033040608479</v>
      </c>
      <c r="I17" s="309">
        <v>4.415937715487761E-3</v>
      </c>
    </row>
    <row r="18" spans="1:9" ht="18" customHeight="1" thickBot="1">
      <c r="A18" s="319">
        <v>2007</v>
      </c>
      <c r="B18" s="289">
        <v>7618599</v>
      </c>
      <c r="C18" s="309">
        <v>8.0700126190704768E-3</v>
      </c>
      <c r="D18" s="289">
        <v>15588</v>
      </c>
      <c r="E18" s="1251">
        <v>2.0460454737150493</v>
      </c>
      <c r="F18" s="351">
        <v>-4.4288123513958055E-3</v>
      </c>
      <c r="G18" s="159">
        <v>1700</v>
      </c>
      <c r="H18" s="1580">
        <v>2.2313813865252654</v>
      </c>
      <c r="I18" s="309">
        <v>-3.3151271137219496E-3</v>
      </c>
    </row>
    <row r="19" spans="1:9" ht="18" customHeight="1" thickBot="1">
      <c r="A19" s="319">
        <v>2008</v>
      </c>
      <c r="B19" s="289">
        <v>7711056</v>
      </c>
      <c r="C19" s="309">
        <v>1.2135695814939229E-2</v>
      </c>
      <c r="D19" s="289">
        <v>15090</v>
      </c>
      <c r="E19" s="1251">
        <v>1.9569304126438714</v>
      </c>
      <c r="F19" s="351">
        <v>-4.3554780290083084E-2</v>
      </c>
      <c r="G19" s="159">
        <v>1721</v>
      </c>
      <c r="H19" s="1580">
        <v>2.2318603314513603</v>
      </c>
      <c r="I19" s="309">
        <v>2.1464054911768393E-4</v>
      </c>
    </row>
    <row r="20" spans="1:9" ht="18" customHeight="1" thickBot="1">
      <c r="A20" s="319">
        <v>2009</v>
      </c>
      <c r="B20" s="289">
        <v>7801278</v>
      </c>
      <c r="C20" s="309">
        <v>1.1700342988042012E-2</v>
      </c>
      <c r="D20" s="289">
        <v>15912</v>
      </c>
      <c r="E20" s="1251">
        <v>2.0396658086021291</v>
      </c>
      <c r="F20" s="351">
        <v>4.2278149199224568E-2</v>
      </c>
      <c r="G20" s="159">
        <v>1731</v>
      </c>
      <c r="H20" s="1580">
        <v>2.2188672163714713</v>
      </c>
      <c r="I20" s="309">
        <v>-5.821652411125422E-3</v>
      </c>
    </row>
    <row r="21" spans="1:9" ht="18" customHeight="1" thickBot="1">
      <c r="A21" s="319">
        <v>2010</v>
      </c>
      <c r="B21" s="289">
        <v>7877571</v>
      </c>
      <c r="C21" s="309">
        <v>9.7795515042535808E-3</v>
      </c>
      <c r="D21" s="289">
        <v>16087</v>
      </c>
      <c r="E21" s="1251">
        <v>2.0421269449681887</v>
      </c>
      <c r="F21" s="351">
        <v>1.2066370655821057E-3</v>
      </c>
      <c r="G21" s="159">
        <v>1733</v>
      </c>
      <c r="H21" s="1580">
        <v>2.1999167002112707</v>
      </c>
      <c r="I21" s="309">
        <v>-8.5406265054429609E-3</v>
      </c>
    </row>
    <row r="22" spans="1:9" ht="18" customHeight="1" thickBot="1">
      <c r="A22" s="319">
        <v>2011</v>
      </c>
      <c r="B22" s="289">
        <v>7912398</v>
      </c>
      <c r="C22" s="309">
        <v>4.4210328285203548E-3</v>
      </c>
      <c r="D22" s="289">
        <v>16232</v>
      </c>
      <c r="E22" s="1251">
        <v>2.0514640441494474</v>
      </c>
      <c r="F22" s="351">
        <v>4.5722422909435512E-3</v>
      </c>
      <c r="G22" s="159">
        <v>1743</v>
      </c>
      <c r="H22" s="1580">
        <v>2.2028719991082348</v>
      </c>
      <c r="I22" s="309">
        <v>1.3433685451273991E-3</v>
      </c>
    </row>
    <row r="23" spans="1:9" ht="18" customHeight="1" thickBot="1">
      <c r="A23" s="319">
        <v>2012</v>
      </c>
      <c r="B23" s="289">
        <v>7996861</v>
      </c>
      <c r="C23" s="309">
        <v>1.0674766360337262E-2</v>
      </c>
      <c r="D23" s="289">
        <v>16910</v>
      </c>
      <c r="E23" s="1251">
        <v>2.11457970821301</v>
      </c>
      <c r="F23" s="351">
        <v>3.0766156610719797E-2</v>
      </c>
      <c r="G23" s="159">
        <v>1740</v>
      </c>
      <c r="H23" s="1580">
        <v>2.1758537506153979</v>
      </c>
      <c r="I23" s="309">
        <v>-1.2265010633288886E-2</v>
      </c>
    </row>
    <row r="24" spans="1:9" ht="25.75" customHeight="1" thickBot="1">
      <c r="A24" s="322">
        <v>2013</v>
      </c>
      <c r="B24" s="290">
        <v>8089345.5</v>
      </c>
      <c r="C24" s="567">
        <v>1.1565100356252245E-2</v>
      </c>
      <c r="D24" s="290">
        <v>17554</v>
      </c>
      <c r="E24" s="1581">
        <v>2.1700148670865893</v>
      </c>
      <c r="F24" s="1582">
        <v>2.6215686577464758E-2</v>
      </c>
      <c r="G24" s="291">
        <v>1744</v>
      </c>
      <c r="H24" s="1583">
        <v>2.1559222560094633</v>
      </c>
      <c r="I24" s="567">
        <v>-9.1603098785004722E-3</v>
      </c>
    </row>
    <row r="25" spans="1:9" ht="20" customHeight="1">
      <c r="A25" s="1431" t="s">
        <v>2313</v>
      </c>
      <c r="B25" s="1432"/>
      <c r="C25" s="1432"/>
      <c r="D25" s="1432"/>
      <c r="E25" s="1432"/>
      <c r="F25" s="1432"/>
      <c r="G25" s="1432"/>
      <c r="H25" s="1432"/>
      <c r="I25" s="1432"/>
    </row>
    <row r="26" spans="1:9" ht="17.25" customHeight="1">
      <c r="A26" s="1442"/>
      <c r="B26" s="1121"/>
      <c r="C26" s="1121"/>
      <c r="D26" s="1121"/>
      <c r="E26" s="1121"/>
      <c r="F26" s="1121"/>
      <c r="G26" s="1121"/>
      <c r="H26" s="1121"/>
      <c r="I26" s="1121"/>
    </row>
    <row r="27" spans="1:9" ht="12" customHeight="1">
      <c r="A27" s="1442" t="s">
        <v>2347</v>
      </c>
      <c r="B27" s="1121"/>
      <c r="C27" s="1121"/>
      <c r="D27" s="1121"/>
      <c r="E27" s="1121"/>
      <c r="F27" s="1121"/>
      <c r="G27" s="1121"/>
      <c r="H27" s="1121"/>
      <c r="I27" s="1121"/>
    </row>
    <row r="28" spans="1:9" ht="13.75" customHeight="1">
      <c r="A28" s="1442" t="s">
        <v>2348</v>
      </c>
      <c r="B28" s="1121"/>
      <c r="C28" s="1121"/>
      <c r="D28" s="1121"/>
      <c r="E28" s="1121"/>
      <c r="F28" s="1121"/>
      <c r="G28" s="1121"/>
      <c r="H28" s="1121"/>
      <c r="I28" s="1121"/>
    </row>
    <row r="29" spans="1:9" ht="14.5" customHeight="1">
      <c r="A29" s="63" t="s">
        <v>2349</v>
      </c>
      <c r="B29" s="1121"/>
      <c r="C29" s="1121"/>
      <c r="D29" s="1121"/>
      <c r="E29" s="1121"/>
      <c r="F29" s="1121"/>
      <c r="G29" s="1121"/>
      <c r="H29" s="1121"/>
      <c r="I29" s="1121"/>
    </row>
    <row r="30" spans="1:9" ht="12.5" customHeight="1">
      <c r="A30" s="63" t="s">
        <v>2350</v>
      </c>
      <c r="B30" s="1121"/>
      <c r="C30" s="1121"/>
      <c r="D30" s="1121"/>
      <c r="E30" s="1121"/>
      <c r="F30" s="1121"/>
      <c r="G30" s="1121"/>
      <c r="H30" s="1121"/>
      <c r="I30" s="1121"/>
    </row>
    <row r="31" spans="1:9" ht="13.25" customHeight="1">
      <c r="A31" s="63" t="s">
        <v>2351</v>
      </c>
      <c r="B31" s="1121"/>
      <c r="C31" s="1121"/>
      <c r="D31" s="1121"/>
      <c r="E31" s="1121"/>
      <c r="F31" s="1121"/>
      <c r="G31" s="1121"/>
      <c r="H31" s="1121"/>
      <c r="I31" s="1121"/>
    </row>
    <row r="32" spans="1:9" ht="15" customHeight="1">
      <c r="A32" s="647"/>
      <c r="B32" s="237"/>
      <c r="C32" s="237"/>
      <c r="D32" s="237"/>
      <c r="E32" s="237"/>
      <c r="F32" s="237"/>
      <c r="G32" s="237"/>
      <c r="H32" s="237"/>
      <c r="I32" s="237"/>
    </row>
    <row r="33" spans="1:14" ht="15" customHeight="1">
      <c r="A33" s="17"/>
      <c r="B33" s="1498"/>
      <c r="C33" s="1498"/>
      <c r="D33" s="1498"/>
      <c r="E33" s="1498"/>
      <c r="F33" s="1498"/>
      <c r="G33" s="1498"/>
      <c r="H33" s="1498"/>
      <c r="I33" s="1498"/>
      <c r="J33" s="17"/>
      <c r="K33" s="17"/>
      <c r="L33" s="17"/>
      <c r="M33" s="17"/>
      <c r="N33" s="17"/>
    </row>
    <row r="34" spans="1:14" ht="15" customHeight="1">
      <c r="A34" s="17" t="s">
        <v>302</v>
      </c>
      <c r="B34" s="1498"/>
      <c r="C34" s="1498"/>
      <c r="D34" s="1498"/>
      <c r="E34" s="1498"/>
      <c r="F34" s="1498"/>
      <c r="G34" s="1498"/>
      <c r="H34" s="1498"/>
      <c r="I34" s="1498"/>
      <c r="J34" s="17"/>
      <c r="K34" s="17"/>
      <c r="L34" s="1584"/>
      <c r="M34" s="17"/>
      <c r="N34" s="17"/>
    </row>
    <row r="35" spans="1:14" ht="31" customHeight="1">
      <c r="A35" s="17"/>
      <c r="B35" s="1498"/>
      <c r="C35" s="1498"/>
      <c r="D35" s="1498"/>
      <c r="E35" s="1498"/>
      <c r="F35" s="1498"/>
      <c r="G35" s="1498"/>
      <c r="H35" s="1498"/>
      <c r="I35" s="1498"/>
      <c r="J35" s="17"/>
      <c r="K35" s="17"/>
      <c r="L35" s="17"/>
      <c r="M35" s="17"/>
      <c r="N35" s="17"/>
    </row>
    <row r="36" spans="1:14" ht="31" customHeight="1">
      <c r="A36" s="17"/>
      <c r="B36" s="1498"/>
      <c r="C36" s="1498"/>
      <c r="D36" s="1498"/>
      <c r="E36" s="1498"/>
      <c r="F36" s="1498"/>
      <c r="G36" s="1498"/>
      <c r="H36" s="1498"/>
      <c r="I36" s="1498"/>
      <c r="J36" s="17"/>
      <c r="K36" s="17"/>
      <c r="L36" s="17"/>
      <c r="M36" s="17"/>
      <c r="N36" s="17"/>
    </row>
    <row r="37" spans="1:14" ht="31" customHeight="1">
      <c r="A37" s="17"/>
      <c r="B37" s="1498"/>
      <c r="C37" s="1498"/>
      <c r="D37" s="1498"/>
      <c r="E37" s="1498"/>
      <c r="F37" s="1498"/>
      <c r="G37" s="1498"/>
      <c r="H37" s="1498"/>
      <c r="I37" s="1498"/>
      <c r="J37" s="17"/>
      <c r="K37" s="17"/>
      <c r="L37" s="17"/>
      <c r="M37" s="17"/>
      <c r="N37" s="17"/>
    </row>
    <row r="38" spans="1:14" ht="31" customHeight="1">
      <c r="A38" s="17"/>
      <c r="B38" s="1498"/>
      <c r="C38" s="1498"/>
      <c r="D38" s="1498"/>
      <c r="E38" s="1498"/>
      <c r="F38" s="1498"/>
      <c r="G38" s="1498"/>
      <c r="H38" s="1498"/>
      <c r="I38" s="1498"/>
      <c r="J38" s="17"/>
      <c r="K38" s="17"/>
      <c r="L38" s="17"/>
      <c r="M38" s="17"/>
      <c r="N38" s="17"/>
    </row>
    <row r="39" spans="1:14" ht="31" customHeight="1">
      <c r="A39" s="17"/>
      <c r="B39" s="1498"/>
      <c r="C39" s="1498"/>
      <c r="D39" s="1498"/>
      <c r="E39" s="1498"/>
      <c r="F39" s="1498"/>
      <c r="G39" s="1498"/>
      <c r="H39" s="1498"/>
      <c r="I39" s="1498"/>
      <c r="J39" s="17"/>
      <c r="K39" s="17"/>
      <c r="L39" s="17"/>
      <c r="M39" s="17"/>
      <c r="N39" s="17"/>
    </row>
    <row r="40" spans="1:14" ht="18" customHeight="1">
      <c r="A40" s="17"/>
      <c r="B40" s="1498"/>
      <c r="C40" s="1498"/>
      <c r="D40" s="1498"/>
      <c r="E40" s="1498"/>
      <c r="F40" s="1498"/>
      <c r="G40" s="1498"/>
      <c r="H40" s="1498"/>
      <c r="I40" s="1498"/>
      <c r="J40" s="17"/>
      <c r="K40" s="17"/>
      <c r="L40" s="17"/>
      <c r="M40" s="17"/>
      <c r="N40" s="17"/>
    </row>
    <row r="41" spans="1:14">
      <c r="A41" s="17"/>
      <c r="B41" s="1498"/>
      <c r="C41" s="1498"/>
      <c r="D41" s="1498"/>
      <c r="E41" s="1498"/>
      <c r="F41" s="1498"/>
      <c r="G41" s="1498"/>
      <c r="H41" s="1498"/>
      <c r="I41" s="1498"/>
      <c r="J41" s="17"/>
      <c r="K41" s="17"/>
      <c r="L41" s="17"/>
      <c r="M41" s="17"/>
      <c r="N41" s="17"/>
    </row>
    <row r="42" spans="1:14">
      <c r="A42" s="17"/>
      <c r="B42" s="1498"/>
      <c r="C42" s="1498"/>
      <c r="D42" s="1498"/>
      <c r="E42" s="1498"/>
      <c r="F42" s="1498"/>
      <c r="G42" s="1498"/>
      <c r="H42" s="1498"/>
      <c r="I42" s="1498"/>
      <c r="J42" s="17"/>
      <c r="K42" s="17"/>
      <c r="L42" s="17"/>
      <c r="M42" s="17"/>
      <c r="N42" s="17"/>
    </row>
    <row r="43" spans="1:14">
      <c r="A43" s="17"/>
      <c r="B43" s="1498"/>
      <c r="C43" s="1498"/>
      <c r="D43" s="1498"/>
      <c r="E43" s="1498"/>
      <c r="F43" s="1498"/>
      <c r="G43" s="1498"/>
      <c r="H43" s="1498"/>
      <c r="I43" s="1498"/>
      <c r="J43" s="17"/>
      <c r="K43" s="17"/>
      <c r="L43" s="17"/>
      <c r="M43" s="17"/>
      <c r="N43" s="17"/>
    </row>
    <row r="44" spans="1:14">
      <c r="A44" s="17"/>
      <c r="B44" s="1498"/>
      <c r="C44" s="1498"/>
      <c r="D44" s="1498"/>
      <c r="E44" s="1498"/>
      <c r="F44" s="1498"/>
      <c r="G44" s="1498"/>
      <c r="H44" s="1498"/>
      <c r="I44" s="1498"/>
      <c r="J44" s="17"/>
      <c r="K44" s="17"/>
      <c r="L44" s="17"/>
      <c r="M44" s="17"/>
      <c r="N44" s="17"/>
    </row>
    <row r="45" spans="1:14">
      <c r="A45" s="17"/>
      <c r="B45" s="1498"/>
      <c r="C45" s="1498"/>
      <c r="D45" s="1498"/>
      <c r="E45" s="1498"/>
      <c r="F45" s="1498"/>
      <c r="G45" s="1498"/>
      <c r="H45" s="1498"/>
      <c r="I45" s="1498"/>
      <c r="J45" s="17"/>
      <c r="K45" s="17"/>
      <c r="L45" s="17"/>
      <c r="M45" s="17"/>
      <c r="N45" s="17"/>
    </row>
  </sheetData>
  <mergeCells count="1">
    <mergeCell ref="A2:I2"/>
  </mergeCells>
  <pageMargins left="0.55118110236220474" right="0.59055118110236227" top="0.87" bottom="0.47244094488188981" header="0.55118110236220474" footer="0.51181102362204722"/>
  <pageSetup paperSize="9" scale="78" orientation="portrait" horizontalDpi="4294967292" verticalDpi="4294967292"/>
  <headerFooter alignWithMargins="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5D237-723C-714A-9035-A7814C189AD8}">
  <sheetPr>
    <pageSetUpPr fitToPage="1"/>
  </sheetPr>
  <dimension ref="A1:L49"/>
  <sheetViews>
    <sheetView zoomScaleNormal="100" workbookViewId="0"/>
  </sheetViews>
  <sheetFormatPr baseColWidth="10" defaultColWidth="11.3984375" defaultRowHeight="13"/>
  <cols>
    <col min="1" max="1" width="17.59765625" style="3" customWidth="1"/>
    <col min="2" max="7" width="18.3984375" style="201" customWidth="1"/>
    <col min="8" max="9" width="18.3984375" style="3" customWidth="1"/>
    <col min="10" max="10" width="18.3984375" customWidth="1"/>
    <col min="11" max="12" width="11.796875" style="3" customWidth="1"/>
    <col min="13" max="13" width="11.3984375" style="3"/>
    <col min="14" max="14" width="8.3984375" style="3" customWidth="1"/>
    <col min="15" max="16384" width="11.3984375" style="3"/>
  </cols>
  <sheetData>
    <row r="1" spans="1:12" s="1" customFormat="1" ht="15.75" customHeight="1">
      <c r="A1" s="191"/>
      <c r="B1" s="1425"/>
      <c r="C1" s="1425"/>
      <c r="D1" s="1425"/>
      <c r="E1" s="1425"/>
      <c r="F1" s="1425"/>
      <c r="G1" s="1425"/>
      <c r="H1" s="191"/>
      <c r="J1"/>
      <c r="K1"/>
    </row>
    <row r="2" spans="1:12" s="1" customFormat="1" ht="29.25" customHeight="1">
      <c r="A2" s="1445" t="s">
        <v>2314</v>
      </c>
      <c r="B2" s="1546"/>
      <c r="C2" s="1546"/>
      <c r="D2" s="1546"/>
      <c r="E2" s="1546"/>
      <c r="F2" s="1546"/>
      <c r="G2" s="1546"/>
      <c r="H2" s="1546"/>
      <c r="I2" s="1546"/>
      <c r="J2" s="1546"/>
      <c r="K2" s="1547"/>
      <c r="L2" s="198"/>
    </row>
    <row r="3" spans="1:12" ht="24.75" customHeight="1">
      <c r="A3" s="224" t="s">
        <v>460</v>
      </c>
      <c r="B3" s="1110" t="s">
        <v>1532</v>
      </c>
      <c r="C3" s="1548" t="s">
        <v>2315</v>
      </c>
      <c r="D3" s="1549"/>
      <c r="E3" s="1550"/>
      <c r="F3" s="1550"/>
      <c r="G3" s="1551" t="s">
        <v>2316</v>
      </c>
      <c r="H3" s="1552"/>
      <c r="I3" s="1553"/>
      <c r="J3" s="1553"/>
      <c r="K3" s="219"/>
      <c r="L3" s="219"/>
    </row>
    <row r="4" spans="1:12" ht="20.25" customHeight="1">
      <c r="A4" s="269"/>
      <c r="B4" s="494" t="s">
        <v>1546</v>
      </c>
      <c r="C4" s="1554"/>
      <c r="D4" s="315"/>
      <c r="E4" s="271"/>
      <c r="F4" s="270"/>
      <c r="G4" s="1554"/>
      <c r="H4" s="315"/>
      <c r="I4" s="271"/>
      <c r="J4" s="270"/>
    </row>
    <row r="5" spans="1:12" s="185" customFormat="1" ht="15" customHeight="1">
      <c r="A5" s="1555"/>
      <c r="B5" s="494" t="s">
        <v>2317</v>
      </c>
      <c r="C5" s="1556" t="s">
        <v>681</v>
      </c>
      <c r="D5" s="270" t="s">
        <v>681</v>
      </c>
      <c r="E5" s="271" t="s">
        <v>681</v>
      </c>
      <c r="F5" s="494" t="s">
        <v>2318</v>
      </c>
      <c r="G5" s="1556" t="s">
        <v>681</v>
      </c>
      <c r="H5" s="270" t="s">
        <v>681</v>
      </c>
      <c r="I5" s="271" t="s">
        <v>681</v>
      </c>
      <c r="J5" s="494" t="s">
        <v>2318</v>
      </c>
    </row>
    <row r="6" spans="1:12" s="185" customFormat="1" ht="18" customHeight="1">
      <c r="A6" s="1555"/>
      <c r="B6" s="494" t="s">
        <v>2319</v>
      </c>
      <c r="C6" s="1556" t="s">
        <v>2144</v>
      </c>
      <c r="D6" s="315" t="s">
        <v>2145</v>
      </c>
      <c r="E6" s="271" t="s">
        <v>2146</v>
      </c>
      <c r="F6" s="494" t="s">
        <v>2320</v>
      </c>
      <c r="G6" s="1556" t="s">
        <v>2144</v>
      </c>
      <c r="H6" s="315" t="s">
        <v>2145</v>
      </c>
      <c r="I6" s="271" t="s">
        <v>2146</v>
      </c>
      <c r="J6" s="494" t="s">
        <v>2320</v>
      </c>
    </row>
    <row r="7" spans="1:12" s="185" customFormat="1" ht="18" customHeight="1">
      <c r="A7" s="1555"/>
      <c r="B7" s="1557"/>
      <c r="C7" s="1556" t="s">
        <v>2321</v>
      </c>
      <c r="D7" s="1558"/>
      <c r="E7" s="1559"/>
      <c r="F7" s="494"/>
      <c r="G7" s="1556" t="s">
        <v>2321</v>
      </c>
      <c r="H7" s="1558"/>
      <c r="I7" s="1559"/>
      <c r="J7" s="1449"/>
    </row>
    <row r="8" spans="1:12" s="185" customFormat="1" ht="23.25" customHeight="1">
      <c r="A8" s="1555"/>
      <c r="B8" s="494"/>
      <c r="C8" s="1560"/>
      <c r="D8" s="494"/>
      <c r="E8" s="495"/>
      <c r="F8" s="494"/>
      <c r="G8" s="1556"/>
      <c r="H8" s="494"/>
      <c r="I8" s="495"/>
      <c r="J8" s="494"/>
    </row>
    <row r="9" spans="1:12" ht="1.25" customHeight="1" thickBot="1">
      <c r="A9" s="1561">
        <v>1996</v>
      </c>
      <c r="B9" s="1562">
        <v>7194754</v>
      </c>
      <c r="C9" s="1563" t="s">
        <v>153</v>
      </c>
      <c r="D9" s="1564">
        <v>0.18782351696805755</v>
      </c>
      <c r="E9" s="1565">
        <v>0.10061414191506757</v>
      </c>
      <c r="F9" s="1564" t="s">
        <v>153</v>
      </c>
      <c r="G9" s="1563" t="s">
        <v>153</v>
      </c>
      <c r="H9" s="1564" t="s">
        <v>153</v>
      </c>
      <c r="I9" s="1565" t="s">
        <v>153</v>
      </c>
      <c r="J9" s="1564" t="s">
        <v>153</v>
      </c>
    </row>
    <row r="10" spans="1:12" ht="22.5" hidden="1" customHeight="1" thickBot="1">
      <c r="A10" s="1561">
        <v>1997</v>
      </c>
      <c r="B10" s="1562">
        <v>7214805</v>
      </c>
      <c r="C10" s="1563" t="s">
        <v>153</v>
      </c>
      <c r="D10" s="1564">
        <v>0.17122098241047401</v>
      </c>
      <c r="E10" s="1565">
        <v>8.6709897218289339E-2</v>
      </c>
      <c r="F10" s="1564" t="s">
        <v>153</v>
      </c>
      <c r="G10" s="1563" t="s">
        <v>153</v>
      </c>
      <c r="H10" s="1564" t="s">
        <v>153</v>
      </c>
      <c r="I10" s="1565" t="s">
        <v>153</v>
      </c>
      <c r="J10" s="1564" t="s">
        <v>153</v>
      </c>
    </row>
    <row r="11" spans="1:12" ht="0.75" hidden="1" customHeight="1" thickBot="1">
      <c r="A11" s="1561">
        <v>1998</v>
      </c>
      <c r="B11" s="1562">
        <v>7248603</v>
      </c>
      <c r="C11" s="1563" t="s">
        <v>153</v>
      </c>
      <c r="D11" s="1564">
        <v>0.16889778623549945</v>
      </c>
      <c r="E11" s="1565">
        <v>8.0429428953413512E-2</v>
      </c>
      <c r="F11" s="1564" t="s">
        <v>153</v>
      </c>
      <c r="G11" s="1563" t="s">
        <v>153</v>
      </c>
      <c r="H11" s="1564" t="s">
        <v>153</v>
      </c>
      <c r="I11" s="1565" t="s">
        <v>153</v>
      </c>
      <c r="J11" s="1564" t="s">
        <v>153</v>
      </c>
    </row>
    <row r="12" spans="1:12" ht="0.5" hidden="1" customHeight="1" thickBot="1">
      <c r="A12" s="319">
        <v>1999</v>
      </c>
      <c r="B12" s="1562">
        <v>7266534</v>
      </c>
      <c r="C12" s="1563" t="s">
        <v>153</v>
      </c>
      <c r="D12" s="1564">
        <v>0.15472314586293823</v>
      </c>
      <c r="E12" s="1565">
        <v>7.4331173569132131E-2</v>
      </c>
      <c r="F12" s="1564" t="s">
        <v>153</v>
      </c>
      <c r="G12" s="1563" t="s">
        <v>153</v>
      </c>
      <c r="H12" s="1564" t="s">
        <v>153</v>
      </c>
      <c r="I12" s="1565" t="s">
        <v>153</v>
      </c>
      <c r="J12" s="1564" t="s">
        <v>153</v>
      </c>
    </row>
    <row r="13" spans="1:12" ht="22.25" hidden="1" customHeight="1" thickBot="1">
      <c r="A13" s="319">
        <v>2000</v>
      </c>
      <c r="B13" s="1562">
        <v>7268111</v>
      </c>
      <c r="C13" s="1563" t="s">
        <v>153</v>
      </c>
      <c r="D13" s="1564">
        <v>0.12321647261578696</v>
      </c>
      <c r="E13" s="1565">
        <v>6.2163057223534421E-2</v>
      </c>
      <c r="F13" s="1564" t="s">
        <v>153</v>
      </c>
      <c r="G13" s="1563" t="s">
        <v>153</v>
      </c>
      <c r="H13" s="1564" t="s">
        <v>153</v>
      </c>
      <c r="I13" s="1565" t="s">
        <v>153</v>
      </c>
      <c r="J13" s="1564" t="s">
        <v>153</v>
      </c>
    </row>
    <row r="14" spans="1:12" ht="22.5" hidden="1" customHeight="1" thickBot="1">
      <c r="A14" s="319">
        <v>2001</v>
      </c>
      <c r="B14" s="1562">
        <v>7321287</v>
      </c>
      <c r="C14" s="1563" t="s">
        <v>153</v>
      </c>
      <c r="D14" s="1564">
        <v>0.11914653803354519</v>
      </c>
      <c r="E14" s="1565">
        <v>6.1670168100226096E-2</v>
      </c>
      <c r="F14" s="1564" t="s">
        <v>153</v>
      </c>
      <c r="G14" s="1563" t="s">
        <v>153</v>
      </c>
      <c r="H14" s="1564" t="s">
        <v>153</v>
      </c>
      <c r="I14" s="1565" t="s">
        <v>153</v>
      </c>
      <c r="J14" s="1564" t="s">
        <v>153</v>
      </c>
    </row>
    <row r="15" spans="1:12" ht="22.5" hidden="1" customHeight="1" thickBot="1">
      <c r="A15" s="319">
        <v>2002</v>
      </c>
      <c r="B15" s="1562">
        <v>7359365</v>
      </c>
      <c r="C15" s="1563">
        <v>0.41612068432534599</v>
      </c>
      <c r="D15" s="1564">
        <v>0.10741619691372829</v>
      </c>
      <c r="E15" s="1565">
        <v>5.1274804279988831E-2</v>
      </c>
      <c r="F15" s="1564" t="s">
        <v>153</v>
      </c>
      <c r="G15" s="1563" t="s">
        <v>153</v>
      </c>
      <c r="H15" s="1564" t="s">
        <v>153</v>
      </c>
      <c r="I15" s="1565" t="s">
        <v>153</v>
      </c>
      <c r="J15" s="1564" t="s">
        <v>153</v>
      </c>
    </row>
    <row r="16" spans="1:12" ht="22.5" customHeight="1" thickBot="1">
      <c r="A16" s="319">
        <v>2003</v>
      </c>
      <c r="B16" s="1562">
        <v>7393188</v>
      </c>
      <c r="C16" s="1563">
        <v>0.40096288637594502</v>
      </c>
      <c r="D16" s="1564">
        <v>0.10284683684494429</v>
      </c>
      <c r="E16" s="1565">
        <v>4.5843416940026416E-2</v>
      </c>
      <c r="F16" s="1564" t="s">
        <v>153</v>
      </c>
      <c r="G16" s="1563" t="s">
        <v>153</v>
      </c>
      <c r="H16" s="1564" t="s">
        <v>153</v>
      </c>
      <c r="I16" s="1565" t="s">
        <v>153</v>
      </c>
      <c r="J16" s="1564" t="s">
        <v>153</v>
      </c>
    </row>
    <row r="17" spans="1:11" ht="22.5" customHeight="1" thickBot="1">
      <c r="A17" s="319">
        <v>2004</v>
      </c>
      <c r="B17" s="1562">
        <v>7419974</v>
      </c>
      <c r="C17" s="1563">
        <v>0.41515172425132485</v>
      </c>
      <c r="D17" s="1564">
        <v>8.8858128074303225E-2</v>
      </c>
      <c r="E17" s="1565">
        <v>3.8901214478649117E-2</v>
      </c>
      <c r="F17" s="1564" t="s">
        <v>153</v>
      </c>
      <c r="G17" s="1563" t="s">
        <v>153</v>
      </c>
      <c r="H17" s="1564" t="s">
        <v>153</v>
      </c>
      <c r="I17" s="1565" t="s">
        <v>153</v>
      </c>
      <c r="J17" s="1564" t="s">
        <v>153</v>
      </c>
    </row>
    <row r="18" spans="1:11" ht="22.5" customHeight="1" thickBot="1">
      <c r="A18" s="319">
        <v>2005</v>
      </c>
      <c r="B18" s="1562">
        <v>7458475</v>
      </c>
      <c r="C18" s="1563">
        <v>0.40559658643355379</v>
      </c>
      <c r="D18" s="1564">
        <v>8.7504349079402965E-2</v>
      </c>
      <c r="E18" s="1565">
        <v>3.6415889307130481E-2</v>
      </c>
      <c r="F18" s="1564" t="s">
        <v>153</v>
      </c>
      <c r="G18" s="1563" t="s">
        <v>153</v>
      </c>
      <c r="H18" s="1564" t="s">
        <v>153</v>
      </c>
      <c r="I18" s="1565" t="s">
        <v>153</v>
      </c>
      <c r="J18" s="1564" t="s">
        <v>153</v>
      </c>
    </row>
    <row r="19" spans="1:11" ht="22.5" customHeight="1" thickBot="1">
      <c r="A19" s="319">
        <v>2006</v>
      </c>
      <c r="B19" s="1562">
        <v>7507545</v>
      </c>
      <c r="C19" s="1563">
        <v>0.35229745542650759</v>
      </c>
      <c r="D19" s="1564">
        <v>8.0637811694768399E-2</v>
      </c>
      <c r="E19" s="1565">
        <v>3.4424568883702995E-2</v>
      </c>
      <c r="F19" s="1564">
        <v>1.1072461104129246E-2</v>
      </c>
      <c r="G19" s="1563">
        <v>2.8267829230460822E-2</v>
      </c>
      <c r="H19" s="1564">
        <v>7.3543348724516471E-3</v>
      </c>
      <c r="I19" s="1565">
        <v>3.3165302372479954E-3</v>
      </c>
      <c r="J19" s="1564">
        <v>8.6433048353356525E-4</v>
      </c>
    </row>
    <row r="20" spans="1:11" ht="22.5" customHeight="1" thickBot="1">
      <c r="A20" s="319">
        <v>2007</v>
      </c>
      <c r="B20" s="1562">
        <v>7577132</v>
      </c>
      <c r="C20" s="1563">
        <v>0.34950084015957489</v>
      </c>
      <c r="D20" s="1564">
        <v>7.9577602713005402E-2</v>
      </c>
      <c r="E20" s="1565">
        <v>3.4038868532315393E-2</v>
      </c>
      <c r="F20" s="1564">
        <v>2.0345824779085281E-2</v>
      </c>
      <c r="G20" s="1563">
        <v>3.0507453215807775E-2</v>
      </c>
      <c r="H20" s="1564">
        <v>7.6386421669834975E-3</v>
      </c>
      <c r="I20" s="1565">
        <v>4.5006474745325807E-3</v>
      </c>
      <c r="J20" s="1564">
        <v>4.7718582703851539E-3</v>
      </c>
    </row>
    <row r="21" spans="1:11" ht="22.5" customHeight="1" thickBot="1">
      <c r="A21" s="319">
        <v>2008</v>
      </c>
      <c r="B21" s="1562">
        <v>7669611</v>
      </c>
      <c r="C21" s="1563">
        <v>0.32124333294087537</v>
      </c>
      <c r="D21" s="1564">
        <v>7.2603422781155391E-2</v>
      </c>
      <c r="E21" s="1565">
        <v>3.1619807054099613E-2</v>
      </c>
      <c r="F21" s="1564">
        <v>1.5602015538988875E-2</v>
      </c>
      <c r="G21" s="1563">
        <v>3.4330945858922962E-2</v>
      </c>
      <c r="H21" s="1564">
        <v>7.8339044835520344E-3</v>
      </c>
      <c r="I21" s="1565">
        <v>4.7705157406288268E-3</v>
      </c>
      <c r="J21" s="1564">
        <v>5.1662333330856026E-3</v>
      </c>
    </row>
    <row r="22" spans="1:11" ht="22.5" customHeight="1" thickBot="1">
      <c r="A22" s="319">
        <v>2009</v>
      </c>
      <c r="B22" s="1562">
        <v>7748921.9299999997</v>
      </c>
      <c r="C22" s="1566">
        <v>0.31741512202846522</v>
      </c>
      <c r="D22" s="1567">
        <v>7.1110407999684155E-2</v>
      </c>
      <c r="E22" s="1568">
        <v>3.0618710853368994E-2</v>
      </c>
      <c r="F22" s="1567">
        <v>2.0811540167368806E-2</v>
      </c>
      <c r="G22" s="1566">
        <v>4.2848928276658996E-2</v>
      </c>
      <c r="H22" s="1567">
        <v>9.3020681652421812E-3</v>
      </c>
      <c r="I22" s="1568">
        <v>5.3513250455473364E-3</v>
      </c>
      <c r="J22" s="1564">
        <v>6.1051073203934065E-3</v>
      </c>
    </row>
    <row r="23" spans="1:11" ht="22.5" customHeight="1" thickBot="1">
      <c r="A23" s="319">
        <v>2010</v>
      </c>
      <c r="B23" s="1562">
        <v>7822633</v>
      </c>
      <c r="C23" s="1569">
        <v>0.31214197444773389</v>
      </c>
      <c r="D23" s="429">
        <v>6.8765860548487948E-2</v>
      </c>
      <c r="E23" s="1570">
        <v>2.9352490395497272E-2</v>
      </c>
      <c r="F23" s="429">
        <v>2.729913061241656E-2</v>
      </c>
      <c r="G23" s="1569">
        <v>4.9063747462011829E-2</v>
      </c>
      <c r="H23" s="429">
        <v>1.1165858094071395E-2</v>
      </c>
      <c r="I23" s="1570">
        <v>5.153749383359797E-3</v>
      </c>
      <c r="J23" s="1564">
        <v>9.7869093436954019E-3</v>
      </c>
    </row>
    <row r="24" spans="1:11" ht="22.5" customHeight="1" thickBot="1">
      <c r="A24" s="319">
        <v>2011</v>
      </c>
      <c r="B24" s="1562">
        <v>7907019.0999999996</v>
      </c>
      <c r="C24" s="1569">
        <v>0.29312185802105878</v>
      </c>
      <c r="D24" s="429">
        <v>6.5631617103340506E-2</v>
      </c>
      <c r="E24" s="1570">
        <v>2.7667165999384017E-2</v>
      </c>
      <c r="F24" s="429">
        <v>3.3288772503407761E-2</v>
      </c>
      <c r="G24" s="1569">
        <v>5.8352776712022873E-2</v>
      </c>
      <c r="H24" s="429">
        <v>1.7299736888203548E-2</v>
      </c>
      <c r="I24" s="1570">
        <v>8.6689521212867712E-3</v>
      </c>
      <c r="J24" s="1564">
        <v>1.1379309808420723E-2</v>
      </c>
    </row>
    <row r="25" spans="1:11" ht="22.5" customHeight="1" thickBot="1">
      <c r="A25" s="319">
        <v>2012</v>
      </c>
      <c r="B25" s="1562">
        <v>7999269</v>
      </c>
      <c r="C25" s="1569">
        <v>0.30916440739772594</v>
      </c>
      <c r="D25" s="429">
        <v>7.478918761201804E-2</v>
      </c>
      <c r="E25" s="1570">
        <v>3.2788077260559684E-2</v>
      </c>
      <c r="F25" s="429">
        <v>4.2797608131443003E-2</v>
      </c>
      <c r="G25" s="1569">
        <v>5.2014575331820946E-2</v>
      </c>
      <c r="H25" s="429">
        <v>1.0883048188528225E-2</v>
      </c>
      <c r="I25" s="1570">
        <v>3.630915524906088E-3</v>
      </c>
      <c r="J25" s="1564">
        <v>5.2357959208522683E-3</v>
      </c>
    </row>
    <row r="26" spans="1:11" s="410" customFormat="1" ht="29.25" customHeight="1" thickBot="1">
      <c r="A26" s="322">
        <v>2013</v>
      </c>
      <c r="B26" s="619">
        <v>8091590</v>
      </c>
      <c r="C26" s="1571">
        <v>0.30444461471725581</v>
      </c>
      <c r="D26" s="1572">
        <v>7.4656896852163784E-2</v>
      </c>
      <c r="E26" s="1125">
        <v>3.21510358285578E-2</v>
      </c>
      <c r="F26" s="1572">
        <v>5.0110917631763348E-2</v>
      </c>
      <c r="G26" s="1571">
        <v>4.9862264400445402E-2</v>
      </c>
      <c r="H26" s="1572">
        <v>1.0961628060739607E-2</v>
      </c>
      <c r="I26" s="1573">
        <v>3.5367585357142417E-3</v>
      </c>
      <c r="J26" s="728">
        <v>5.5350060989249328E-3</v>
      </c>
      <c r="K26" s="1574"/>
    </row>
    <row r="27" spans="1:11" ht="20" customHeight="1">
      <c r="A27" s="1431" t="s">
        <v>346</v>
      </c>
      <c r="B27" s="1432"/>
      <c r="C27" s="1432"/>
      <c r="D27" s="1432"/>
      <c r="E27" s="1432"/>
      <c r="F27" s="1432"/>
      <c r="G27" s="1432"/>
      <c r="H27" s="1432"/>
      <c r="J27" s="326"/>
    </row>
    <row r="28" spans="1:11" ht="13.5" customHeight="1">
      <c r="A28" s="1496"/>
      <c r="B28" s="1453"/>
      <c r="C28" s="1453"/>
      <c r="D28" s="1453"/>
      <c r="E28" s="1453"/>
      <c r="F28" s="1453"/>
      <c r="G28" s="1453"/>
      <c r="H28" s="1453"/>
    </row>
    <row r="29" spans="1:11" ht="12.75" customHeight="1">
      <c r="A29" s="1496" t="s">
        <v>2322</v>
      </c>
      <c r="B29" s="1453"/>
      <c r="C29" s="1453"/>
      <c r="D29" s="1453"/>
      <c r="E29" s="1453"/>
      <c r="F29" s="1453"/>
      <c r="G29" s="1453"/>
      <c r="H29" s="1453"/>
    </row>
    <row r="30" spans="1:11" ht="12.75" customHeight="1">
      <c r="A30" s="1496" t="s">
        <v>2323</v>
      </c>
      <c r="B30" s="1453"/>
      <c r="C30" s="1453"/>
      <c r="D30" s="1453"/>
      <c r="E30" s="1453"/>
      <c r="F30" s="1453"/>
      <c r="G30" s="1453"/>
      <c r="H30" s="1453"/>
    </row>
    <row r="31" spans="1:11" ht="12.75" customHeight="1">
      <c r="A31" s="1496" t="s">
        <v>2324</v>
      </c>
      <c r="B31" s="1453"/>
      <c r="C31" s="1453"/>
      <c r="D31" s="1453"/>
      <c r="E31" s="1453"/>
      <c r="F31" s="1453"/>
      <c r="G31" s="1453"/>
      <c r="H31" s="1453"/>
    </row>
    <row r="32" spans="1:11" ht="12.75" customHeight="1">
      <c r="A32" s="1575" t="s">
        <v>2325</v>
      </c>
      <c r="B32" s="1453"/>
      <c r="C32" s="1453"/>
      <c r="D32" s="1453"/>
      <c r="E32" s="1453"/>
      <c r="F32" s="1453"/>
      <c r="G32" s="1453"/>
      <c r="H32" s="1453"/>
    </row>
    <row r="33" spans="1:8" ht="12.75" customHeight="1">
      <c r="A33" s="3" t="s">
        <v>2326</v>
      </c>
      <c r="B33" s="1453"/>
      <c r="C33" s="1453"/>
      <c r="D33" s="1453"/>
      <c r="E33" s="1453"/>
      <c r="F33" s="1453"/>
      <c r="G33" s="1453"/>
      <c r="H33" s="1453"/>
    </row>
    <row r="34" spans="1:8" ht="13.5" customHeight="1">
      <c r="A34" s="1442" t="s">
        <v>2327</v>
      </c>
      <c r="B34" s="1453"/>
      <c r="C34" s="1453"/>
      <c r="D34" s="1453"/>
      <c r="E34" s="1453"/>
      <c r="F34" s="1453"/>
      <c r="G34" s="1453"/>
      <c r="H34" s="1453"/>
    </row>
    <row r="35" spans="1:8" ht="13.5" customHeight="1">
      <c r="A35" s="3" t="s">
        <v>2328</v>
      </c>
      <c r="B35" s="1453"/>
      <c r="C35" s="1453"/>
      <c r="D35" s="1453"/>
      <c r="E35" s="1453"/>
      <c r="F35" s="1453"/>
      <c r="G35" s="1453"/>
      <c r="H35" s="1453"/>
    </row>
    <row r="36" spans="1:8" ht="13.5" customHeight="1">
      <c r="A36" s="1496" t="s">
        <v>2329</v>
      </c>
      <c r="B36" s="1453"/>
      <c r="C36" s="1453"/>
      <c r="D36" s="1453"/>
      <c r="E36" s="1453"/>
      <c r="F36" s="1453"/>
      <c r="G36" s="1453"/>
      <c r="H36" s="1453"/>
    </row>
    <row r="37" spans="1:8" ht="13.5" customHeight="1">
      <c r="A37" s="1442" t="s">
        <v>2330</v>
      </c>
      <c r="B37" s="1453"/>
      <c r="C37" s="1453"/>
      <c r="D37" s="1453"/>
      <c r="E37" s="1453"/>
      <c r="F37" s="1453"/>
      <c r="G37" s="1453"/>
      <c r="H37" s="1453"/>
    </row>
    <row r="38" spans="1:8" ht="13.5" customHeight="1">
      <c r="A38" s="17" t="s">
        <v>2331</v>
      </c>
      <c r="B38" s="1453"/>
      <c r="C38" s="1453"/>
      <c r="D38" s="1453"/>
      <c r="E38" s="1453"/>
      <c r="F38" s="1453"/>
      <c r="G38" s="1453"/>
      <c r="H38" s="1453"/>
    </row>
    <row r="39" spans="1:8" ht="13.5" customHeight="1">
      <c r="A39" s="17" t="s">
        <v>2332</v>
      </c>
      <c r="B39" s="1453"/>
      <c r="C39" s="1453"/>
      <c r="D39" s="1453"/>
      <c r="E39" s="1453"/>
      <c r="F39" s="1453"/>
      <c r="G39" s="1453"/>
      <c r="H39" s="1453"/>
    </row>
    <row r="40" spans="1:8" ht="13.5" customHeight="1">
      <c r="A40" s="1576" t="s">
        <v>2333</v>
      </c>
      <c r="B40" s="1453"/>
      <c r="C40" s="1453"/>
      <c r="D40" s="1453"/>
      <c r="E40" s="1453"/>
      <c r="F40" s="1453"/>
      <c r="G40" s="1453"/>
      <c r="H40" s="1453"/>
    </row>
    <row r="41" spans="1:8" ht="13.5" customHeight="1">
      <c r="A41" s="328" t="s">
        <v>2334</v>
      </c>
      <c r="B41" s="1453"/>
      <c r="C41" s="1453"/>
      <c r="D41" s="1453"/>
      <c r="E41" s="1453"/>
      <c r="F41" s="1453"/>
      <c r="G41" s="1453"/>
      <c r="H41" s="1453"/>
    </row>
    <row r="42" spans="1:8" ht="13.5" customHeight="1">
      <c r="A42" s="1576" t="s">
        <v>2335</v>
      </c>
      <c r="B42" s="1453"/>
      <c r="C42" s="1453"/>
      <c r="D42" s="1453"/>
      <c r="E42" s="1453"/>
      <c r="F42" s="1453"/>
      <c r="G42" s="1453"/>
      <c r="H42" s="1453"/>
    </row>
    <row r="43" spans="1:8" ht="13.5" customHeight="1">
      <c r="A43" s="1576" t="s">
        <v>2336</v>
      </c>
      <c r="B43" s="1453"/>
      <c r="C43" s="1453"/>
      <c r="D43" s="1453"/>
      <c r="E43" s="1453"/>
      <c r="F43" s="1453"/>
      <c r="G43" s="1453"/>
      <c r="H43" s="1453"/>
    </row>
    <row r="44" spans="1:8" ht="13.5" customHeight="1">
      <c r="A44" s="1576" t="s">
        <v>2337</v>
      </c>
      <c r="B44" s="1453"/>
      <c r="C44" s="1453"/>
      <c r="D44" s="1453"/>
      <c r="E44" s="1453"/>
      <c r="F44" s="1453"/>
      <c r="G44" s="1453"/>
      <c r="H44" s="1453"/>
    </row>
    <row r="45" spans="1:8" ht="12.75" customHeight="1">
      <c r="B45" s="1453"/>
      <c r="C45" s="1453"/>
      <c r="D45" s="1453"/>
      <c r="E45" s="1453"/>
      <c r="F45" s="1453"/>
      <c r="G45" s="1453"/>
      <c r="H45" s="17"/>
    </row>
    <row r="46" spans="1:8" ht="15" customHeight="1">
      <c r="A46" s="840"/>
      <c r="B46" s="1498"/>
      <c r="C46" s="1498"/>
      <c r="D46" s="1498"/>
      <c r="E46" s="1498"/>
      <c r="F46" s="1498"/>
      <c r="G46" s="1498"/>
      <c r="H46" s="17"/>
    </row>
    <row r="47" spans="1:8" ht="15" customHeight="1">
      <c r="A47" s="478" t="s">
        <v>302</v>
      </c>
      <c r="B47" s="1498"/>
      <c r="C47" s="1498"/>
      <c r="D47" s="1498"/>
      <c r="E47" s="1498"/>
      <c r="F47" s="1498"/>
      <c r="G47" s="1498"/>
      <c r="H47" s="17"/>
    </row>
    <row r="48" spans="1:8" ht="15" customHeight="1">
      <c r="A48" s="478"/>
      <c r="B48" s="1498"/>
      <c r="C48" s="1498"/>
      <c r="D48" s="1498"/>
      <c r="E48" s="1498"/>
      <c r="F48" s="1498"/>
      <c r="G48" s="1498"/>
      <c r="H48" s="17"/>
    </row>
    <row r="49" spans="1:8" ht="15" customHeight="1">
      <c r="A49" s="478"/>
      <c r="B49" s="1498"/>
      <c r="C49" s="1498"/>
      <c r="D49" s="1498"/>
      <c r="E49" s="1498"/>
      <c r="F49" s="1498"/>
      <c r="G49" s="1498"/>
      <c r="H49" s="17"/>
    </row>
  </sheetData>
  <pageMargins left="0.39370078740157483" right="0.27559055118110237" top="0.70866141732283472" bottom="0.47244094488188981" header="0.51181102362204722" footer="0.51181102362204722"/>
  <pageSetup paperSize="9" scale="72" orientation="landscape"/>
  <headerFooter alignWithMargins="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930E1-19FE-164B-8A19-8FB1F32E1FC3}">
  <sheetPr>
    <pageSetUpPr fitToPage="1"/>
  </sheetPr>
  <dimension ref="A1:K67"/>
  <sheetViews>
    <sheetView zoomScaleNormal="100" workbookViewId="0"/>
  </sheetViews>
  <sheetFormatPr baseColWidth="10" defaultColWidth="11.3984375" defaultRowHeight="13"/>
  <cols>
    <col min="1" max="1" width="18.796875" style="3" customWidth="1"/>
    <col min="2" max="2" width="13.3984375" style="201" customWidth="1"/>
    <col min="3" max="3" width="12.59765625" style="201" customWidth="1"/>
    <col min="4" max="4" width="14" style="201" customWidth="1"/>
    <col min="5" max="5" width="13.3984375" style="201" customWidth="1"/>
    <col min="6" max="6" width="13.59765625" style="201" customWidth="1"/>
    <col min="7" max="7" width="13.19921875" style="201" customWidth="1"/>
    <col min="8" max="8" width="14" style="201" customWidth="1"/>
    <col min="9" max="9" width="13.59765625" style="201" customWidth="1"/>
    <col min="10" max="16384" width="11.3984375" style="3"/>
  </cols>
  <sheetData>
    <row r="1" spans="1:9" s="1" customFormat="1" ht="14" customHeight="1">
      <c r="A1" s="191"/>
      <c r="B1" s="1425"/>
      <c r="C1" s="1425"/>
      <c r="D1" s="1425"/>
      <c r="E1" s="1425"/>
      <c r="F1" s="1425"/>
      <c r="G1" s="1425"/>
      <c r="H1" s="1425"/>
      <c r="I1" s="1425"/>
    </row>
    <row r="2" spans="1:9" s="1" customFormat="1" ht="25.25" customHeight="1">
      <c r="A2" s="570" t="s">
        <v>2097</v>
      </c>
      <c r="B2" s="1426"/>
      <c r="C2" s="1426"/>
      <c r="D2" s="1426"/>
      <c r="E2" s="1426"/>
      <c r="F2" s="1426"/>
      <c r="G2" s="1426"/>
      <c r="H2" s="1426"/>
      <c r="I2" s="312"/>
    </row>
    <row r="3" spans="1:9" s="1430" customFormat="1" ht="64.25" customHeight="1">
      <c r="A3" s="1427" t="s">
        <v>460</v>
      </c>
      <c r="B3" s="1428" t="s">
        <v>682</v>
      </c>
      <c r="C3" s="1429" t="s">
        <v>2098</v>
      </c>
      <c r="D3" s="1428" t="s">
        <v>2099</v>
      </c>
      <c r="E3" s="1429" t="s">
        <v>2100</v>
      </c>
      <c r="F3" s="1428" t="s">
        <v>2139</v>
      </c>
      <c r="G3" s="1429" t="s">
        <v>2101</v>
      </c>
      <c r="H3" s="1428" t="s">
        <v>2102</v>
      </c>
      <c r="I3" s="1429" t="s">
        <v>2103</v>
      </c>
    </row>
    <row r="4" spans="1:9" ht="12" customHeight="1">
      <c r="A4" s="273"/>
      <c r="B4" s="274"/>
      <c r="C4" s="275"/>
      <c r="D4" s="274"/>
      <c r="E4" s="275" t="s">
        <v>537</v>
      </c>
      <c r="F4" s="274"/>
      <c r="G4" s="275"/>
      <c r="H4" s="274"/>
      <c r="I4" s="275"/>
    </row>
    <row r="5" spans="1:9" ht="1.5" customHeight="1" thickBot="1">
      <c r="A5" s="316">
        <v>1996</v>
      </c>
      <c r="B5" s="278">
        <v>100</v>
      </c>
      <c r="C5" s="279">
        <v>100</v>
      </c>
      <c r="D5" s="278">
        <v>100</v>
      </c>
      <c r="E5" s="279">
        <v>100</v>
      </c>
      <c r="F5" s="278">
        <v>100</v>
      </c>
      <c r="G5" s="279">
        <v>100</v>
      </c>
      <c r="H5" s="278">
        <v>100</v>
      </c>
      <c r="I5" s="279">
        <v>100</v>
      </c>
    </row>
    <row r="6" spans="1:9" ht="18" hidden="1" customHeight="1" thickBot="1">
      <c r="A6" s="319">
        <v>1997</v>
      </c>
      <c r="B6" s="281">
        <v>99.603751768772071</v>
      </c>
      <c r="C6" s="282">
        <v>100.38008221695314</v>
      </c>
      <c r="D6" s="281">
        <v>100.54808570359472</v>
      </c>
      <c r="E6" s="282">
        <v>101.42789940293106</v>
      </c>
      <c r="F6" s="281">
        <v>99.259050938587137</v>
      </c>
      <c r="G6" s="282">
        <v>99.621819781936267</v>
      </c>
      <c r="H6" s="281">
        <v>100.76095634245317</v>
      </c>
      <c r="I6" s="282">
        <v>100.52020451848172</v>
      </c>
    </row>
    <row r="7" spans="1:9" ht="18.75" hidden="1" customHeight="1" thickBot="1">
      <c r="A7" s="319">
        <v>1998</v>
      </c>
      <c r="B7" s="281">
        <v>96.927242504783251</v>
      </c>
      <c r="C7" s="282">
        <v>100.33490779124649</v>
      </c>
      <c r="D7" s="281">
        <v>101.27038445552139</v>
      </c>
      <c r="E7" s="282">
        <v>102.99618303138374</v>
      </c>
      <c r="F7" s="281">
        <v>98.452579284674385</v>
      </c>
      <c r="G7" s="282">
        <v>100.44765774993816</v>
      </c>
      <c r="H7" s="281">
        <v>101.24816209588769</v>
      </c>
      <c r="I7" s="282">
        <v>100.538234878222</v>
      </c>
    </row>
    <row r="8" spans="1:9" ht="18.5" hidden="1" customHeight="1" thickBot="1">
      <c r="A8" s="319">
        <v>1999</v>
      </c>
      <c r="B8" s="281">
        <v>95.844672232466905</v>
      </c>
      <c r="C8" s="282">
        <v>100.33187275209576</v>
      </c>
      <c r="D8" s="281">
        <v>101.87444222283719</v>
      </c>
      <c r="E8" s="282">
        <v>104.14320934906627</v>
      </c>
      <c r="F8" s="281">
        <v>98.676778256833302</v>
      </c>
      <c r="G8" s="282">
        <v>98.097369567529682</v>
      </c>
      <c r="H8" s="281">
        <v>101.67388949401801</v>
      </c>
      <c r="I8" s="282">
        <v>101.34904536554785</v>
      </c>
    </row>
    <row r="9" spans="1:9" ht="0.5" customHeight="1" thickBot="1">
      <c r="A9" s="319">
        <v>2000</v>
      </c>
      <c r="B9" s="281">
        <v>96.254772438034038</v>
      </c>
      <c r="C9" s="282">
        <v>100.33187275209576</v>
      </c>
      <c r="D9" s="281">
        <v>103.57018844964638</v>
      </c>
      <c r="E9" s="282">
        <v>104.72011004030597</v>
      </c>
      <c r="F9" s="281">
        <v>98.363608314160032</v>
      </c>
      <c r="G9" s="282">
        <v>97.073589844089597</v>
      </c>
      <c r="H9" s="281">
        <v>102.16099312393871</v>
      </c>
      <c r="I9" s="282">
        <v>102.92856130382158</v>
      </c>
    </row>
    <row r="10" spans="1:9" ht="18.75" hidden="1" customHeight="1" thickBot="1">
      <c r="A10" s="319">
        <v>2001</v>
      </c>
      <c r="B10" s="281">
        <v>95.617677812696272</v>
      </c>
      <c r="C10" s="282">
        <v>100.39157021638326</v>
      </c>
      <c r="D10" s="281">
        <v>105.66882988327751</v>
      </c>
      <c r="E10" s="282">
        <v>105.48310266577438</v>
      </c>
      <c r="F10" s="281">
        <v>99.731930662678707</v>
      </c>
      <c r="G10" s="282">
        <v>97.957928816735219</v>
      </c>
      <c r="H10" s="281">
        <v>102.72634889630439</v>
      </c>
      <c r="I10" s="282">
        <v>103.94658841484843</v>
      </c>
    </row>
    <row r="11" spans="1:9" ht="18.75" hidden="1" customHeight="1" thickBot="1">
      <c r="A11" s="319">
        <v>2002</v>
      </c>
      <c r="B11" s="281">
        <v>92.551966547481953</v>
      </c>
      <c r="C11" s="282">
        <v>100.41926181326284</v>
      </c>
      <c r="D11" s="281">
        <v>106.79946557044345</v>
      </c>
      <c r="E11" s="282">
        <v>107.26502318301614</v>
      </c>
      <c r="F11" s="281">
        <v>100.07068960129637</v>
      </c>
      <c r="G11" s="282">
        <v>98.584756517798724</v>
      </c>
      <c r="H11" s="281">
        <v>103.14270646204406</v>
      </c>
      <c r="I11" s="282">
        <v>104.61466069154169</v>
      </c>
    </row>
    <row r="12" spans="1:9" ht="19.25" customHeight="1" thickBot="1">
      <c r="A12" s="319">
        <v>2003</v>
      </c>
      <c r="B12" s="281">
        <v>91.45775676895002</v>
      </c>
      <c r="C12" s="282">
        <v>100.41926181326284</v>
      </c>
      <c r="D12" s="281">
        <v>107.42707824790855</v>
      </c>
      <c r="E12" s="282">
        <v>109.53160933947478</v>
      </c>
      <c r="F12" s="281">
        <v>99.942646202359242</v>
      </c>
      <c r="G12" s="282">
        <v>101.42505436052258</v>
      </c>
      <c r="H12" s="281">
        <v>104.03822755450696</v>
      </c>
      <c r="I12" s="282">
        <v>105.28242519538023</v>
      </c>
    </row>
    <row r="13" spans="1:9" ht="19.25" customHeight="1" thickBot="1">
      <c r="A13" s="319">
        <v>2004</v>
      </c>
      <c r="B13" s="281">
        <v>91.277873491072683</v>
      </c>
      <c r="C13" s="282">
        <v>100.41926181326284</v>
      </c>
      <c r="D13" s="281">
        <v>108.0206930792616</v>
      </c>
      <c r="E13" s="282">
        <v>111.84653649880872</v>
      </c>
      <c r="F13" s="281">
        <v>99.616681761713792</v>
      </c>
      <c r="G13" s="282">
        <v>102.9912008077947</v>
      </c>
      <c r="H13" s="281">
        <v>105.00309051283621</v>
      </c>
      <c r="I13" s="282">
        <v>106.12777463640488</v>
      </c>
    </row>
    <row r="14" spans="1:9" ht="19.25" customHeight="1" thickBot="1">
      <c r="A14" s="319">
        <v>2005</v>
      </c>
      <c r="B14" s="281">
        <v>90.545065570821578</v>
      </c>
      <c r="C14" s="282">
        <v>100.41926181326284</v>
      </c>
      <c r="D14" s="281">
        <v>108.68924828481903</v>
      </c>
      <c r="E14" s="282">
        <v>113.62688750297009</v>
      </c>
      <c r="F14" s="281">
        <v>99.312074290760378</v>
      </c>
      <c r="G14" s="282">
        <v>104.286528158435</v>
      </c>
      <c r="H14" s="281">
        <v>105.64575378514422</v>
      </c>
      <c r="I14" s="282">
        <v>107.37148474241722</v>
      </c>
    </row>
    <row r="15" spans="1:9" ht="19.25" customHeight="1" thickBot="1">
      <c r="A15" s="319">
        <v>2006</v>
      </c>
      <c r="B15" s="281">
        <v>86.696332978376475</v>
      </c>
      <c r="C15" s="282">
        <v>100.71403685540849</v>
      </c>
      <c r="D15" s="281">
        <v>109.14873746718119</v>
      </c>
      <c r="E15" s="282">
        <v>115.28983892872013</v>
      </c>
      <c r="F15" s="281">
        <v>98.680124510149113</v>
      </c>
      <c r="G15" s="282">
        <v>106.00372327689165</v>
      </c>
      <c r="H15" s="281">
        <v>105.66566787033413</v>
      </c>
      <c r="I15" s="282">
        <v>108.50911580449518</v>
      </c>
    </row>
    <row r="16" spans="1:9" ht="19.25" customHeight="1" thickBot="1">
      <c r="A16" s="319">
        <v>2007</v>
      </c>
      <c r="B16" s="281">
        <v>83.233835471503482</v>
      </c>
      <c r="C16" s="282">
        <v>100.42267684759494</v>
      </c>
      <c r="D16" s="281">
        <v>110.00800794644306</v>
      </c>
      <c r="E16" s="282">
        <v>116.63437045741058</v>
      </c>
      <c r="F16" s="281">
        <v>99.187764413075584</v>
      </c>
      <c r="G16" s="282">
        <v>105.50553429064226</v>
      </c>
      <c r="H16" s="281">
        <v>105.43881893306715</v>
      </c>
      <c r="I16" s="282">
        <v>109.30370285388793</v>
      </c>
    </row>
    <row r="17" spans="1:9" ht="19.25" customHeight="1" thickBot="1">
      <c r="A17" s="319">
        <v>2008</v>
      </c>
      <c r="B17" s="281">
        <v>80.876503293860637</v>
      </c>
      <c r="C17" s="282">
        <v>100.27174673364941</v>
      </c>
      <c r="D17" s="281">
        <v>110.60728313222906</v>
      </c>
      <c r="E17" s="282">
        <v>117.20461917762597</v>
      </c>
      <c r="F17" s="281">
        <v>100.09938833310221</v>
      </c>
      <c r="G17" s="282">
        <v>106.37901466085199</v>
      </c>
      <c r="H17" s="281">
        <v>105.25410470313801</v>
      </c>
      <c r="I17" s="282">
        <v>111.95546669777498</v>
      </c>
    </row>
    <row r="18" spans="1:9" ht="19.25" customHeight="1" thickBot="1">
      <c r="A18" s="319">
        <v>2009</v>
      </c>
      <c r="B18" s="281">
        <v>79.774559305345349</v>
      </c>
      <c r="C18" s="282">
        <v>100.24578836075855</v>
      </c>
      <c r="D18" s="281">
        <v>111.95824700734549</v>
      </c>
      <c r="E18" s="282">
        <v>118.31872254158185</v>
      </c>
      <c r="F18" s="281">
        <v>99.579677577575481</v>
      </c>
      <c r="G18" s="282">
        <v>107.51319620704622</v>
      </c>
      <c r="H18" s="281">
        <v>105.58870631204552</v>
      </c>
      <c r="I18" s="282">
        <v>111.41755622659586</v>
      </c>
    </row>
    <row r="19" spans="1:9" ht="19.25" customHeight="1" thickBot="1">
      <c r="A19" s="319">
        <v>2010</v>
      </c>
      <c r="B19" s="281">
        <v>75.837832454358434</v>
      </c>
      <c r="C19" s="282">
        <v>100.23725272557202</v>
      </c>
      <c r="D19" s="281">
        <v>113.02277156346835</v>
      </c>
      <c r="E19" s="282">
        <v>119.53575426201748</v>
      </c>
      <c r="F19" s="281">
        <v>99.007991606364158</v>
      </c>
      <c r="G19" s="282">
        <v>109.36105925946448</v>
      </c>
      <c r="H19" s="281">
        <v>105.34544603494989</v>
      </c>
      <c r="I19" s="282">
        <v>112.18439310242962</v>
      </c>
    </row>
    <row r="20" spans="1:9" ht="19.25" customHeight="1" thickBot="1">
      <c r="A20" s="319">
        <v>2011</v>
      </c>
      <c r="B20" s="281">
        <v>71.894274383338143</v>
      </c>
      <c r="C20" s="282">
        <v>100.25103329205794</v>
      </c>
      <c r="D20" s="281">
        <v>113.93513276157225</v>
      </c>
      <c r="E20" s="282">
        <v>120.99860480691905</v>
      </c>
      <c r="F20" s="281">
        <v>97.339502993664723</v>
      </c>
      <c r="G20" s="282">
        <v>110.89891872952356</v>
      </c>
      <c r="H20" s="281">
        <v>105.10575308260573</v>
      </c>
      <c r="I20" s="282">
        <v>112.44390147519579</v>
      </c>
    </row>
    <row r="21" spans="1:9" ht="19.25" customHeight="1" thickBot="1">
      <c r="A21" s="319">
        <v>2012</v>
      </c>
      <c r="B21" s="281">
        <v>69.926573761825424</v>
      </c>
      <c r="C21" s="282">
        <v>100.26253884627525</v>
      </c>
      <c r="D21" s="281">
        <v>114.26125718297475</v>
      </c>
      <c r="E21" s="282">
        <v>121.18415282605635</v>
      </c>
      <c r="F21" s="281">
        <v>95.501580599478203</v>
      </c>
      <c r="G21" s="282">
        <v>112.23897449388407</v>
      </c>
      <c r="H21" s="281">
        <v>104.77388228341906</v>
      </c>
      <c r="I21" s="282">
        <v>111.66517188465812</v>
      </c>
    </row>
    <row r="22" spans="1:9" s="200" customFormat="1" ht="24" customHeight="1" thickBot="1">
      <c r="A22" s="322">
        <v>2013</v>
      </c>
      <c r="B22" s="284">
        <v>66.238986453912503</v>
      </c>
      <c r="C22" s="285">
        <v>100.07796571018805</v>
      </c>
      <c r="D22" s="284">
        <v>115.03946163036167</v>
      </c>
      <c r="E22" s="285">
        <v>121.09743777217238</v>
      </c>
      <c r="F22" s="284">
        <v>93.292167681267969</v>
      </c>
      <c r="G22" s="285">
        <v>112.59298771109958</v>
      </c>
      <c r="H22" s="284">
        <v>103.84554264755475</v>
      </c>
      <c r="I22" s="285">
        <v>111.42251549593185</v>
      </c>
    </row>
    <row r="23" spans="1:9" ht="20" customHeight="1">
      <c r="A23" s="1431"/>
      <c r="B23" s="1432"/>
      <c r="C23" s="1432"/>
      <c r="D23" s="1432"/>
      <c r="E23" s="1432"/>
      <c r="F23" s="1432"/>
      <c r="G23" s="1432"/>
      <c r="H23" s="1432"/>
      <c r="I23" s="1432"/>
    </row>
    <row r="24" spans="1:9" ht="28.5" customHeight="1">
      <c r="A24" s="1433" t="s">
        <v>2104</v>
      </c>
      <c r="B24" s="1121"/>
      <c r="C24" s="1121"/>
      <c r="D24" s="1121"/>
      <c r="E24" s="1121"/>
      <c r="F24" s="1121"/>
      <c r="G24" s="1121"/>
      <c r="H24" s="1121"/>
      <c r="I24" s="1434"/>
    </row>
    <row r="25" spans="1:9" ht="63.5" customHeight="1">
      <c r="A25" s="1435" t="s">
        <v>460</v>
      </c>
      <c r="B25" s="1436" t="s">
        <v>682</v>
      </c>
      <c r="C25" s="1437" t="s">
        <v>2098</v>
      </c>
      <c r="D25" s="1436" t="s">
        <v>2099</v>
      </c>
      <c r="E25" s="1437" t="s">
        <v>2100</v>
      </c>
      <c r="F25" s="1436" t="s">
        <v>2139</v>
      </c>
      <c r="G25" s="1437" t="s">
        <v>2101</v>
      </c>
      <c r="H25" s="1436" t="s">
        <v>2102</v>
      </c>
      <c r="I25" s="1429" t="s">
        <v>2105</v>
      </c>
    </row>
    <row r="26" spans="1:9" ht="12.5" customHeight="1">
      <c r="A26" s="273"/>
      <c r="B26" s="274"/>
      <c r="C26" s="275"/>
      <c r="D26" s="274"/>
      <c r="E26" s="275"/>
      <c r="F26" s="274"/>
      <c r="G26" s="275"/>
      <c r="H26" s="274"/>
      <c r="I26" s="275"/>
    </row>
    <row r="27" spans="1:9" ht="1.25" customHeight="1" thickBot="1">
      <c r="A27" s="316">
        <v>1997</v>
      </c>
      <c r="B27" s="740">
        <v>-3.9624823122792474E-3</v>
      </c>
      <c r="C27" s="318">
        <v>3.8008221695313704E-3</v>
      </c>
      <c r="D27" s="740">
        <v>5.4808570359472508E-3</v>
      </c>
      <c r="E27" s="318">
        <v>1.4278994029310654E-2</v>
      </c>
      <c r="F27" s="740">
        <v>-7.4094906141286554E-3</v>
      </c>
      <c r="G27" s="318">
        <v>-3.7818021806372837E-3</v>
      </c>
      <c r="H27" s="740">
        <v>7.6095634245316734E-3</v>
      </c>
      <c r="I27" s="318">
        <v>5.2020451848171501E-3</v>
      </c>
    </row>
    <row r="28" spans="1:9" ht="20.25" hidden="1" customHeight="1" thickBot="1">
      <c r="A28" s="319">
        <v>1998</v>
      </c>
      <c r="B28" s="433">
        <v>-2.6871570763742691E-2</v>
      </c>
      <c r="C28" s="741">
        <v>-4.5003375877905594E-4</v>
      </c>
      <c r="D28" s="433">
        <v>7.1836151516193603E-3</v>
      </c>
      <c r="E28" s="741">
        <v>1.5462053711893686E-2</v>
      </c>
      <c r="F28" s="433">
        <v>-8.1249180431084422E-3</v>
      </c>
      <c r="G28" s="741">
        <v>8.2897297982467144E-3</v>
      </c>
      <c r="H28" s="433">
        <v>4.8352632916530691E-3</v>
      </c>
      <c r="I28" s="741">
        <v>1.7937050393657117E-4</v>
      </c>
    </row>
    <row r="29" spans="1:9" ht="0.5" hidden="1" customHeight="1" thickBot="1">
      <c r="A29" s="319">
        <v>1999</v>
      </c>
      <c r="B29" s="433">
        <v>-1.1168895806180856E-2</v>
      </c>
      <c r="C29" s="741">
        <v>-3.0249084964961703E-5</v>
      </c>
      <c r="D29" s="433">
        <v>5.9648017588114222E-3</v>
      </c>
      <c r="E29" s="741">
        <v>1.1136590540768099E-2</v>
      </c>
      <c r="F29" s="433">
        <v>2.2772280197012051E-3</v>
      </c>
      <c r="G29" s="741">
        <v>-2.3398138244890232E-2</v>
      </c>
      <c r="H29" s="433">
        <v>4.2047913692213612E-3</v>
      </c>
      <c r="I29" s="741">
        <v>8.0646978565712679E-3</v>
      </c>
    </row>
    <row r="30" spans="1:9" ht="19.75" hidden="1" customHeight="1" thickBot="1">
      <c r="A30" s="319">
        <v>2000</v>
      </c>
      <c r="B30" s="433">
        <v>4.2788002297347028E-3</v>
      </c>
      <c r="C30" s="741">
        <v>0</v>
      </c>
      <c r="D30" s="433">
        <v>1.6645452871290045E-2</v>
      </c>
      <c r="E30" s="741">
        <v>5.5394940759512235E-3</v>
      </c>
      <c r="F30" s="433">
        <v>-3.1736944416462798E-3</v>
      </c>
      <c r="G30" s="741">
        <v>-1.0436362646149444E-2</v>
      </c>
      <c r="H30" s="433">
        <v>4.7908428835050643E-3</v>
      </c>
      <c r="I30" s="741">
        <v>1.5584911851677541E-2</v>
      </c>
    </row>
    <row r="31" spans="1:9" ht="20.25" hidden="1" customHeight="1" thickBot="1">
      <c r="A31" s="319">
        <v>2001</v>
      </c>
      <c r="B31" s="433">
        <v>-6.618836751683288E-3</v>
      </c>
      <c r="C31" s="741">
        <v>5.9499999999990116E-4</v>
      </c>
      <c r="D31" s="433">
        <v>2.0262987497135176E-2</v>
      </c>
      <c r="E31" s="741">
        <v>7.2860181790750378E-3</v>
      </c>
      <c r="F31" s="433">
        <v>1.3910859635694051E-2</v>
      </c>
      <c r="G31" s="741">
        <v>9.1099852603160336E-3</v>
      </c>
      <c r="H31" s="433">
        <v>5.5339690333648939E-3</v>
      </c>
      <c r="I31" s="741">
        <v>9.8906182903097939E-3</v>
      </c>
    </row>
    <row r="32" spans="1:9" ht="20.25" hidden="1" customHeight="1" thickBot="1">
      <c r="A32" s="319">
        <v>2002</v>
      </c>
      <c r="B32" s="433">
        <v>-3.206218071118272E-2</v>
      </c>
      <c r="C32" s="741">
        <v>2.7583587765289685E-4</v>
      </c>
      <c r="D32" s="433">
        <v>1.0699803228774618E-2</v>
      </c>
      <c r="E32" s="741">
        <v>1.6892947516796264E-2</v>
      </c>
      <c r="F32" s="433">
        <v>3.3966948836419153E-3</v>
      </c>
      <c r="G32" s="741">
        <v>6.3989480855215497E-3</v>
      </c>
      <c r="H32" s="433">
        <v>4.0530747000455669E-3</v>
      </c>
      <c r="I32" s="741">
        <v>6.4270726618462781E-3</v>
      </c>
    </row>
    <row r="33" spans="1:9" ht="20.25" customHeight="1" thickBot="1">
      <c r="A33" s="319">
        <v>2003</v>
      </c>
      <c r="B33" s="433">
        <v>-1.1822652930562727E-2</v>
      </c>
      <c r="C33" s="741">
        <v>0</v>
      </c>
      <c r="D33" s="433">
        <v>5.8765526036377302E-3</v>
      </c>
      <c r="E33" s="741">
        <v>2.1130710544772668E-2</v>
      </c>
      <c r="F33" s="433">
        <v>-1.2795294950727065E-3</v>
      </c>
      <c r="G33" s="741">
        <v>2.8810720268006795E-2</v>
      </c>
      <c r="H33" s="433">
        <v>8.6823501455475238E-3</v>
      </c>
      <c r="I33" s="741">
        <v>6.3830872214694079E-3</v>
      </c>
    </row>
    <row r="34" spans="1:9" ht="20.25" customHeight="1" thickBot="1">
      <c r="A34" s="319">
        <v>2004</v>
      </c>
      <c r="B34" s="433">
        <v>-1.966845505863235E-3</v>
      </c>
      <c r="C34" s="741">
        <v>0</v>
      </c>
      <c r="D34" s="433">
        <v>5.5257467766476331E-3</v>
      </c>
      <c r="E34" s="741">
        <v>2.1134786326011179E-2</v>
      </c>
      <c r="F34" s="433">
        <v>-3.2615150091729328E-3</v>
      </c>
      <c r="G34" s="741">
        <v>1.5441415902082145E-2</v>
      </c>
      <c r="H34" s="433">
        <v>9.2741195328778225E-3</v>
      </c>
      <c r="I34" s="741">
        <v>8.0293500026797915E-3</v>
      </c>
    </row>
    <row r="35" spans="1:9" ht="20.25" customHeight="1" thickBot="1">
      <c r="A35" s="319">
        <v>2005</v>
      </c>
      <c r="B35" s="433">
        <v>-8.0283193749334236E-3</v>
      </c>
      <c r="C35" s="741">
        <v>0</v>
      </c>
      <c r="D35" s="433">
        <v>6.1891401221325637E-3</v>
      </c>
      <c r="E35" s="741">
        <v>1.5917801837165957E-2</v>
      </c>
      <c r="F35" s="433">
        <v>-3.0577957985193915E-3</v>
      </c>
      <c r="G35" s="741">
        <v>1.2577068142527015E-2</v>
      </c>
      <c r="H35" s="433">
        <v>6.1204224482274139E-3</v>
      </c>
      <c r="I35" s="741">
        <v>1.1718987892409105E-2</v>
      </c>
    </row>
    <row r="36" spans="1:9" ht="20.25" customHeight="1" thickBot="1">
      <c r="A36" s="319">
        <v>2006</v>
      </c>
      <c r="B36" s="433">
        <v>-4.2506265451149772E-2</v>
      </c>
      <c r="C36" s="741">
        <v>2.9354432289476762E-3</v>
      </c>
      <c r="D36" s="433">
        <v>4.227549547109577E-3</v>
      </c>
      <c r="E36" s="741">
        <v>1.4635192974959965E-2</v>
      </c>
      <c r="F36" s="433">
        <v>-6.3632723928520596E-3</v>
      </c>
      <c r="G36" s="741">
        <v>1.6466126054631269E-2</v>
      </c>
      <c r="H36" s="433">
        <v>1.8849868050940799E-4</v>
      </c>
      <c r="I36" s="741">
        <v>1.059528109168939E-2</v>
      </c>
    </row>
    <row r="37" spans="1:9" ht="20.25" customHeight="1" thickBot="1">
      <c r="A37" s="319">
        <v>2007</v>
      </c>
      <c r="B37" s="433">
        <v>-3.9938223312589227E-2</v>
      </c>
      <c r="C37" s="741">
        <v>-2.8929433960813711E-3</v>
      </c>
      <c r="D37" s="433">
        <v>7.8724729135801752E-3</v>
      </c>
      <c r="E37" s="741">
        <v>1.1662185854225404E-2</v>
      </c>
      <c r="F37" s="433">
        <v>5.1442973491004906E-3</v>
      </c>
      <c r="G37" s="741">
        <v>-4.6997310174480278E-3</v>
      </c>
      <c r="H37" s="433">
        <v>-2.1468556612480594E-3</v>
      </c>
      <c r="I37" s="741">
        <v>7.3227677094371835E-3</v>
      </c>
    </row>
    <row r="38" spans="1:9" ht="20.25" customHeight="1" thickBot="1">
      <c r="A38" s="319">
        <v>2008</v>
      </c>
      <c r="B38" s="433">
        <v>-2.8321801636185806E-2</v>
      </c>
      <c r="C38" s="741">
        <v>-1.5029485240131146E-3</v>
      </c>
      <c r="D38" s="433">
        <v>5.4475596547276517E-3</v>
      </c>
      <c r="E38" s="741">
        <v>4.8891996242532709E-3</v>
      </c>
      <c r="F38" s="433">
        <v>9.1908908868043593E-3</v>
      </c>
      <c r="G38" s="741">
        <v>8.279000491135502E-3</v>
      </c>
      <c r="H38" s="433">
        <v>-1.7518617127758596E-3</v>
      </c>
      <c r="I38" s="741">
        <v>2.4260512449718163E-2</v>
      </c>
    </row>
    <row r="39" spans="1:9" ht="20.25" customHeight="1" thickBot="1">
      <c r="A39" s="319">
        <v>2009</v>
      </c>
      <c r="B39" s="433">
        <v>-1.3625020168236412E-2</v>
      </c>
      <c r="C39" s="741">
        <v>-2.5888023033859842E-4</v>
      </c>
      <c r="D39" s="433">
        <v>1.2214058937704664E-2</v>
      </c>
      <c r="E39" s="741">
        <v>9.505626755780261E-3</v>
      </c>
      <c r="F39" s="433">
        <v>-5.1919473653253556E-3</v>
      </c>
      <c r="G39" s="741">
        <v>1.0661703812637535E-2</v>
      </c>
      <c r="H39" s="433">
        <v>3.1789886945619017E-3</v>
      </c>
      <c r="I39" s="741">
        <v>-4.8046824960429335E-3</v>
      </c>
    </row>
    <row r="40" spans="1:9" ht="20.25" customHeight="1" thickBot="1">
      <c r="A40" s="319">
        <v>2010</v>
      </c>
      <c r="B40" s="433">
        <v>-4.9348149150140519E-2</v>
      </c>
      <c r="C40" s="741">
        <v>-8.5147070277069581E-5</v>
      </c>
      <c r="D40" s="433">
        <v>9.508228152706133E-3</v>
      </c>
      <c r="E40" s="741">
        <v>1.0286045135484922E-2</v>
      </c>
      <c r="F40" s="433">
        <v>-5.7409903819578556E-3</v>
      </c>
      <c r="G40" s="741">
        <v>1.7187313907584878E-2</v>
      </c>
      <c r="H40" s="433">
        <v>-2.3038475002877812E-3</v>
      </c>
      <c r="I40" s="741">
        <v>6.8825497686755277E-3</v>
      </c>
    </row>
    <row r="41" spans="1:9" ht="20.25" customHeight="1" thickBot="1">
      <c r="A41" s="319">
        <v>2011</v>
      </c>
      <c r="B41" s="433">
        <v>-5.1999878469544125E-2</v>
      </c>
      <c r="C41" s="741">
        <v>1.3747949101960977E-4</v>
      </c>
      <c r="D41" s="433">
        <v>8.0723661743824504E-3</v>
      </c>
      <c r="E41" s="741">
        <v>1.2237765628642538E-2</v>
      </c>
      <c r="F41" s="433">
        <v>-1.6852059976461331E-2</v>
      </c>
      <c r="G41" s="741">
        <v>1.4062221786005358E-2</v>
      </c>
      <c r="H41" s="433">
        <v>-2.2753043569119225E-3</v>
      </c>
      <c r="I41" s="741">
        <v>2.3132306160378313E-3</v>
      </c>
    </row>
    <row r="42" spans="1:9" ht="20.25" customHeight="1" thickBot="1">
      <c r="A42" s="319">
        <v>2012</v>
      </c>
      <c r="B42" s="433">
        <v>-2.7369364784475048E-2</v>
      </c>
      <c r="C42" s="741">
        <v>1.1476743769600617E-4</v>
      </c>
      <c r="D42" s="433">
        <v>2.8623692578211291E-3</v>
      </c>
      <c r="E42" s="741">
        <v>1.5334723853501764E-3</v>
      </c>
      <c r="F42" s="433">
        <v>-1.8881567479403949E-2</v>
      </c>
      <c r="G42" s="741">
        <v>1.2083578268502704E-2</v>
      </c>
      <c r="H42" s="433">
        <v>-3.157494137603023E-3</v>
      </c>
      <c r="I42" s="741">
        <v>-6.9254942270875475E-3</v>
      </c>
    </row>
    <row r="43" spans="1:9" ht="24.5" customHeight="1" thickBot="1">
      <c r="A43" s="1438">
        <v>2013</v>
      </c>
      <c r="B43" s="728">
        <v>-5.2735135007087375E-2</v>
      </c>
      <c r="C43" s="645">
        <v>-1.840898287746251E-3</v>
      </c>
      <c r="D43" s="728">
        <v>6.8107464119770977E-3</v>
      </c>
      <c r="E43" s="645">
        <v>-7.1556430326691345E-4</v>
      </c>
      <c r="F43" s="728">
        <v>-2.3134830903754788E-2</v>
      </c>
      <c r="G43" s="645">
        <v>3.154102385662938E-3</v>
      </c>
      <c r="H43" s="728">
        <v>-8.860410778261496E-3</v>
      </c>
      <c r="I43" s="645">
        <v>-2.1730713760681475E-3</v>
      </c>
    </row>
    <row r="44" spans="1:9" ht="20" customHeight="1" thickBot="1">
      <c r="A44" s="1431"/>
      <c r="B44" s="1121"/>
      <c r="C44" s="1121"/>
      <c r="D44" s="1121"/>
      <c r="E44" s="1121"/>
      <c r="F44" s="1121"/>
      <c r="G44" s="1121"/>
      <c r="H44" s="1121"/>
      <c r="I44" s="1121"/>
    </row>
    <row r="45" spans="1:9" ht="34.75" customHeight="1" thickBot="1">
      <c r="A45" s="1439" t="s">
        <v>2106</v>
      </c>
      <c r="B45" s="1440">
        <v>-3.1745969777480565E-2</v>
      </c>
      <c r="C45" s="1441">
        <v>-3.403920805740146E-4</v>
      </c>
      <c r="D45" s="1440">
        <v>6.8697833048876333E-3</v>
      </c>
      <c r="E45" s="1441">
        <v>1.0088783557145709E-2</v>
      </c>
      <c r="F45" s="1440">
        <v>-6.8623782859095206E-3</v>
      </c>
      <c r="G45" s="1441">
        <v>1.0500678448973177E-2</v>
      </c>
      <c r="H45" s="1440">
        <v>-1.853604091472949E-4</v>
      </c>
      <c r="I45" s="1441">
        <v>5.6843869679072956E-3</v>
      </c>
    </row>
    <row r="46" spans="1:9" ht="17.5" customHeight="1">
      <c r="A46" s="1442" t="s">
        <v>2138</v>
      </c>
      <c r="B46" s="1121"/>
      <c r="C46" s="1121"/>
      <c r="D46" s="1121"/>
      <c r="E46" s="1121"/>
      <c r="F46" s="1121"/>
      <c r="G46" s="1121"/>
      <c r="H46" s="1121"/>
      <c r="I46" s="1121"/>
    </row>
    <row r="47" spans="1:9" ht="11.25" customHeight="1">
      <c r="A47" s="1442"/>
      <c r="B47" s="1121"/>
      <c r="C47" s="1121"/>
      <c r="D47" s="1121"/>
      <c r="E47" s="1121"/>
      <c r="F47" s="1121"/>
      <c r="G47" s="1121"/>
      <c r="H47" s="1121"/>
      <c r="I47" s="1121"/>
    </row>
    <row r="48" spans="1:9" ht="13.5" customHeight="1">
      <c r="A48" s="1442" t="s">
        <v>2107</v>
      </c>
      <c r="B48" s="1121"/>
      <c r="C48" s="1121"/>
      <c r="D48" s="1121"/>
      <c r="E48" s="1121"/>
      <c r="F48" s="1121"/>
      <c r="G48" s="1121"/>
      <c r="H48" s="1121"/>
      <c r="I48" s="1121"/>
    </row>
    <row r="49" spans="1:9" ht="13.5" customHeight="1">
      <c r="A49" s="1442" t="s">
        <v>2108</v>
      </c>
      <c r="B49" s="1121"/>
      <c r="C49" s="1121"/>
      <c r="D49" s="1121"/>
      <c r="E49" s="1121"/>
      <c r="F49" s="1121"/>
      <c r="G49" s="1121"/>
      <c r="H49" s="1121"/>
      <c r="I49" s="1121"/>
    </row>
    <row r="50" spans="1:9" ht="12.75" customHeight="1">
      <c r="A50" s="1442"/>
      <c r="B50" s="1121"/>
      <c r="C50" s="1121"/>
      <c r="D50" s="1121"/>
      <c r="E50" s="1121"/>
      <c r="F50" s="1121"/>
      <c r="G50" s="1121"/>
      <c r="H50" s="1121"/>
      <c r="I50" s="1121"/>
    </row>
    <row r="51" spans="1:9" ht="13.5" customHeight="1">
      <c r="A51" s="68" t="s">
        <v>2109</v>
      </c>
      <c r="B51" s="237"/>
      <c r="C51" s="237"/>
      <c r="D51" s="237"/>
      <c r="E51" s="237"/>
      <c r="F51" s="237"/>
      <c r="G51" s="237"/>
      <c r="H51" s="237"/>
      <c r="I51" s="237"/>
    </row>
    <row r="52" spans="1:9" ht="13.5" customHeight="1">
      <c r="A52" s="1443" t="s">
        <v>2110</v>
      </c>
      <c r="B52" s="237"/>
      <c r="C52" s="237"/>
      <c r="D52" s="237"/>
      <c r="E52" s="237"/>
      <c r="F52" s="237"/>
      <c r="G52" s="237"/>
      <c r="H52" s="237"/>
      <c r="I52" s="237"/>
    </row>
    <row r="53" spans="1:9" ht="13.5" customHeight="1">
      <c r="A53" s="1443" t="s">
        <v>2111</v>
      </c>
      <c r="B53" s="237"/>
      <c r="C53" s="237"/>
      <c r="D53" s="237"/>
      <c r="E53" s="237"/>
      <c r="F53" s="237"/>
      <c r="G53" s="237"/>
      <c r="H53" s="237"/>
      <c r="I53" s="237"/>
    </row>
    <row r="54" spans="1:9" ht="13.5" customHeight="1">
      <c r="A54" s="3" t="s">
        <v>2112</v>
      </c>
      <c r="B54" s="237"/>
      <c r="C54" s="237"/>
      <c r="D54" s="237"/>
      <c r="E54" s="237"/>
      <c r="F54" s="237"/>
      <c r="G54" s="237"/>
      <c r="H54" s="237"/>
      <c r="I54" s="237"/>
    </row>
    <row r="55" spans="1:9" ht="13.5" customHeight="1">
      <c r="A55" s="3" t="s">
        <v>2113</v>
      </c>
      <c r="B55" s="237"/>
      <c r="C55" s="237"/>
      <c r="D55" s="237"/>
      <c r="E55" s="237"/>
      <c r="F55" s="237"/>
      <c r="G55" s="237"/>
      <c r="H55" s="237"/>
      <c r="I55" s="237"/>
    </row>
    <row r="56" spans="1:9" ht="13.5" customHeight="1">
      <c r="A56" s="1443" t="s">
        <v>2114</v>
      </c>
      <c r="B56" s="237"/>
      <c r="C56" s="237"/>
      <c r="D56" s="237"/>
      <c r="E56" s="237"/>
      <c r="F56" s="237"/>
      <c r="G56" s="237"/>
      <c r="H56" s="237"/>
      <c r="I56" s="237"/>
    </row>
    <row r="57" spans="1:9" ht="13.5" customHeight="1">
      <c r="A57" s="1443" t="s">
        <v>2115</v>
      </c>
      <c r="B57" s="237"/>
      <c r="C57" s="237"/>
      <c r="D57" s="237"/>
      <c r="E57" s="237"/>
      <c r="F57" s="237"/>
      <c r="G57" s="237"/>
      <c r="H57" s="237"/>
      <c r="I57" s="237"/>
    </row>
    <row r="58" spans="1:9" ht="13.5" customHeight="1">
      <c r="A58" s="1443" t="s">
        <v>2116</v>
      </c>
      <c r="B58" s="237"/>
      <c r="C58" s="237"/>
      <c r="D58" s="237"/>
      <c r="E58" s="237"/>
      <c r="F58" s="237"/>
      <c r="G58" s="237"/>
      <c r="H58" s="237"/>
      <c r="I58" s="237"/>
    </row>
    <row r="59" spans="1:9" ht="13.5" customHeight="1">
      <c r="A59" s="1443" t="s">
        <v>2117</v>
      </c>
      <c r="B59" s="237"/>
      <c r="C59" s="237"/>
      <c r="D59" s="237"/>
      <c r="E59" s="237"/>
      <c r="F59" s="237"/>
      <c r="G59" s="237"/>
      <c r="H59" s="237"/>
      <c r="I59" s="237"/>
    </row>
    <row r="60" spans="1:9" ht="13.5" customHeight="1">
      <c r="A60" s="3" t="s">
        <v>2118</v>
      </c>
      <c r="B60" s="237"/>
      <c r="C60" s="237"/>
      <c r="D60" s="237"/>
      <c r="E60" s="237"/>
      <c r="F60" s="237"/>
      <c r="G60" s="237"/>
      <c r="H60" s="237"/>
      <c r="I60" s="237"/>
    </row>
    <row r="61" spans="1:9" ht="13.5" customHeight="1">
      <c r="A61" s="3" t="s">
        <v>2119</v>
      </c>
      <c r="B61" s="237"/>
      <c r="C61" s="237"/>
      <c r="D61" s="237"/>
      <c r="E61" s="237"/>
      <c r="F61" s="237"/>
      <c r="G61" s="237"/>
      <c r="H61" s="237"/>
      <c r="I61" s="237"/>
    </row>
    <row r="62" spans="1:9" ht="13.5" customHeight="1">
      <c r="A62" s="1443" t="s">
        <v>2120</v>
      </c>
      <c r="B62" s="237"/>
      <c r="C62" s="237"/>
      <c r="D62" s="237"/>
      <c r="E62" s="237"/>
      <c r="F62" s="237"/>
      <c r="G62" s="237"/>
      <c r="H62" s="237"/>
      <c r="I62" s="237"/>
    </row>
    <row r="64" spans="1:9">
      <c r="A64" s="1442" t="s">
        <v>2121</v>
      </c>
    </row>
    <row r="67" spans="1:11" ht="16">
      <c r="A67" s="367" t="s">
        <v>302</v>
      </c>
      <c r="K67" s="647"/>
    </row>
  </sheetData>
  <pageMargins left="0.51181102362204722" right="0.43307086614173229" top="0.74803149606299213" bottom="0.47244094488188981" header="0.39370078740157483" footer="0.51181102362204722"/>
  <pageSetup paperSize="9" scale="74" orientation="portrait"/>
  <headerFooter alignWithMargins="0"/>
  <rowBreaks count="1" manualBreakCount="1">
    <brk id="64" max="16383" man="1"/>
  </rowBreak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9994-9875-D84D-AA05-3988E359B688}">
  <sheetPr>
    <pageSetUpPr fitToPage="1"/>
  </sheetPr>
  <dimension ref="A1:K78"/>
  <sheetViews>
    <sheetView zoomScaleNormal="100" workbookViewId="0"/>
  </sheetViews>
  <sheetFormatPr baseColWidth="10" defaultColWidth="11.3984375" defaultRowHeight="13"/>
  <cols>
    <col min="1" max="1" width="18.59765625" style="3" customWidth="1"/>
    <col min="2" max="7" width="13.59765625" style="201" customWidth="1"/>
    <col min="8" max="9" width="13.59765625" style="3" customWidth="1"/>
    <col min="10" max="10" width="2.59765625" style="3" customWidth="1"/>
    <col min="11" max="11" width="13.59765625" style="3" customWidth="1"/>
    <col min="12" max="16384" width="11.3984375" style="3"/>
  </cols>
  <sheetData>
    <row r="1" spans="1:11" s="1" customFormat="1" ht="14" customHeight="1">
      <c r="A1" s="191"/>
      <c r="B1" s="1425"/>
      <c r="C1" s="1425"/>
      <c r="D1" s="1425"/>
      <c r="E1" s="1425"/>
      <c r="F1" s="1425"/>
      <c r="G1" s="1425"/>
    </row>
    <row r="2" spans="1:11" s="1" customFormat="1" ht="25.25" customHeight="1">
      <c r="A2" s="1445" t="s">
        <v>2140</v>
      </c>
      <c r="B2" s="360"/>
      <c r="C2" s="360"/>
      <c r="D2" s="360"/>
      <c r="E2" s="360"/>
      <c r="F2" s="360"/>
      <c r="G2" s="360"/>
      <c r="H2" s="360"/>
      <c r="I2" s="360"/>
      <c r="J2" s="1446"/>
      <c r="K2" s="223"/>
    </row>
    <row r="3" spans="1:11" ht="27" customHeight="1">
      <c r="A3" s="1107" t="s">
        <v>460</v>
      </c>
      <c r="B3" s="707" t="s">
        <v>2141</v>
      </c>
      <c r="C3" s="1333"/>
      <c r="D3" s="1333"/>
      <c r="E3" s="1447"/>
      <c r="F3" s="1448" t="s">
        <v>2142</v>
      </c>
      <c r="G3" s="1335"/>
      <c r="H3" s="1449"/>
      <c r="I3" s="1449"/>
      <c r="J3" s="367"/>
    </row>
    <row r="4" spans="1:11" ht="22.75" customHeight="1">
      <c r="A4" s="269"/>
      <c r="B4" s="494" t="s">
        <v>461</v>
      </c>
      <c r="C4" s="495" t="s">
        <v>497</v>
      </c>
      <c r="D4" s="494" t="s">
        <v>637</v>
      </c>
      <c r="E4" s="495" t="s">
        <v>2143</v>
      </c>
      <c r="F4" s="1450" t="s">
        <v>461</v>
      </c>
      <c r="G4" s="495" t="s">
        <v>681</v>
      </c>
      <c r="H4" s="494" t="s">
        <v>681</v>
      </c>
      <c r="I4" s="495" t="s">
        <v>681</v>
      </c>
      <c r="J4" s="1302"/>
    </row>
    <row r="5" spans="1:11" ht="16.25" customHeight="1">
      <c r="A5" s="269"/>
      <c r="B5" s="494" t="s">
        <v>638</v>
      </c>
      <c r="C5" s="495"/>
      <c r="D5" s="494" t="s">
        <v>497</v>
      </c>
      <c r="E5" s="495"/>
      <c r="F5" s="1450" t="s">
        <v>638</v>
      </c>
      <c r="G5" s="495" t="s">
        <v>2144</v>
      </c>
      <c r="H5" s="494" t="s">
        <v>2145</v>
      </c>
      <c r="I5" s="495" t="s">
        <v>2146</v>
      </c>
      <c r="J5" s="1302"/>
    </row>
    <row r="6" spans="1:11" s="286" customFormat="1" ht="22.75" customHeight="1">
      <c r="A6" s="469"/>
      <c r="B6" s="494"/>
      <c r="C6" s="495"/>
      <c r="D6" s="494"/>
      <c r="E6" s="495"/>
      <c r="F6" s="1450"/>
      <c r="G6" s="495" t="s">
        <v>2147</v>
      </c>
      <c r="H6" s="417"/>
      <c r="I6" s="418"/>
      <c r="J6" s="1306"/>
    </row>
    <row r="7" spans="1:11" ht="1.25" customHeight="1" thickBot="1">
      <c r="A7" s="1451">
        <v>1996</v>
      </c>
      <c r="B7" s="1095">
        <v>85.845027995215389</v>
      </c>
      <c r="C7" s="1182" t="s">
        <v>153</v>
      </c>
      <c r="D7" s="1095" t="s">
        <v>153</v>
      </c>
      <c r="E7" s="1182" t="s">
        <v>153</v>
      </c>
      <c r="F7" s="1452" t="s">
        <v>153</v>
      </c>
      <c r="G7" s="1182" t="s">
        <v>153</v>
      </c>
      <c r="H7" s="278" t="s">
        <v>153</v>
      </c>
      <c r="I7" s="279" t="s">
        <v>153</v>
      </c>
      <c r="J7" s="1453"/>
    </row>
    <row r="8" spans="1:11" ht="0.75" hidden="1" customHeight="1" thickBot="1">
      <c r="A8" s="319">
        <v>1997</v>
      </c>
      <c r="B8" s="1095">
        <v>92.815135115864891</v>
      </c>
      <c r="C8" s="282">
        <v>92.444560110674317</v>
      </c>
      <c r="D8" s="281">
        <v>92.272278855639584</v>
      </c>
      <c r="E8" s="282">
        <v>94.708135081815001</v>
      </c>
      <c r="F8" s="1452" t="s">
        <v>153</v>
      </c>
      <c r="G8" s="1182" t="s">
        <v>153</v>
      </c>
      <c r="H8" s="278" t="s">
        <v>153</v>
      </c>
      <c r="I8" s="279" t="s">
        <v>153</v>
      </c>
      <c r="J8" s="1453"/>
    </row>
    <row r="9" spans="1:11" ht="18" hidden="1" customHeight="1" thickBot="1">
      <c r="A9" s="1454">
        <v>1998</v>
      </c>
      <c r="B9" s="1095">
        <v>97.82364594098182</v>
      </c>
      <c r="C9" s="1455">
        <v>97.816191141488716</v>
      </c>
      <c r="D9" s="1456">
        <v>98.901550603293458</v>
      </c>
      <c r="E9" s="1455">
        <v>97.609376813276072</v>
      </c>
      <c r="F9" s="1452" t="s">
        <v>153</v>
      </c>
      <c r="G9" s="1182" t="s">
        <v>153</v>
      </c>
      <c r="H9" s="278" t="s">
        <v>153</v>
      </c>
      <c r="I9" s="279" t="s">
        <v>153</v>
      </c>
      <c r="J9" s="1453"/>
    </row>
    <row r="10" spans="1:11" ht="18" hidden="1" customHeight="1" thickBot="1">
      <c r="A10" s="319">
        <v>1999</v>
      </c>
      <c r="B10" s="1095">
        <v>100</v>
      </c>
      <c r="C10" s="282">
        <v>100</v>
      </c>
      <c r="D10" s="281">
        <v>100</v>
      </c>
      <c r="E10" s="282">
        <v>100</v>
      </c>
      <c r="F10" s="1457">
        <v>100</v>
      </c>
      <c r="G10" s="282">
        <v>100</v>
      </c>
      <c r="H10" s="281">
        <v>100</v>
      </c>
      <c r="I10" s="282">
        <v>100</v>
      </c>
      <c r="J10" s="1453"/>
    </row>
    <row r="11" spans="1:11" ht="0.5" hidden="1" customHeight="1" thickBot="1">
      <c r="A11" s="316">
        <v>2000</v>
      </c>
      <c r="B11" s="278">
        <v>103.20562026598945</v>
      </c>
      <c r="C11" s="279">
        <v>103.03441222531174</v>
      </c>
      <c r="D11" s="278">
        <v>99.091265525004431</v>
      </c>
      <c r="E11" s="279">
        <v>103.07365838293074</v>
      </c>
      <c r="F11" s="1458">
        <v>106.4</v>
      </c>
      <c r="G11" s="279">
        <v>104.3</v>
      </c>
      <c r="H11" s="278">
        <v>107.5</v>
      </c>
      <c r="I11" s="279">
        <v>106.7</v>
      </c>
      <c r="J11" s="1453"/>
    </row>
    <row r="12" spans="1:11" ht="18" hidden="1" customHeight="1" thickBot="1">
      <c r="A12" s="319">
        <v>2001</v>
      </c>
      <c r="B12" s="281">
        <v>106.94335020000455</v>
      </c>
      <c r="C12" s="282">
        <v>107.41253121846763</v>
      </c>
      <c r="D12" s="281">
        <v>99.966483697164392</v>
      </c>
      <c r="E12" s="282">
        <v>108.20305376415389</v>
      </c>
      <c r="F12" s="1457">
        <v>111.1</v>
      </c>
      <c r="G12" s="282">
        <v>107.5</v>
      </c>
      <c r="H12" s="281">
        <v>112.5</v>
      </c>
      <c r="I12" s="282">
        <v>112.5</v>
      </c>
      <c r="J12" s="1453"/>
    </row>
    <row r="13" spans="1:11" ht="18" hidden="1" customHeight="1" thickBot="1">
      <c r="A13" s="1454">
        <v>2002</v>
      </c>
      <c r="B13" s="1456">
        <v>116.62017344016445</v>
      </c>
      <c r="C13" s="1455">
        <v>116.60890964793332</v>
      </c>
      <c r="D13" s="1456">
        <v>112.72607694837224</v>
      </c>
      <c r="E13" s="1455">
        <v>118.09048558497321</v>
      </c>
      <c r="F13" s="1459">
        <v>115.4</v>
      </c>
      <c r="G13" s="1455">
        <v>107.9</v>
      </c>
      <c r="H13" s="1456">
        <v>117.5</v>
      </c>
      <c r="I13" s="1455">
        <v>119.3</v>
      </c>
      <c r="J13" s="1453"/>
    </row>
    <row r="14" spans="1:11" ht="18" customHeight="1" thickBot="1">
      <c r="A14" s="1454">
        <v>2003</v>
      </c>
      <c r="B14" s="1456">
        <v>127.26432081149086</v>
      </c>
      <c r="C14" s="1455">
        <v>126.36094255801954</v>
      </c>
      <c r="D14" s="1456">
        <v>128.18468115245491</v>
      </c>
      <c r="E14" s="1455">
        <v>128.50511447470944</v>
      </c>
      <c r="F14" s="1459">
        <v>116.38</v>
      </c>
      <c r="G14" s="1455">
        <v>110</v>
      </c>
      <c r="H14" s="1456">
        <v>117.9</v>
      </c>
      <c r="I14" s="1455">
        <v>120.1</v>
      </c>
      <c r="J14" s="1453"/>
    </row>
    <row r="15" spans="1:11" ht="15.75" customHeight="1" thickBot="1">
      <c r="A15" s="1454">
        <v>2004</v>
      </c>
      <c r="B15" s="1456">
        <v>136.21209815526825</v>
      </c>
      <c r="C15" s="1455">
        <v>134.46062249738608</v>
      </c>
      <c r="D15" s="1456">
        <v>140.98790883565627</v>
      </c>
      <c r="E15" s="1455">
        <v>134.59274855352376</v>
      </c>
      <c r="F15" s="1459">
        <v>117.9</v>
      </c>
      <c r="G15" s="1455">
        <v>113.3</v>
      </c>
      <c r="H15" s="1456">
        <v>118.6</v>
      </c>
      <c r="I15" s="1455">
        <v>121.2</v>
      </c>
      <c r="J15" s="1453"/>
    </row>
    <row r="16" spans="1:11" s="200" customFormat="1" ht="19.5" customHeight="1" thickBot="1">
      <c r="A16" s="1454">
        <v>2005</v>
      </c>
      <c r="B16" s="1456">
        <v>138.755283887497</v>
      </c>
      <c r="C16" s="1455">
        <v>137.01928125613529</v>
      </c>
      <c r="D16" s="1456">
        <v>145.19388864998862</v>
      </c>
      <c r="E16" s="1455">
        <v>134.35401780533496</v>
      </c>
      <c r="F16" s="1459">
        <v>118.91</v>
      </c>
      <c r="G16" s="1455">
        <v>114.2</v>
      </c>
      <c r="H16" s="1456">
        <v>119.4</v>
      </c>
      <c r="I16" s="1455">
        <v>122.7</v>
      </c>
      <c r="J16" s="1453"/>
    </row>
    <row r="17" spans="1:11" ht="19.5" customHeight="1" thickBot="1">
      <c r="A17" s="1454">
        <v>2006</v>
      </c>
      <c r="B17" s="1456">
        <v>144.06903358290245</v>
      </c>
      <c r="C17" s="1455">
        <v>142.457115984312</v>
      </c>
      <c r="D17" s="1456">
        <v>151.60878253610909</v>
      </c>
      <c r="E17" s="1455">
        <v>137.84213929276015</v>
      </c>
      <c r="F17" s="1459">
        <v>122.4</v>
      </c>
      <c r="G17" s="1455">
        <v>113.4</v>
      </c>
      <c r="H17" s="1456">
        <v>123.8</v>
      </c>
      <c r="I17" s="1455">
        <v>128.5</v>
      </c>
      <c r="J17" s="1453"/>
    </row>
    <row r="18" spans="1:11" ht="19.5" customHeight="1" thickBot="1">
      <c r="A18" s="1454">
        <v>2007</v>
      </c>
      <c r="B18" s="1456">
        <v>145.70957931673081</v>
      </c>
      <c r="C18" s="1455">
        <v>143.74603348537357</v>
      </c>
      <c r="D18" s="1456">
        <v>152.46313206688083</v>
      </c>
      <c r="E18" s="1455">
        <v>137.76256237669722</v>
      </c>
      <c r="F18" s="1459">
        <v>123</v>
      </c>
      <c r="G18" s="1455">
        <v>113.3</v>
      </c>
      <c r="H18" s="1456">
        <v>124.8</v>
      </c>
      <c r="I18" s="1455">
        <v>128.80000000000001</v>
      </c>
      <c r="J18" s="1453"/>
    </row>
    <row r="19" spans="1:11" ht="19.5" customHeight="1" thickBot="1">
      <c r="A19" s="1454">
        <v>2008</v>
      </c>
      <c r="B19" s="1456">
        <v>144.2402840216258</v>
      </c>
      <c r="C19" s="1455">
        <v>142.13751192807996</v>
      </c>
      <c r="D19" s="1456">
        <v>151.18824779298308</v>
      </c>
      <c r="E19" s="1455">
        <v>133.56819575921349</v>
      </c>
      <c r="F19" s="1459">
        <v>124.4</v>
      </c>
      <c r="G19" s="1455">
        <v>114.4</v>
      </c>
      <c r="H19" s="1456">
        <v>125.1</v>
      </c>
      <c r="I19" s="1455">
        <v>132</v>
      </c>
      <c r="J19" s="1453"/>
    </row>
    <row r="20" spans="1:11" ht="19.5" customHeight="1" thickBot="1">
      <c r="A20" s="1454">
        <v>2009</v>
      </c>
      <c r="B20" s="1456">
        <v>145.62457246467343</v>
      </c>
      <c r="C20" s="1455">
        <v>142.63879062206922</v>
      </c>
      <c r="D20" s="1456">
        <v>152.86418891088371</v>
      </c>
      <c r="E20" s="1455">
        <v>133.17503978163364</v>
      </c>
      <c r="F20" s="1459">
        <v>126.6</v>
      </c>
      <c r="G20" s="1455">
        <v>114.3</v>
      </c>
      <c r="H20" s="1456">
        <v>127.8</v>
      </c>
      <c r="I20" s="1455">
        <v>135.6</v>
      </c>
      <c r="J20" s="1453"/>
    </row>
    <row r="21" spans="1:11" ht="19.5" customHeight="1" thickBot="1">
      <c r="A21" s="1454">
        <v>2010</v>
      </c>
      <c r="B21" s="1456">
        <v>158.11372025519123</v>
      </c>
      <c r="C21" s="1455">
        <v>154.20278530169568</v>
      </c>
      <c r="D21" s="1456">
        <v>170.07906968946978</v>
      </c>
      <c r="E21" s="1455">
        <v>144.32918357213987</v>
      </c>
      <c r="F21" s="1459">
        <v>134.80000000000001</v>
      </c>
      <c r="G21" s="1455">
        <v>120.5</v>
      </c>
      <c r="H21" s="1456">
        <v>136.4</v>
      </c>
      <c r="I21" s="1455">
        <v>145.19999999999999</v>
      </c>
      <c r="J21" s="1453"/>
    </row>
    <row r="22" spans="1:11" ht="19.5" customHeight="1" thickBot="1">
      <c r="A22" s="1454">
        <v>2011</v>
      </c>
      <c r="B22" s="1456">
        <v>167.64989451725353</v>
      </c>
      <c r="C22" s="1455">
        <v>162.68382625079579</v>
      </c>
      <c r="D22" s="1456">
        <v>186.6931998189595</v>
      </c>
      <c r="E22" s="1455">
        <v>152.14455191259268</v>
      </c>
      <c r="F22" s="1459">
        <v>141.30000000000001</v>
      </c>
      <c r="G22" s="1455">
        <v>124.7</v>
      </c>
      <c r="H22" s="1456">
        <v>143.30000000000001</v>
      </c>
      <c r="I22" s="1455">
        <v>153.1</v>
      </c>
      <c r="J22" s="1453"/>
    </row>
    <row r="23" spans="1:11" ht="19.5" customHeight="1" thickBot="1">
      <c r="A23" s="1454">
        <v>2012</v>
      </c>
      <c r="B23" s="1456">
        <v>171.54215255556073</v>
      </c>
      <c r="C23" s="1455">
        <v>165.86768576507157</v>
      </c>
      <c r="D23" s="1456">
        <v>194.96375002541825</v>
      </c>
      <c r="E23" s="1455">
        <v>155.39413085523285</v>
      </c>
      <c r="F23" s="1459">
        <v>142.69999999999999</v>
      </c>
      <c r="G23" s="1455">
        <v>123.8</v>
      </c>
      <c r="H23" s="1456">
        <v>145.6</v>
      </c>
      <c r="I23" s="1455">
        <v>155.30000000000001</v>
      </c>
      <c r="J23" s="1453"/>
    </row>
    <row r="24" spans="1:11" s="200" customFormat="1" ht="20.5" customHeight="1" thickBot="1">
      <c r="A24" s="1460">
        <v>2013</v>
      </c>
      <c r="B24" s="1461">
        <v>173.2146922377033</v>
      </c>
      <c r="C24" s="1462">
        <v>167.15493578164779</v>
      </c>
      <c r="D24" s="1461">
        <v>199.98568969560654</v>
      </c>
      <c r="E24" s="1462">
        <v>154.44552706361392</v>
      </c>
      <c r="F24" s="1463">
        <v>144.9</v>
      </c>
      <c r="G24" s="1462">
        <v>123.7</v>
      </c>
      <c r="H24" s="1461">
        <v>148.69999999999999</v>
      </c>
      <c r="I24" s="1462">
        <v>158.1</v>
      </c>
      <c r="J24" s="1464"/>
    </row>
    <row r="25" spans="1:11" s="185" customFormat="1" ht="21.75" customHeight="1" thickBot="1">
      <c r="A25" s="1465">
        <v>2014</v>
      </c>
      <c r="B25" s="1466" t="s">
        <v>153</v>
      </c>
      <c r="C25" s="1189" t="s">
        <v>153</v>
      </c>
      <c r="D25" s="1467" t="s">
        <v>153</v>
      </c>
      <c r="E25" s="1189" t="s">
        <v>153</v>
      </c>
      <c r="F25" s="1468">
        <v>129.9</v>
      </c>
      <c r="G25" s="1189">
        <v>90.4</v>
      </c>
      <c r="H25" s="1467">
        <v>143.9</v>
      </c>
      <c r="I25" s="1189">
        <v>153.80000000000001</v>
      </c>
      <c r="J25" s="1469"/>
    </row>
    <row r="26" spans="1:11" ht="18" customHeight="1">
      <c r="A26" s="1470"/>
      <c r="B26" s="1453"/>
      <c r="C26" s="1338"/>
      <c r="D26" s="1453"/>
      <c r="E26" s="1338"/>
      <c r="F26" s="1453"/>
      <c r="G26" s="1338"/>
      <c r="H26" s="1453"/>
      <c r="I26" s="1338"/>
      <c r="J26" s="364"/>
    </row>
    <row r="27" spans="1:11" ht="18" customHeight="1">
      <c r="A27" s="1470"/>
      <c r="B27" s="1453"/>
      <c r="C27" s="1338"/>
      <c r="D27" s="1453"/>
      <c r="E27" s="1338"/>
      <c r="F27" s="1453"/>
      <c r="G27" s="1338"/>
      <c r="H27" s="1453"/>
      <c r="I27" s="1338"/>
      <c r="J27" s="364"/>
    </row>
    <row r="28" spans="1:11" ht="18" customHeight="1">
      <c r="A28" s="1471" t="s">
        <v>2148</v>
      </c>
      <c r="B28" s="1453"/>
      <c r="C28" s="1338"/>
      <c r="D28" s="1453"/>
      <c r="E28" s="1338"/>
      <c r="F28" s="1453"/>
      <c r="G28" s="1338"/>
      <c r="H28" s="1453"/>
      <c r="I28" s="1338"/>
      <c r="J28" s="364"/>
    </row>
    <row r="29" spans="1:11" ht="10.75" customHeight="1">
      <c r="A29" s="1472"/>
      <c r="B29" s="1473"/>
      <c r="C29" s="1474"/>
      <c r="D29" s="1473"/>
      <c r="E29" s="1474"/>
      <c r="F29" s="1473"/>
      <c r="G29" s="1474"/>
      <c r="H29" s="1473"/>
      <c r="I29" s="1474"/>
      <c r="J29" s="364"/>
      <c r="K29" s="124"/>
    </row>
    <row r="30" spans="1:11" ht="27" customHeight="1">
      <c r="A30" s="1107" t="s">
        <v>460</v>
      </c>
      <c r="B30" s="707" t="s">
        <v>2141</v>
      </c>
      <c r="C30" s="1333"/>
      <c r="D30" s="1333"/>
      <c r="E30" s="1447"/>
      <c r="F30" s="1448" t="s">
        <v>2142</v>
      </c>
      <c r="G30" s="1335"/>
      <c r="H30" s="1449"/>
      <c r="I30" s="1449"/>
      <c r="J30" s="364"/>
      <c r="K30" s="1475" t="s">
        <v>2149</v>
      </c>
    </row>
    <row r="31" spans="1:11" ht="23.5" customHeight="1">
      <c r="A31" s="269"/>
      <c r="B31" s="494" t="s">
        <v>461</v>
      </c>
      <c r="C31" s="495" t="s">
        <v>497</v>
      </c>
      <c r="D31" s="494" t="s">
        <v>637</v>
      </c>
      <c r="E31" s="495" t="s">
        <v>2143</v>
      </c>
      <c r="F31" s="1450" t="s">
        <v>461</v>
      </c>
      <c r="G31" s="495" t="s">
        <v>681</v>
      </c>
      <c r="H31" s="494" t="s">
        <v>681</v>
      </c>
      <c r="I31" s="495" t="s">
        <v>681</v>
      </c>
      <c r="J31" s="364"/>
      <c r="K31" s="1476" t="s">
        <v>2150</v>
      </c>
    </row>
    <row r="32" spans="1:11" ht="15" customHeight="1">
      <c r="A32" s="269"/>
      <c r="B32" s="494" t="s">
        <v>638</v>
      </c>
      <c r="C32" s="495"/>
      <c r="D32" s="494" t="s">
        <v>497</v>
      </c>
      <c r="E32" s="495"/>
      <c r="F32" s="1450" t="s">
        <v>638</v>
      </c>
      <c r="G32" s="495" t="s">
        <v>2144</v>
      </c>
      <c r="H32" s="494" t="s">
        <v>2145</v>
      </c>
      <c r="I32" s="495" t="s">
        <v>2146</v>
      </c>
      <c r="J32" s="364"/>
      <c r="K32" s="1476" t="s">
        <v>2151</v>
      </c>
    </row>
    <row r="33" spans="1:11" s="286" customFormat="1" ht="26.25" customHeight="1">
      <c r="A33" s="273"/>
      <c r="B33" s="417"/>
      <c r="C33" s="418"/>
      <c r="D33" s="417"/>
      <c r="E33" s="418"/>
      <c r="F33" s="1477"/>
      <c r="G33" s="418" t="s">
        <v>2147</v>
      </c>
      <c r="H33" s="417"/>
      <c r="I33" s="418"/>
      <c r="J33" s="364"/>
      <c r="K33" s="1478" t="s">
        <v>2152</v>
      </c>
    </row>
    <row r="34" spans="1:11" ht="2.25" customHeight="1" thickBot="1">
      <c r="A34" s="316">
        <v>1997</v>
      </c>
      <c r="B34" s="740">
        <v>8.1194068933590158E-2</v>
      </c>
      <c r="C34" s="318" t="s">
        <v>153</v>
      </c>
      <c r="D34" s="740" t="s">
        <v>153</v>
      </c>
      <c r="E34" s="318" t="s">
        <v>153</v>
      </c>
      <c r="F34" s="1479" t="s">
        <v>153</v>
      </c>
      <c r="G34" s="318" t="s">
        <v>153</v>
      </c>
      <c r="H34" s="740" t="s">
        <v>153</v>
      </c>
      <c r="I34" s="318" t="s">
        <v>153</v>
      </c>
      <c r="J34" s="364"/>
      <c r="K34" s="278" t="s">
        <v>153</v>
      </c>
    </row>
    <row r="35" spans="1:11" ht="18" hidden="1" customHeight="1" thickBot="1">
      <c r="A35" s="319">
        <v>1998</v>
      </c>
      <c r="B35" s="740">
        <v>5.3962220912188608E-2</v>
      </c>
      <c r="C35" s="741">
        <v>5.8106512967161184E-2</v>
      </c>
      <c r="D35" s="433">
        <v>7.1844673501836986E-2</v>
      </c>
      <c r="E35" s="741">
        <v>3.0633500796471091E-2</v>
      </c>
      <c r="F35" s="1479" t="s">
        <v>153</v>
      </c>
      <c r="G35" s="318" t="s">
        <v>153</v>
      </c>
      <c r="H35" s="740" t="s">
        <v>153</v>
      </c>
      <c r="I35" s="318" t="s">
        <v>153</v>
      </c>
      <c r="J35" s="364"/>
      <c r="K35" s="278" t="s">
        <v>153</v>
      </c>
    </row>
    <row r="36" spans="1:11" ht="18" hidden="1" customHeight="1" thickBot="1">
      <c r="A36" s="316">
        <v>1999</v>
      </c>
      <c r="B36" s="740">
        <v>2.2247729964299134E-2</v>
      </c>
      <c r="C36" s="741">
        <v>2.2325637842026236E-2</v>
      </c>
      <c r="D36" s="433">
        <v>1.1106493174334098E-2</v>
      </c>
      <c r="E36" s="741">
        <v>2.4491737011057113E-2</v>
      </c>
      <c r="F36" s="1479" t="s">
        <v>153</v>
      </c>
      <c r="G36" s="318" t="s">
        <v>153</v>
      </c>
      <c r="H36" s="740" t="s">
        <v>153</v>
      </c>
      <c r="I36" s="318" t="s">
        <v>153</v>
      </c>
      <c r="J36" s="364"/>
      <c r="K36" s="281" t="s">
        <v>153</v>
      </c>
    </row>
    <row r="37" spans="1:11" ht="18" hidden="1" customHeight="1" thickBot="1">
      <c r="A37" s="319">
        <v>2000</v>
      </c>
      <c r="B37" s="740">
        <v>3.2056202659894506E-2</v>
      </c>
      <c r="C37" s="741">
        <v>3.0344122253117334E-2</v>
      </c>
      <c r="D37" s="433">
        <v>-9.0873447499556503E-3</v>
      </c>
      <c r="E37" s="741">
        <v>3.073658382930744E-2</v>
      </c>
      <c r="F37" s="1480">
        <v>6.4000000000000001E-2</v>
      </c>
      <c r="G37" s="741">
        <v>4.2999999999999997E-2</v>
      </c>
      <c r="H37" s="433">
        <v>7.4999999999999997E-2</v>
      </c>
      <c r="I37" s="741">
        <v>6.7000000000000004E-2</v>
      </c>
      <c r="J37" s="364"/>
      <c r="K37" s="740">
        <v>-3.0000000000000001E-3</v>
      </c>
    </row>
    <row r="38" spans="1:11" ht="18" hidden="1" customHeight="1" thickBot="1">
      <c r="A38" s="316">
        <v>2001</v>
      </c>
      <c r="B38" s="740">
        <v>3.6216340974279504E-2</v>
      </c>
      <c r="C38" s="741">
        <v>4.2491813158326064E-2</v>
      </c>
      <c r="D38" s="433">
        <v>8.8324451960815065E-3</v>
      </c>
      <c r="E38" s="741">
        <v>4.9764367169028212E-2</v>
      </c>
      <c r="F38" s="1480">
        <v>4.4000000000000004E-2</v>
      </c>
      <c r="G38" s="741">
        <v>0.03</v>
      </c>
      <c r="H38" s="433">
        <v>4.7E-2</v>
      </c>
      <c r="I38" s="741">
        <v>5.5E-2</v>
      </c>
      <c r="J38" s="364"/>
      <c r="K38" s="433">
        <v>-4.0000000000000001E-3</v>
      </c>
    </row>
    <row r="39" spans="1:11" ht="18" hidden="1" customHeight="1" thickBot="1">
      <c r="A39" s="319">
        <v>2002</v>
      </c>
      <c r="B39" s="740">
        <v>9.0485506785250358E-2</v>
      </c>
      <c r="C39" s="741">
        <v>8.5617370013942429E-2</v>
      </c>
      <c r="D39" s="433">
        <v>0.12763871228942492</v>
      </c>
      <c r="E39" s="741">
        <v>9.1378491427520858E-2</v>
      </c>
      <c r="F39" s="1480">
        <v>3.9E-2</v>
      </c>
      <c r="G39" s="741">
        <v>4.0000000000000001E-3</v>
      </c>
      <c r="H39" s="433">
        <v>4.4000000000000004E-2</v>
      </c>
      <c r="I39" s="741">
        <v>0.06</v>
      </c>
      <c r="J39" s="364"/>
      <c r="K39" s="1481">
        <v>-5.0000000000000001E-3</v>
      </c>
    </row>
    <row r="40" spans="1:11" ht="18" customHeight="1" thickBot="1">
      <c r="A40" s="319">
        <v>2003</v>
      </c>
      <c r="B40" s="740">
        <v>9.1271921978299142E-2</v>
      </c>
      <c r="C40" s="741">
        <v>8.3630255522752606E-2</v>
      </c>
      <c r="D40" s="433">
        <v>0.13713423391078017</v>
      </c>
      <c r="E40" s="741">
        <v>8.8191938903005695E-2</v>
      </c>
      <c r="F40" s="1480">
        <v>8.492201039861369E-3</v>
      </c>
      <c r="G40" s="741">
        <v>1.9462465245597693E-2</v>
      </c>
      <c r="H40" s="433">
        <v>3.4042553191488967E-3</v>
      </c>
      <c r="I40" s="741">
        <v>6.7057837384743024E-3</v>
      </c>
      <c r="J40" s="364"/>
      <c r="K40" s="1481">
        <v>-5.0000000000000001E-3</v>
      </c>
    </row>
    <row r="41" spans="1:11" ht="18" customHeight="1" thickBot="1">
      <c r="A41" s="1454">
        <v>2004</v>
      </c>
      <c r="B41" s="740">
        <v>7.0308608781491921E-2</v>
      </c>
      <c r="C41" s="741">
        <v>6.4099553037502144E-2</v>
      </c>
      <c r="D41" s="433">
        <v>9.9881105667954051E-2</v>
      </c>
      <c r="E41" s="741">
        <v>4.7372698773109123E-2</v>
      </c>
      <c r="F41" s="1480">
        <v>1.3060663344217405E-2</v>
      </c>
      <c r="G41" s="741">
        <v>3.0000000000000027E-2</v>
      </c>
      <c r="H41" s="433">
        <v>5.9372349448685302E-3</v>
      </c>
      <c r="I41" s="741">
        <v>9.1590341382181695E-3</v>
      </c>
      <c r="J41" s="1482"/>
      <c r="K41" s="1481">
        <v>-4.0000000000000001E-3</v>
      </c>
    </row>
    <row r="42" spans="1:11" ht="18" customHeight="1" thickBot="1">
      <c r="A42" s="1454">
        <v>2005</v>
      </c>
      <c r="B42" s="740">
        <v>1.8670777167897112E-2</v>
      </c>
      <c r="C42" s="741">
        <v>1.9029056323154769E-2</v>
      </c>
      <c r="D42" s="433">
        <v>2.9832202272288999E-2</v>
      </c>
      <c r="E42" s="741">
        <v>-1.773726673646614E-3</v>
      </c>
      <c r="F42" s="1480">
        <v>8.5665818490245904E-3</v>
      </c>
      <c r="G42" s="741">
        <v>7.9435127978817466E-3</v>
      </c>
      <c r="H42" s="433">
        <v>6.7453625632378778E-3</v>
      </c>
      <c r="I42" s="741">
        <v>1.2376237623762387E-2</v>
      </c>
      <c r="J42" s="364"/>
      <c r="K42" s="1481">
        <v>-2E-3</v>
      </c>
    </row>
    <row r="43" spans="1:11" ht="18" customHeight="1" thickBot="1">
      <c r="A43" s="1454">
        <v>2006</v>
      </c>
      <c r="B43" s="740">
        <v>3.8295836717208154E-2</v>
      </c>
      <c r="C43" s="741">
        <v>3.9686638831593068E-2</v>
      </c>
      <c r="D43" s="433">
        <v>4.4181569525866937E-2</v>
      </c>
      <c r="E43" s="741">
        <v>2.5962167298034355E-2</v>
      </c>
      <c r="F43" s="1480">
        <v>2.9349928517366175E-2</v>
      </c>
      <c r="G43" s="741">
        <v>-7.0052539404553693E-3</v>
      </c>
      <c r="H43" s="433">
        <v>3.6850921273031689E-2</v>
      </c>
      <c r="I43" s="741">
        <v>4.7269763651181629E-2</v>
      </c>
      <c r="J43" s="1482"/>
      <c r="K43" s="1481">
        <v>-3.0000000000000001E-3</v>
      </c>
    </row>
    <row r="44" spans="1:11" ht="21" customHeight="1" thickBot="1">
      <c r="A44" s="1454">
        <v>2007</v>
      </c>
      <c r="B44" s="740">
        <v>1.1387219675381033E-2</v>
      </c>
      <c r="C44" s="741">
        <v>9.0477579316117218E-3</v>
      </c>
      <c r="D44" s="433">
        <v>5.6352245330395512E-3</v>
      </c>
      <c r="E44" s="741">
        <v>-5.7730470864159056E-4</v>
      </c>
      <c r="F44" s="1480">
        <v>4.9019607843137081E-3</v>
      </c>
      <c r="G44" s="741">
        <v>-8.8183421516763172E-4</v>
      </c>
      <c r="H44" s="433">
        <v>8.0775444264944429E-3</v>
      </c>
      <c r="I44" s="741">
        <v>2.3346303501945442E-3</v>
      </c>
      <c r="J44" s="1482"/>
      <c r="K44" s="1481">
        <v>0</v>
      </c>
    </row>
    <row r="45" spans="1:11" ht="21" customHeight="1" thickBot="1">
      <c r="A45" s="1454">
        <v>2008</v>
      </c>
      <c r="B45" s="740">
        <v>-1.0083724776331904E-2</v>
      </c>
      <c r="C45" s="741">
        <v>-1.1190023949128935E-2</v>
      </c>
      <c r="D45" s="433">
        <v>-8.3619184298174831E-3</v>
      </c>
      <c r="E45" s="741">
        <v>-3.0446345836793287E-2</v>
      </c>
      <c r="F45" s="1480">
        <v>1.1382113821138296E-2</v>
      </c>
      <c r="G45" s="741">
        <v>9.7087378640776656E-3</v>
      </c>
      <c r="H45" s="433">
        <v>2.4038461538460343E-3</v>
      </c>
      <c r="I45" s="741">
        <v>2.4844720496894235E-2</v>
      </c>
      <c r="J45" s="1482"/>
      <c r="K45" s="1481">
        <v>0</v>
      </c>
    </row>
    <row r="46" spans="1:11" ht="21" customHeight="1" thickBot="1">
      <c r="A46" s="1454">
        <v>2009</v>
      </c>
      <c r="B46" s="740">
        <v>9.5971000919554683E-3</v>
      </c>
      <c r="C46" s="741">
        <v>3.5267163973076165E-3</v>
      </c>
      <c r="D46" s="433">
        <v>1.1085128258086829E-2</v>
      </c>
      <c r="E46" s="741">
        <v>-2.9434849766826199E-3</v>
      </c>
      <c r="F46" s="1480">
        <v>1.7684887459807008E-2</v>
      </c>
      <c r="G46" s="741">
        <v>-8.7412587412594167E-4</v>
      </c>
      <c r="H46" s="433">
        <v>2.1582733812949728E-2</v>
      </c>
      <c r="I46" s="741">
        <v>2.7272727272727337E-2</v>
      </c>
      <c r="J46" s="1482"/>
      <c r="K46" s="1481">
        <v>-1E-3</v>
      </c>
    </row>
    <row r="47" spans="1:11" ht="21" customHeight="1" thickBot="1">
      <c r="A47" s="1454">
        <v>2010</v>
      </c>
      <c r="B47" s="740">
        <v>8.5762640048591354E-2</v>
      </c>
      <c r="C47" s="741">
        <v>8.1071878338242698E-2</v>
      </c>
      <c r="D47" s="433">
        <v>0.11261552428490584</v>
      </c>
      <c r="E47" s="741">
        <v>8.3755513111132718E-2</v>
      </c>
      <c r="F47" s="1480">
        <v>6.4770932069510456E-2</v>
      </c>
      <c r="G47" s="741">
        <v>5.4243219597550407E-2</v>
      </c>
      <c r="H47" s="433">
        <v>6.7292644757433573E-2</v>
      </c>
      <c r="I47" s="741">
        <v>7.0796460176991038E-2</v>
      </c>
      <c r="J47" s="1482"/>
      <c r="K47" s="1481">
        <v>-6.0000000000000001E-3</v>
      </c>
    </row>
    <row r="48" spans="1:11" ht="21" customHeight="1" thickBot="1">
      <c r="A48" s="1454">
        <v>2011</v>
      </c>
      <c r="B48" s="740">
        <v>6.0312123746574242E-2</v>
      </c>
      <c r="C48" s="741">
        <v>5.4999272111116992E-2</v>
      </c>
      <c r="D48" s="433">
        <v>9.7684742513136857E-2</v>
      </c>
      <c r="E48" s="741">
        <v>5.4149605416055513E-2</v>
      </c>
      <c r="F48" s="1480">
        <v>4.8219584569732854E-2</v>
      </c>
      <c r="G48" s="741">
        <v>3.4854771784232463E-2</v>
      </c>
      <c r="H48" s="433">
        <v>5.0586510263929574E-2</v>
      </c>
      <c r="I48" s="741">
        <v>5.4407713498622723E-2</v>
      </c>
      <c r="J48" s="1482"/>
      <c r="K48" s="1481">
        <v>-4.0000000000000001E-3</v>
      </c>
    </row>
    <row r="49" spans="1:11" ht="21" customHeight="1" thickBot="1">
      <c r="A49" s="1454">
        <v>2012</v>
      </c>
      <c r="B49" s="740">
        <v>2.3216585071615725E-2</v>
      </c>
      <c r="C49" s="741">
        <v>1.9570842336640748E-2</v>
      </c>
      <c r="D49" s="433">
        <v>4.4300222046003146E-2</v>
      </c>
      <c r="E49" s="741">
        <v>2.1358496914875236E-2</v>
      </c>
      <c r="F49" s="1480">
        <v>9.9079971691435897E-3</v>
      </c>
      <c r="G49" s="741">
        <v>-7.2173215717723505E-3</v>
      </c>
      <c r="H49" s="433">
        <v>1.6050244242846956E-2</v>
      </c>
      <c r="I49" s="741">
        <v>1.4369693011103912E-2</v>
      </c>
      <c r="J49" s="1482"/>
      <c r="K49" s="1481">
        <v>-2E-3</v>
      </c>
    </row>
    <row r="50" spans="1:11" s="200" customFormat="1" ht="21" customHeight="1" thickBot="1">
      <c r="A50" s="1460">
        <v>2013</v>
      </c>
      <c r="B50" s="1483">
        <v>9.7500215382970712E-3</v>
      </c>
      <c r="C50" s="1484">
        <v>7.7607040252520854E-3</v>
      </c>
      <c r="D50" s="1485">
        <v>2.5758325173441454E-2</v>
      </c>
      <c r="E50" s="1484">
        <v>-6.1045020580774434E-3</v>
      </c>
      <c r="F50" s="1486">
        <v>1.5416958654520085E-2</v>
      </c>
      <c r="G50" s="1484">
        <v>-8.0775444264935548E-4</v>
      </c>
      <c r="H50" s="1485">
        <v>2.1291208791208716E-2</v>
      </c>
      <c r="I50" s="1484">
        <v>1.8029620090147969E-2</v>
      </c>
      <c r="J50" s="1487"/>
      <c r="K50" s="1488">
        <v>-1E-3</v>
      </c>
    </row>
    <row r="51" spans="1:11" s="185" customFormat="1" ht="22.75" customHeight="1" thickBot="1">
      <c r="A51" s="1465" t="s">
        <v>2153</v>
      </c>
      <c r="B51" s="1489">
        <v>2.3699999999999999E-2</v>
      </c>
      <c r="C51" s="1490" t="s">
        <v>153</v>
      </c>
      <c r="D51" s="1491" t="s">
        <v>153</v>
      </c>
      <c r="E51" s="1490" t="s">
        <v>153</v>
      </c>
      <c r="F51" s="1492">
        <v>-0.10351966873706009</v>
      </c>
      <c r="G51" s="1490">
        <v>-0.26919967663702504</v>
      </c>
      <c r="H51" s="438">
        <v>-3.2279757901815587E-2</v>
      </c>
      <c r="I51" s="486">
        <v>-2.7197975964579291E-2</v>
      </c>
      <c r="J51" s="295"/>
      <c r="K51" s="438">
        <v>1E-3</v>
      </c>
    </row>
    <row r="52" spans="1:11" ht="19.25" customHeight="1" thickBot="1">
      <c r="A52" s="1493"/>
      <c r="B52" s="1494"/>
      <c r="C52" s="1494"/>
      <c r="D52" s="1494"/>
      <c r="E52" s="1494"/>
      <c r="F52" s="1494"/>
      <c r="G52" s="1494"/>
    </row>
    <row r="53" spans="1:11" ht="44.5" customHeight="1" thickBot="1">
      <c r="A53" s="1439" t="s">
        <v>2154</v>
      </c>
      <c r="B53" s="1440">
        <v>3.1306621734272344E-2</v>
      </c>
      <c r="C53" s="1441">
        <v>2.8372926921826247E-2</v>
      </c>
      <c r="D53" s="1440">
        <v>4.5481324195835837E-2</v>
      </c>
      <c r="E53" s="1441">
        <v>1.8557362188635462E-2</v>
      </c>
      <c r="F53" s="1495">
        <v>2.2160285907269373E-2</v>
      </c>
      <c r="G53" s="1441">
        <v>1.1807050737592251E-2</v>
      </c>
      <c r="H53" s="1440">
        <v>2.3480838696553485E-2</v>
      </c>
      <c r="I53" s="1441">
        <v>2.7871646259059801E-2</v>
      </c>
    </row>
    <row r="54" spans="1:11" ht="17.25" customHeight="1">
      <c r="A54" s="1493" t="s">
        <v>2160</v>
      </c>
      <c r="B54" s="1453"/>
      <c r="C54" s="1453"/>
      <c r="D54" s="1453"/>
      <c r="E54" s="1453"/>
      <c r="F54" s="1453"/>
      <c r="G54" s="1453"/>
    </row>
    <row r="55" spans="1:11" ht="15" customHeight="1">
      <c r="A55" s="1496"/>
      <c r="B55" s="1453"/>
      <c r="C55" s="1453"/>
      <c r="D55" s="1453"/>
      <c r="E55" s="1453"/>
      <c r="F55" s="1453"/>
      <c r="G55" s="1453"/>
    </row>
    <row r="56" spans="1:11" ht="14.25" customHeight="1">
      <c r="A56" s="1496" t="s">
        <v>2155</v>
      </c>
      <c r="B56" s="1453"/>
      <c r="C56" s="1453"/>
      <c r="D56" s="1453"/>
      <c r="E56" s="1453"/>
      <c r="F56" s="1453"/>
      <c r="G56" s="1453"/>
    </row>
    <row r="57" spans="1:11" ht="15" customHeight="1">
      <c r="A57" s="1497" t="s">
        <v>2156</v>
      </c>
      <c r="B57"/>
      <c r="C57"/>
      <c r="D57"/>
      <c r="E57"/>
      <c r="F57"/>
      <c r="G57"/>
      <c r="I57" s="367"/>
    </row>
    <row r="58" spans="1:11" ht="15.75" customHeight="1">
      <c r="A58" s="17" t="s">
        <v>2157</v>
      </c>
      <c r="B58" s="1498"/>
      <c r="C58" s="1498"/>
      <c r="D58" s="1498"/>
      <c r="E58" s="1498"/>
      <c r="F58" s="1498"/>
      <c r="G58" s="1498"/>
      <c r="I58" s="649"/>
    </row>
    <row r="59" spans="1:11" ht="15" customHeight="1">
      <c r="A59" s="1496" t="s">
        <v>2158</v>
      </c>
      <c r="B59" s="1498"/>
      <c r="C59" s="1498"/>
      <c r="D59" s="1498"/>
      <c r="E59" s="1498"/>
      <c r="F59" s="1498"/>
      <c r="G59" s="1498"/>
    </row>
    <row r="60" spans="1:11" ht="15" customHeight="1">
      <c r="A60" s="1496" t="s">
        <v>2159</v>
      </c>
      <c r="B60" s="1498"/>
      <c r="C60" s="1498"/>
      <c r="D60" s="1498"/>
      <c r="E60" s="1498"/>
      <c r="F60" s="1498"/>
      <c r="G60" s="1498"/>
    </row>
    <row r="61" spans="1:11" ht="15.75" customHeight="1">
      <c r="A61" s="17"/>
      <c r="B61" s="1498"/>
      <c r="C61" s="1498"/>
      <c r="D61" s="1498"/>
      <c r="E61" s="1498"/>
      <c r="F61" s="1498"/>
      <c r="G61" s="1498"/>
      <c r="I61" s="367"/>
    </row>
    <row r="62" spans="1:11" ht="15" customHeight="1">
      <c r="A62" s="1496"/>
      <c r="B62" s="1498"/>
      <c r="C62" s="1498"/>
      <c r="D62" s="1498"/>
      <c r="E62" s="1498"/>
      <c r="F62" s="1498"/>
      <c r="G62" s="1498"/>
    </row>
    <row r="63" spans="1:11" ht="16.5" customHeight="1">
      <c r="A63" s="17" t="s">
        <v>302</v>
      </c>
      <c r="B63" s="1498"/>
      <c r="C63" s="1498"/>
      <c r="D63" s="1498"/>
      <c r="E63" s="1498"/>
      <c r="F63" s="1498"/>
      <c r="G63" s="1498"/>
    </row>
    <row r="64" spans="1:11" ht="31" customHeight="1">
      <c r="A64" s="17"/>
      <c r="B64" s="1498"/>
      <c r="C64" s="1498"/>
      <c r="D64" s="1498"/>
      <c r="E64" s="1498"/>
      <c r="F64" s="1498"/>
      <c r="G64" s="1498"/>
    </row>
    <row r="65" spans="1:7" ht="31" customHeight="1">
      <c r="A65" s="17"/>
      <c r="B65" s="1498"/>
      <c r="C65" s="1498"/>
      <c r="D65" s="1498"/>
      <c r="E65" s="1498"/>
      <c r="F65" s="1498"/>
      <c r="G65" s="1498"/>
    </row>
    <row r="66" spans="1:7">
      <c r="A66" s="17"/>
      <c r="B66" s="1498"/>
      <c r="C66" s="1498"/>
      <c r="D66" s="1498"/>
      <c r="E66" s="1498"/>
      <c r="F66" s="1498"/>
      <c r="G66" s="1498"/>
    </row>
    <row r="67" spans="1:7">
      <c r="A67" s="17"/>
      <c r="B67" s="1498"/>
      <c r="C67" s="1498"/>
      <c r="D67" s="1498"/>
      <c r="E67" s="1498"/>
      <c r="F67" s="1498"/>
      <c r="G67" s="1498"/>
    </row>
    <row r="68" spans="1:7">
      <c r="A68" s="17"/>
      <c r="B68" s="1498"/>
      <c r="C68" s="1498"/>
      <c r="D68" s="1498"/>
      <c r="E68" s="1498"/>
      <c r="F68" s="1498"/>
      <c r="G68" s="1498"/>
    </row>
    <row r="69" spans="1:7">
      <c r="A69" s="17"/>
      <c r="B69" s="1498"/>
      <c r="C69" s="1498"/>
      <c r="D69" s="1498"/>
      <c r="E69" s="1498"/>
      <c r="F69" s="1498"/>
      <c r="G69" s="1498"/>
    </row>
    <row r="70" spans="1:7">
      <c r="A70" s="17"/>
      <c r="B70" s="1498"/>
      <c r="C70" s="1498"/>
      <c r="D70" s="1498"/>
      <c r="E70" s="1498"/>
      <c r="F70" s="1498"/>
      <c r="G70" s="1498"/>
    </row>
    <row r="71" spans="1:7">
      <c r="A71" s="17"/>
      <c r="B71" s="1498"/>
      <c r="C71" s="1498"/>
      <c r="D71" s="1498"/>
      <c r="E71" s="1498"/>
      <c r="F71" s="1498"/>
      <c r="G71" s="1498"/>
    </row>
    <row r="72" spans="1:7">
      <c r="A72" s="17"/>
      <c r="B72" s="1498"/>
      <c r="C72" s="1498"/>
      <c r="D72" s="1498"/>
      <c r="E72" s="1498"/>
      <c r="F72" s="1498"/>
      <c r="G72" s="1498"/>
    </row>
    <row r="73" spans="1:7">
      <c r="A73" s="17"/>
      <c r="B73" s="1498"/>
      <c r="C73" s="1498"/>
      <c r="D73" s="1498"/>
      <c r="E73" s="1498"/>
      <c r="F73" s="1498"/>
      <c r="G73" s="1498"/>
    </row>
    <row r="74" spans="1:7">
      <c r="A74" s="17"/>
      <c r="B74" s="1498"/>
      <c r="C74" s="1498"/>
      <c r="D74" s="1498"/>
      <c r="E74" s="1498"/>
      <c r="F74" s="1498"/>
      <c r="G74" s="1498"/>
    </row>
    <row r="75" spans="1:7">
      <c r="A75" s="17"/>
      <c r="B75" s="1498"/>
      <c r="C75" s="1498"/>
      <c r="D75" s="1498"/>
      <c r="E75" s="1498"/>
      <c r="F75" s="1498"/>
      <c r="G75" s="1498"/>
    </row>
    <row r="76" spans="1:7">
      <c r="A76" s="17"/>
      <c r="B76" s="1498"/>
      <c r="C76" s="1498"/>
      <c r="D76" s="1498"/>
      <c r="E76" s="1498"/>
      <c r="F76" s="1498"/>
      <c r="G76" s="1498"/>
    </row>
    <row r="77" spans="1:7">
      <c r="A77" s="17"/>
      <c r="B77" s="1498"/>
      <c r="C77" s="1498"/>
      <c r="D77" s="1498"/>
      <c r="E77" s="1498"/>
      <c r="F77" s="1498"/>
      <c r="G77" s="1498"/>
    </row>
    <row r="78" spans="1:7">
      <c r="A78" s="17"/>
      <c r="B78" s="1498"/>
      <c r="C78" s="1498"/>
      <c r="D78" s="1498"/>
      <c r="E78" s="1498"/>
      <c r="F78" s="1498"/>
      <c r="G78" s="1498"/>
    </row>
  </sheetData>
  <pageMargins left="0.46" right="0.44" top="0.67" bottom="0.68" header="0.41" footer="0.33"/>
  <pageSetup paperSize="9" scale="66" orientation="portrait" horizontalDpi="1200" verticalDpi="1200"/>
  <headerFooter alignWithMargins="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782C-6ED1-4A45-8815-E2C00FBEDD16}">
  <sheetPr>
    <pageSetUpPr fitToPage="1"/>
  </sheetPr>
  <dimension ref="A1:O41"/>
  <sheetViews>
    <sheetView zoomScaleNormal="100" workbookViewId="0"/>
  </sheetViews>
  <sheetFormatPr baseColWidth="10" defaultColWidth="11.3984375" defaultRowHeight="13"/>
  <cols>
    <col min="1" max="1" width="17.3984375" style="3" customWidth="1"/>
    <col min="2" max="2" width="13.3984375" style="201" customWidth="1"/>
    <col min="3" max="3" width="13" style="201" customWidth="1"/>
    <col min="4" max="4" width="14.796875" style="201" customWidth="1"/>
    <col min="5" max="5" width="13.19921875" style="201" customWidth="1"/>
    <col min="6" max="6" width="15" style="201" customWidth="1"/>
    <col min="7" max="7" width="12.796875" style="201" customWidth="1"/>
    <col min="8" max="8" width="13.3984375" style="201" customWidth="1"/>
    <col min="9" max="10" width="13" style="201" customWidth="1"/>
    <col min="11" max="11" width="13.3984375" style="201" customWidth="1"/>
    <col min="12" max="12" width="12.59765625" style="3" customWidth="1"/>
    <col min="13" max="13" width="14" style="3" customWidth="1"/>
    <col min="14" max="15" width="12.3984375" style="3" customWidth="1"/>
    <col min="16" max="16384" width="11.3984375" style="3"/>
  </cols>
  <sheetData>
    <row r="1" spans="1:15" s="1" customFormat="1" ht="14" customHeight="1">
      <c r="A1" s="191"/>
      <c r="B1" s="1425"/>
      <c r="C1" s="1425"/>
      <c r="D1" s="1425"/>
      <c r="E1" s="1425"/>
      <c r="F1" s="1425"/>
      <c r="G1" s="1425"/>
      <c r="H1" s="1425"/>
      <c r="I1" s="1425"/>
      <c r="J1" s="1425"/>
      <c r="K1" s="1425"/>
    </row>
    <row r="2" spans="1:15" s="1" customFormat="1" ht="27" customHeight="1">
      <c r="A2" s="570" t="s">
        <v>2285</v>
      </c>
      <c r="B2" s="360"/>
      <c r="C2" s="360"/>
      <c r="D2" s="360"/>
      <c r="E2" s="360"/>
      <c r="F2" s="360"/>
      <c r="G2" s="360"/>
      <c r="H2" s="360"/>
      <c r="I2" s="360"/>
      <c r="J2" s="360"/>
      <c r="K2" s="327"/>
      <c r="M2" s="327"/>
    </row>
    <row r="3" spans="1:15" s="328" customFormat="1" ht="27" customHeight="1">
      <c r="A3" s="224" t="s">
        <v>460</v>
      </c>
      <c r="B3" s="267" t="s">
        <v>2286</v>
      </c>
      <c r="C3" s="305" t="s">
        <v>475</v>
      </c>
      <c r="D3" s="267" t="s">
        <v>2287</v>
      </c>
      <c r="E3" s="305" t="s">
        <v>475</v>
      </c>
      <c r="F3" s="267" t="s">
        <v>2288</v>
      </c>
      <c r="G3" s="305" t="s">
        <v>475</v>
      </c>
      <c r="H3" s="267" t="s">
        <v>2289</v>
      </c>
      <c r="I3" s="305" t="s">
        <v>475</v>
      </c>
      <c r="J3" s="267" t="s">
        <v>1506</v>
      </c>
      <c r="K3" s="305" t="s">
        <v>475</v>
      </c>
      <c r="L3" s="267" t="s">
        <v>2290</v>
      </c>
      <c r="M3" s="305" t="s">
        <v>475</v>
      </c>
      <c r="N3" s="267" t="s">
        <v>1505</v>
      </c>
      <c r="O3" s="305" t="s">
        <v>475</v>
      </c>
    </row>
    <row r="4" spans="1:15" s="328" customFormat="1" ht="19.5" customHeight="1">
      <c r="A4" s="269"/>
      <c r="B4" s="270" t="s">
        <v>2291</v>
      </c>
      <c r="C4" s="306" t="s">
        <v>476</v>
      </c>
      <c r="D4" s="270" t="s">
        <v>2292</v>
      </c>
      <c r="E4" s="306" t="s">
        <v>476</v>
      </c>
      <c r="F4" s="270" t="s">
        <v>2293</v>
      </c>
      <c r="G4" s="306" t="s">
        <v>476</v>
      </c>
      <c r="H4" s="270" t="s">
        <v>1383</v>
      </c>
      <c r="I4" s="306" t="s">
        <v>476</v>
      </c>
      <c r="J4" s="270" t="s">
        <v>1521</v>
      </c>
      <c r="K4" s="306" t="s">
        <v>476</v>
      </c>
      <c r="L4" s="270" t="s">
        <v>2294</v>
      </c>
      <c r="M4" s="306" t="s">
        <v>476</v>
      </c>
      <c r="N4" s="270" t="s">
        <v>1520</v>
      </c>
      <c r="O4" s="306" t="s">
        <v>476</v>
      </c>
    </row>
    <row r="5" spans="1:15" s="328" customFormat="1" ht="19.5" customHeight="1">
      <c r="A5" s="269"/>
      <c r="B5" s="270" t="s">
        <v>2295</v>
      </c>
      <c r="C5" s="306" t="s">
        <v>477</v>
      </c>
      <c r="D5" s="270" t="s">
        <v>2296</v>
      </c>
      <c r="E5" s="306" t="s">
        <v>477</v>
      </c>
      <c r="F5" s="270" t="s">
        <v>2297</v>
      </c>
      <c r="G5" s="306" t="s">
        <v>477</v>
      </c>
      <c r="H5" s="270"/>
      <c r="I5" s="306" t="s">
        <v>477</v>
      </c>
      <c r="J5" s="270" t="s">
        <v>2298</v>
      </c>
      <c r="K5" s="306" t="s">
        <v>477</v>
      </c>
      <c r="L5" s="270" t="s">
        <v>2299</v>
      </c>
      <c r="M5" s="306" t="s">
        <v>477</v>
      </c>
      <c r="N5" s="270" t="s">
        <v>2300</v>
      </c>
      <c r="O5" s="306" t="s">
        <v>477</v>
      </c>
    </row>
    <row r="6" spans="1:15" ht="33.75" customHeight="1">
      <c r="A6" s="227"/>
      <c r="B6" s="274" t="s">
        <v>2301</v>
      </c>
      <c r="C6" s="307"/>
      <c r="D6" s="274"/>
      <c r="E6" s="307"/>
      <c r="F6" s="274" t="s">
        <v>2302</v>
      </c>
      <c r="G6" s="307"/>
      <c r="H6" s="274" t="s">
        <v>2303</v>
      </c>
      <c r="I6" s="307"/>
      <c r="J6" s="274" t="s">
        <v>2304</v>
      </c>
      <c r="K6" s="307"/>
      <c r="L6" s="274"/>
      <c r="M6" s="307"/>
      <c r="N6" s="274" t="s">
        <v>2305</v>
      </c>
      <c r="O6" s="307"/>
    </row>
    <row r="7" spans="1:15" ht="21" customHeight="1" thickBot="1">
      <c r="A7" s="316">
        <v>1996</v>
      </c>
      <c r="B7" s="278">
        <v>100</v>
      </c>
      <c r="C7" s="308" t="s">
        <v>1858</v>
      </c>
      <c r="D7" s="278">
        <v>100</v>
      </c>
      <c r="E7" s="308" t="s">
        <v>1858</v>
      </c>
      <c r="F7" s="278">
        <v>100</v>
      </c>
      <c r="G7" s="308" t="s">
        <v>1858</v>
      </c>
      <c r="H7" s="278">
        <v>100</v>
      </c>
      <c r="I7" s="308" t="s">
        <v>1858</v>
      </c>
      <c r="J7" s="278">
        <v>100</v>
      </c>
      <c r="K7" s="308" t="s">
        <v>1858</v>
      </c>
      <c r="L7" s="278">
        <v>100</v>
      </c>
      <c r="M7" s="308" t="s">
        <v>1858</v>
      </c>
      <c r="N7" s="278">
        <v>100</v>
      </c>
      <c r="O7" s="308" t="s">
        <v>1858</v>
      </c>
    </row>
    <row r="8" spans="1:15" ht="20.25" customHeight="1" thickBot="1">
      <c r="A8" s="319">
        <v>1997</v>
      </c>
      <c r="B8" s="281">
        <v>105.39794339791686</v>
      </c>
      <c r="C8" s="309">
        <v>5.3979433979168601E-2</v>
      </c>
      <c r="D8" s="281">
        <v>101.86202823875851</v>
      </c>
      <c r="E8" s="309">
        <v>1.8620282387585174E-2</v>
      </c>
      <c r="F8" s="281">
        <v>107.8243544179355</v>
      </c>
      <c r="G8" s="309">
        <v>7.8243544179354974E-2</v>
      </c>
      <c r="H8" s="281">
        <v>108.11940689335901</v>
      </c>
      <c r="I8" s="309">
        <v>8.1194068933590158E-2</v>
      </c>
      <c r="J8" s="281">
        <v>105.86780210602365</v>
      </c>
      <c r="K8" s="309">
        <v>5.8678021060236452E-2</v>
      </c>
      <c r="L8" s="281">
        <v>100.47120418848168</v>
      </c>
      <c r="M8" s="309">
        <v>4.7120418848167755E-3</v>
      </c>
      <c r="N8" s="281">
        <v>105.32478620076284</v>
      </c>
      <c r="O8" s="309">
        <v>5.3247862007628433E-2</v>
      </c>
    </row>
    <row r="9" spans="1:15" ht="20.25" customHeight="1" thickBot="1">
      <c r="A9" s="319">
        <v>1998</v>
      </c>
      <c r="B9" s="281">
        <v>112.34514562910323</v>
      </c>
      <c r="C9" s="309">
        <v>6.5914020778926163E-2</v>
      </c>
      <c r="D9" s="281">
        <v>105.86830875441009</v>
      </c>
      <c r="E9" s="309">
        <v>3.9330460868706618E-2</v>
      </c>
      <c r="F9" s="281">
        <v>115.36251956603556</v>
      </c>
      <c r="G9" s="309">
        <v>6.9911525914466033E-2</v>
      </c>
      <c r="H9" s="281">
        <v>113.95377021303325</v>
      </c>
      <c r="I9" s="309">
        <v>5.3962220912188608E-2</v>
      </c>
      <c r="J9" s="281">
        <v>124.70421988413921</v>
      </c>
      <c r="K9" s="309">
        <v>0.17792395235759617</v>
      </c>
      <c r="L9" s="281">
        <v>101.15183246073298</v>
      </c>
      <c r="M9" s="309">
        <v>6.774361646690874E-3</v>
      </c>
      <c r="N9" s="281">
        <v>110.42083260410833</v>
      </c>
      <c r="O9" s="309">
        <v>4.8384113437759613E-2</v>
      </c>
    </row>
    <row r="10" spans="1:15" ht="20.25" customHeight="1" thickBot="1">
      <c r="A10" s="319">
        <v>1999</v>
      </c>
      <c r="B10" s="281">
        <v>116.73767747746584</v>
      </c>
      <c r="C10" s="309">
        <v>3.9098546036551829E-2</v>
      </c>
      <c r="D10" s="281">
        <v>108.76544952296268</v>
      </c>
      <c r="E10" s="309">
        <v>2.7365514785669065E-2</v>
      </c>
      <c r="F10" s="281">
        <v>118.23129090839484</v>
      </c>
      <c r="G10" s="309">
        <v>2.4867447010960442E-2</v>
      </c>
      <c r="H10" s="281">
        <v>116.48898292114663</v>
      </c>
      <c r="I10" s="309">
        <v>2.2247729964299356E-2</v>
      </c>
      <c r="J10" s="281">
        <v>129.78488562275899</v>
      </c>
      <c r="K10" s="309">
        <v>4.0741730659476838E-2</v>
      </c>
      <c r="L10" s="281">
        <v>101.46596858638743</v>
      </c>
      <c r="M10" s="309">
        <v>3.1055900621119736E-3</v>
      </c>
      <c r="N10" s="281">
        <v>114.70622171826312</v>
      </c>
      <c r="O10" s="309">
        <v>3.8809606965374055E-2</v>
      </c>
    </row>
    <row r="11" spans="1:15" ht="20.25" customHeight="1" thickBot="1">
      <c r="A11" s="319">
        <v>2000</v>
      </c>
      <c r="B11" s="281">
        <v>123.67905954399367</v>
      </c>
      <c r="C11" s="309">
        <v>5.9461368570295159E-2</v>
      </c>
      <c r="D11" s="281">
        <v>112.70035278561646</v>
      </c>
      <c r="E11" s="309">
        <v>3.6177878912025507E-2</v>
      </c>
      <c r="F11" s="281">
        <v>122.25148214575734</v>
      </c>
      <c r="G11" s="309">
        <v>3.4002768695787333E-2</v>
      </c>
      <c r="H11" s="281">
        <v>120.22317736531187</v>
      </c>
      <c r="I11" s="309">
        <v>3.2056202659894284E-2</v>
      </c>
      <c r="J11" s="281">
        <v>135.7015791217149</v>
      </c>
      <c r="K11" s="309">
        <v>4.5588463329649498E-2</v>
      </c>
      <c r="L11" s="281">
        <v>102.77486910994764</v>
      </c>
      <c r="M11" s="309">
        <v>1.2899896800825594E-2</v>
      </c>
      <c r="N11" s="281">
        <v>121.80714822286554</v>
      </c>
      <c r="O11" s="309">
        <v>6.1905329965827205E-2</v>
      </c>
    </row>
    <row r="12" spans="1:15" ht="20.25" customHeight="1" thickBot="1">
      <c r="A12" s="319">
        <v>2001</v>
      </c>
      <c r="B12" s="281">
        <v>130.2910910770666</v>
      </c>
      <c r="C12" s="309">
        <v>5.3461204810673513E-2</v>
      </c>
      <c r="D12" s="281">
        <v>119.03449432568512</v>
      </c>
      <c r="E12" s="309">
        <v>5.6203386977126346E-2</v>
      </c>
      <c r="F12" s="281">
        <v>126.81505316810784</v>
      </c>
      <c r="G12" s="309">
        <v>3.7329371736446237E-2</v>
      </c>
      <c r="H12" s="281">
        <v>124.57722094978531</v>
      </c>
      <c r="I12" s="309">
        <v>3.6216340974279726E-2</v>
      </c>
      <c r="J12" s="281">
        <v>141.65456872934899</v>
      </c>
      <c r="K12" s="309">
        <v>4.3868241225805349E-2</v>
      </c>
      <c r="L12" s="281">
        <v>105.28795811518326</v>
      </c>
      <c r="M12" s="309">
        <v>2.4452368823229875E-2</v>
      </c>
      <c r="N12" s="281">
        <v>128.52179281376732</v>
      </c>
      <c r="O12" s="309">
        <v>5.5125209717711066E-2</v>
      </c>
    </row>
    <row r="13" spans="1:15" ht="20.25" customHeight="1" thickBot="1">
      <c r="A13" s="319">
        <v>2002</v>
      </c>
      <c r="B13" s="281">
        <v>135.12284583994762</v>
      </c>
      <c r="C13" s="309">
        <v>3.7084306554951318E-2</v>
      </c>
      <c r="D13" s="281">
        <v>122.30444994955147</v>
      </c>
      <c r="E13" s="309">
        <v>2.7470655816116407E-2</v>
      </c>
      <c r="F13" s="281">
        <v>137.28928000877301</v>
      </c>
      <c r="G13" s="309">
        <v>8.2594507347486523E-2</v>
      </c>
      <c r="H13" s="281">
        <v>135.84965392132474</v>
      </c>
      <c r="I13" s="309">
        <v>9.0485506785250358E-2</v>
      </c>
      <c r="J13" s="281">
        <v>146.83573016358903</v>
      </c>
      <c r="K13" s="309">
        <v>3.6576027732218019E-2</v>
      </c>
      <c r="L13" s="281">
        <v>107.17277486910994</v>
      </c>
      <c r="M13" s="309">
        <v>1.7901541521630815E-2</v>
      </c>
      <c r="N13" s="281">
        <v>133.29917496812052</v>
      </c>
      <c r="O13" s="309">
        <v>3.7171767135833589E-2</v>
      </c>
    </row>
    <row r="14" spans="1:15" ht="20.25" customHeight="1" thickBot="1">
      <c r="A14" s="319">
        <v>2003</v>
      </c>
      <c r="B14" s="281">
        <v>141.13594015958546</v>
      </c>
      <c r="C14" s="309">
        <v>4.4500944916156637E-2</v>
      </c>
      <c r="D14" s="281">
        <v>126.16400951454192</v>
      </c>
      <c r="E14" s="309">
        <v>3.1556983957512941E-2</v>
      </c>
      <c r="F14" s="281">
        <v>148.64710880687124</v>
      </c>
      <c r="G14" s="309">
        <v>8.2729174465569821E-2</v>
      </c>
      <c r="H14" s="281">
        <v>148.24891293481085</v>
      </c>
      <c r="I14" s="309">
        <v>9.1271921978299142E-2</v>
      </c>
      <c r="J14" s="281">
        <v>151.28762572832832</v>
      </c>
      <c r="K14" s="309">
        <v>3.0318884645988087E-2</v>
      </c>
      <c r="L14" s="281">
        <v>108.6910994764398</v>
      </c>
      <c r="M14" s="309">
        <v>1.4167073766487626E-2</v>
      </c>
      <c r="N14" s="281">
        <v>139.55532245127495</v>
      </c>
      <c r="O14" s="309">
        <v>4.6933129816074448E-2</v>
      </c>
    </row>
    <row r="15" spans="1:15" ht="20.25" customHeight="1" thickBot="1">
      <c r="A15" s="319">
        <v>2004</v>
      </c>
      <c r="B15" s="281">
        <v>150.48255750594851</v>
      </c>
      <c r="C15" s="309">
        <v>6.6224218549822522E-2</v>
      </c>
      <c r="D15" s="281">
        <v>129.76680025721751</v>
      </c>
      <c r="E15" s="309">
        <v>2.8556406510371168E-2</v>
      </c>
      <c r="F15" s="281">
        <v>159.53922129347404</v>
      </c>
      <c r="G15" s="309">
        <v>7.3274970324207933E-2</v>
      </c>
      <c r="H15" s="281">
        <v>158.6720877566259</v>
      </c>
      <c r="I15" s="309">
        <v>7.0308608781491699E-2</v>
      </c>
      <c r="J15" s="281">
        <v>165.28935819309285</v>
      </c>
      <c r="K15" s="309">
        <v>9.2550414466202602E-2</v>
      </c>
      <c r="L15" s="281">
        <v>109.68586387434556</v>
      </c>
      <c r="M15" s="309">
        <v>9.1522157996146714E-3</v>
      </c>
      <c r="N15" s="281">
        <v>148.17711435357148</v>
      </c>
      <c r="O15" s="309">
        <v>6.1780459181747016E-2</v>
      </c>
    </row>
    <row r="16" spans="1:15" ht="20.25" customHeight="1" thickBot="1">
      <c r="A16" s="319">
        <v>2005</v>
      </c>
      <c r="B16" s="281">
        <v>158.85411997758723</v>
      </c>
      <c r="C16" s="309">
        <v>5.5631447327759487E-2</v>
      </c>
      <c r="D16" s="281">
        <v>131.56863292998989</v>
      </c>
      <c r="E16" s="309">
        <v>1.3885159140865522E-2</v>
      </c>
      <c r="F16" s="281">
        <v>163.19650081000955</v>
      </c>
      <c r="G16" s="309">
        <v>2.2924015090984406E-2</v>
      </c>
      <c r="H16" s="281">
        <v>161.63461894989487</v>
      </c>
      <c r="I16" s="309">
        <v>1.8670777167897112E-2</v>
      </c>
      <c r="J16" s="281">
        <v>173.55365358411964</v>
      </c>
      <c r="K16" s="309">
        <v>4.9998956262945482E-2</v>
      </c>
      <c r="L16" s="281">
        <v>110.73298429319371</v>
      </c>
      <c r="M16" s="309">
        <v>9.5465393794746944E-3</v>
      </c>
      <c r="N16" s="281">
        <v>156.56555204739018</v>
      </c>
      <c r="O16" s="309">
        <v>5.6610885766088748E-2</v>
      </c>
    </row>
    <row r="17" spans="1:15" ht="20.25" customHeight="1" thickBot="1">
      <c r="A17" s="319">
        <v>2006</v>
      </c>
      <c r="B17" s="281">
        <v>159.92892738162934</v>
      </c>
      <c r="C17" s="309">
        <v>6.7660026960192354E-3</v>
      </c>
      <c r="D17" s="281">
        <v>132.42007975142448</v>
      </c>
      <c r="E17" s="309">
        <v>6.4715031423003833E-3</v>
      </c>
      <c r="F17" s="281">
        <v>168.77599451425854</v>
      </c>
      <c r="G17" s="309">
        <v>3.4188807214344141E-2</v>
      </c>
      <c r="H17" s="281">
        <v>167.82455192504821</v>
      </c>
      <c r="I17" s="309">
        <v>3.8295836717208154E-2</v>
      </c>
      <c r="J17" s="281">
        <v>175.08520169816336</v>
      </c>
      <c r="K17" s="309">
        <v>8.8246376979981278E-3</v>
      </c>
      <c r="L17" s="281">
        <v>112.04188481675392</v>
      </c>
      <c r="M17" s="309">
        <v>1.1820330969267268E-2</v>
      </c>
      <c r="N17" s="281">
        <v>157.56912262112198</v>
      </c>
      <c r="O17" s="309">
        <v>6.409906653208175E-3</v>
      </c>
    </row>
    <row r="18" spans="1:15" ht="20.25" customHeight="1" thickBot="1">
      <c r="A18" s="319">
        <v>2007</v>
      </c>
      <c r="B18" s="281">
        <v>166.19096335942064</v>
      </c>
      <c r="C18" s="309">
        <v>3.915511771581226E-2</v>
      </c>
      <c r="D18" s="281">
        <v>137.4374713918709</v>
      </c>
      <c r="E18" s="309">
        <v>3.7889960871983597E-2</v>
      </c>
      <c r="F18" s="281">
        <v>171.12819099456249</v>
      </c>
      <c r="G18" s="309">
        <v>1.3936795259738455E-2</v>
      </c>
      <c r="H18" s="281">
        <v>169.73560696474115</v>
      </c>
      <c r="I18" s="309">
        <v>1.1387219675381255E-2</v>
      </c>
      <c r="J18" s="281">
        <v>180.36269580313146</v>
      </c>
      <c r="K18" s="309">
        <v>3.014243381954218E-2</v>
      </c>
      <c r="L18" s="281">
        <v>113.87434554973821</v>
      </c>
      <c r="M18" s="309">
        <v>1.6355140186915751E-2</v>
      </c>
      <c r="N18" s="281">
        <v>163.98455355690925</v>
      </c>
      <c r="O18" s="309">
        <v>4.071502607280042E-2</v>
      </c>
    </row>
    <row r="19" spans="1:15" ht="20.25" customHeight="1" thickBot="1">
      <c r="A19" s="319">
        <v>2008</v>
      </c>
      <c r="B19" s="281">
        <v>173.20418822710363</v>
      </c>
      <c r="C19" s="309">
        <v>4.2199796703239034E-2</v>
      </c>
      <c r="D19" s="281">
        <v>143.68661612885961</v>
      </c>
      <c r="E19" s="309">
        <v>4.5469002548589765E-2</v>
      </c>
      <c r="F19" s="281">
        <v>170.40272566721498</v>
      </c>
      <c r="G19" s="309">
        <v>-4.2393092752938122E-3</v>
      </c>
      <c r="H19" s="281">
        <v>168.02403981936502</v>
      </c>
      <c r="I19" s="309">
        <v>-1.0083724776332126E-2</v>
      </c>
      <c r="J19" s="281">
        <v>186.17626997740183</v>
      </c>
      <c r="K19" s="309">
        <v>3.223268619036368E-2</v>
      </c>
      <c r="L19" s="281">
        <v>116.1780104712042</v>
      </c>
      <c r="M19" s="309">
        <v>2.0229885057471586E-2</v>
      </c>
      <c r="N19" s="281">
        <v>171.18417748466891</v>
      </c>
      <c r="O19" s="309">
        <v>4.3904281053282812E-2</v>
      </c>
    </row>
    <row r="20" spans="1:15" ht="20.25" customHeight="1" thickBot="1">
      <c r="A20" s="319">
        <v>2009</v>
      </c>
      <c r="B20" s="281">
        <v>178.14457174882662</v>
      </c>
      <c r="C20" s="309">
        <v>2.8523464543739552E-2</v>
      </c>
      <c r="D20" s="281">
        <v>148.24252210037352</v>
      </c>
      <c r="E20" s="309">
        <v>3.1707239645953678E-2</v>
      </c>
      <c r="F20" s="281">
        <v>172.18272475452474</v>
      </c>
      <c r="G20" s="309">
        <v>1.0445836945037978E-2</v>
      </c>
      <c r="H20" s="281">
        <v>169.63658334736624</v>
      </c>
      <c r="I20" s="309">
        <v>9.5971000919559124E-3</v>
      </c>
      <c r="J20" s="281">
        <v>189.06670056079494</v>
      </c>
      <c r="K20" s="309">
        <v>1.5525236292165179E-2</v>
      </c>
      <c r="L20" s="281">
        <v>118.63874345549739</v>
      </c>
      <c r="M20" s="309">
        <v>2.118071203244698E-2</v>
      </c>
      <c r="N20" s="281">
        <v>176.44399172965743</v>
      </c>
      <c r="O20" s="309">
        <v>3.0726053787649699E-2</v>
      </c>
    </row>
    <row r="21" spans="1:15" ht="20.25" customHeight="1" thickBot="1">
      <c r="A21" s="319">
        <v>2010</v>
      </c>
      <c r="B21" s="281">
        <v>181.26989827085112</v>
      </c>
      <c r="C21" s="309">
        <v>1.7543765107987719E-2</v>
      </c>
      <c r="D21" s="281">
        <v>150.44438815411891</v>
      </c>
      <c r="E21" s="309">
        <v>1.4853134057274842E-2</v>
      </c>
      <c r="F21" s="281">
        <v>184.78971423770679</v>
      </c>
      <c r="G21" s="309">
        <v>7.3218666397313781E-2</v>
      </c>
      <c r="H21" s="281">
        <v>184.18506458405923</v>
      </c>
      <c r="I21" s="309">
        <v>8.5762640048591132E-2</v>
      </c>
      <c r="J21" s="281">
        <v>188.79926771134839</v>
      </c>
      <c r="K21" s="309">
        <v>-1.4144894296738153E-3</v>
      </c>
      <c r="L21" s="281">
        <v>119.63350785340315</v>
      </c>
      <c r="M21" s="309">
        <v>8.3848190644306708E-3</v>
      </c>
      <c r="N21" s="281">
        <v>180.09757230327764</v>
      </c>
      <c r="O21" s="309">
        <v>2.0706744037043423E-2</v>
      </c>
    </row>
    <row r="22" spans="1:15" ht="20.25" customHeight="1" thickBot="1">
      <c r="A22" s="319">
        <v>2011</v>
      </c>
      <c r="B22" s="281">
        <v>184.07205165862686</v>
      </c>
      <c r="C22" s="309">
        <v>1.5458459537439628E-2</v>
      </c>
      <c r="D22" s="281">
        <v>154.76518478635367</v>
      </c>
      <c r="E22" s="309">
        <v>2.8720224697304397E-2</v>
      </c>
      <c r="F22" s="281">
        <v>195.37601142650229</v>
      </c>
      <c r="G22" s="309">
        <v>5.7288346553627356E-2</v>
      </c>
      <c r="H22" s="281">
        <v>195.29365699152376</v>
      </c>
      <c r="I22" s="309">
        <v>6.031212374657402E-2</v>
      </c>
      <c r="J22" s="281">
        <v>195.92212024976232</v>
      </c>
      <c r="K22" s="309">
        <v>3.7727119520950314E-2</v>
      </c>
      <c r="L22" s="281">
        <v>120.73298429319372</v>
      </c>
      <c r="M22" s="309">
        <v>9.1903719912473925E-3</v>
      </c>
      <c r="N22" s="281">
        <v>182.2269910281583</v>
      </c>
      <c r="O22" s="309">
        <v>1.1823694776378124E-2</v>
      </c>
    </row>
    <row r="23" spans="1:15" ht="20.25" customHeight="1" thickBot="1">
      <c r="A23" s="319">
        <v>2012</v>
      </c>
      <c r="B23" s="281">
        <v>189.05350030018215</v>
      </c>
      <c r="C23" s="309">
        <v>2.7062493174106139E-2</v>
      </c>
      <c r="D23" s="281">
        <v>161.21271591718036</v>
      </c>
      <c r="E23" s="309">
        <v>4.1660087439737925E-2</v>
      </c>
      <c r="F23" s="281">
        <v>199.94737452301126</v>
      </c>
      <c r="G23" s="309">
        <v>2.3397770602091805E-2</v>
      </c>
      <c r="H23" s="281">
        <v>199.82770879301444</v>
      </c>
      <c r="I23" s="309">
        <v>2.3216585071615947E-2</v>
      </c>
      <c r="J23" s="281">
        <v>200.74090204839757</v>
      </c>
      <c r="K23" s="309">
        <v>2.4595394294897766E-2</v>
      </c>
      <c r="L23" s="281">
        <v>121.78010471204188</v>
      </c>
      <c r="M23" s="309">
        <v>8.6730268863832727E-3</v>
      </c>
      <c r="N23" s="281">
        <v>187.23376696511667</v>
      </c>
      <c r="O23" s="309">
        <v>2.7475490368958022E-2</v>
      </c>
    </row>
    <row r="24" spans="1:15" s="200" customFormat="1" ht="26.25" customHeight="1" thickBot="1">
      <c r="A24" s="322">
        <v>2013</v>
      </c>
      <c r="B24" s="284">
        <v>201.49073177255113</v>
      </c>
      <c r="C24" s="567">
        <v>6.5786835221886664E-2</v>
      </c>
      <c r="D24" s="1252" t="s">
        <v>153</v>
      </c>
      <c r="E24" s="1545" t="s">
        <v>153</v>
      </c>
      <c r="F24" s="284">
        <v>202.66993256661127</v>
      </c>
      <c r="G24" s="567">
        <v>1.3616373058635389E-2</v>
      </c>
      <c r="H24" s="284">
        <v>201.77603325769491</v>
      </c>
      <c r="I24" s="567">
        <v>9.7500215382970712E-3</v>
      </c>
      <c r="J24" s="284">
        <v>208.5975586845295</v>
      </c>
      <c r="K24" s="567">
        <v>3.9138294966103881E-2</v>
      </c>
      <c r="L24" s="325">
        <v>122.67015706806284</v>
      </c>
      <c r="M24" s="648">
        <v>7.3086844368015491E-3</v>
      </c>
      <c r="N24" s="325">
        <v>200.38419585320173</v>
      </c>
      <c r="O24" s="648">
        <v>7.0235348576494161E-2</v>
      </c>
    </row>
    <row r="25" spans="1:15" ht="20" customHeight="1">
      <c r="A25" s="1431" t="s">
        <v>2313</v>
      </c>
      <c r="B25" s="1432"/>
      <c r="C25" s="1432"/>
      <c r="D25" s="1432"/>
      <c r="E25" s="1432"/>
      <c r="F25" s="1432"/>
      <c r="G25" s="1432"/>
      <c r="H25" s="1432"/>
      <c r="I25" s="1432"/>
      <c r="J25" s="1432"/>
      <c r="K25" s="1432"/>
    </row>
    <row r="26" spans="1:15" ht="12.75" customHeight="1">
      <c r="A26" s="1442"/>
      <c r="B26" s="1121"/>
      <c r="C26" s="1121"/>
      <c r="D26" s="1121"/>
      <c r="E26" s="1121"/>
      <c r="F26" s="1121"/>
      <c r="G26" s="1121"/>
      <c r="H26" s="1121"/>
      <c r="I26" s="1121"/>
      <c r="J26" s="1121"/>
      <c r="K26" s="1121"/>
    </row>
    <row r="27" spans="1:15" ht="12" customHeight="1">
      <c r="A27" s="1442" t="s">
        <v>2306</v>
      </c>
      <c r="B27" s="1121"/>
      <c r="C27" s="1121"/>
      <c r="D27" s="1121"/>
      <c r="E27" s="1121"/>
      <c r="F27" s="1121"/>
      <c r="G27" s="1121"/>
      <c r="H27" s="1121"/>
      <c r="I27" s="1121"/>
      <c r="J27" s="1121"/>
      <c r="K27" s="1121"/>
    </row>
    <row r="28" spans="1:15" ht="12" customHeight="1">
      <c r="A28" s="1442" t="s">
        <v>2307</v>
      </c>
      <c r="B28" s="1121"/>
      <c r="C28" s="1121"/>
      <c r="D28" s="1121"/>
      <c r="E28" s="1121"/>
      <c r="F28" s="1121"/>
      <c r="G28" s="1121"/>
      <c r="H28" s="1121"/>
      <c r="I28" s="1121"/>
      <c r="J28" s="1121"/>
      <c r="K28" s="1121"/>
    </row>
    <row r="29" spans="1:15" ht="12" customHeight="1">
      <c r="A29" s="1442" t="s">
        <v>2308</v>
      </c>
      <c r="B29" s="1121"/>
      <c r="C29" s="1121"/>
      <c r="D29" s="1121"/>
      <c r="E29" s="1121"/>
      <c r="F29" s="1121"/>
      <c r="G29" s="1121"/>
      <c r="H29" s="1121"/>
      <c r="I29" s="1121"/>
      <c r="J29" s="1121"/>
      <c r="K29" s="1121"/>
    </row>
    <row r="30" spans="1:15" ht="12" customHeight="1">
      <c r="A30" s="1442" t="s">
        <v>2309</v>
      </c>
      <c r="B30" s="237"/>
      <c r="C30" s="237"/>
      <c r="D30" s="237"/>
      <c r="E30" s="237"/>
      <c r="F30" s="237"/>
      <c r="G30" s="237"/>
      <c r="H30" s="237"/>
      <c r="I30" s="237"/>
      <c r="J30" s="237"/>
      <c r="K30" s="237"/>
    </row>
    <row r="31" spans="1:15" ht="12" customHeight="1">
      <c r="A31" s="1442" t="s">
        <v>2310</v>
      </c>
      <c r="B31" s="1121"/>
      <c r="C31" s="1121"/>
      <c r="D31" s="1121"/>
      <c r="E31" s="1121"/>
      <c r="F31" s="1121"/>
      <c r="G31" s="1121"/>
      <c r="H31" s="1121"/>
      <c r="I31" s="1121"/>
      <c r="J31" s="1121"/>
      <c r="K31" s="1121"/>
    </row>
    <row r="32" spans="1:15" ht="12" customHeight="1">
      <c r="A32" s="1442" t="s">
        <v>2311</v>
      </c>
      <c r="B32" s="1121"/>
      <c r="C32" s="1121"/>
      <c r="D32" s="1121"/>
      <c r="E32" s="1121"/>
      <c r="F32" s="1121"/>
      <c r="G32" s="1121"/>
      <c r="H32" s="1121"/>
      <c r="I32" s="1121"/>
      <c r="J32" s="1121"/>
      <c r="K32" s="1121"/>
    </row>
    <row r="33" spans="1:13" ht="12" customHeight="1">
      <c r="A33" s="1442" t="s">
        <v>2312</v>
      </c>
      <c r="B33" s="1121"/>
      <c r="C33" s="1121"/>
      <c r="D33" s="1121"/>
      <c r="E33" s="1121"/>
      <c r="F33" s="1121"/>
      <c r="G33" s="1121"/>
      <c r="H33" s="1121"/>
      <c r="I33" s="1121"/>
      <c r="J33" s="1121"/>
      <c r="K33" s="1121"/>
    </row>
    <row r="34" spans="1:13" ht="15.75" customHeight="1">
      <c r="A34" s="1442"/>
      <c r="B34" s="237"/>
      <c r="C34" s="237"/>
      <c r="D34" s="237"/>
      <c r="E34" s="237"/>
      <c r="F34" s="237"/>
      <c r="G34" s="237"/>
      <c r="H34" s="237"/>
      <c r="I34" s="237"/>
      <c r="J34" s="237"/>
      <c r="K34" s="237"/>
    </row>
    <row r="35" spans="1:13" ht="15.75" customHeight="1">
      <c r="A35" s="63"/>
      <c r="B35" s="237"/>
      <c r="C35" s="237"/>
      <c r="D35" s="237"/>
      <c r="E35" s="237"/>
      <c r="F35" s="237"/>
      <c r="G35" s="237"/>
      <c r="H35" s="237"/>
      <c r="I35" s="237"/>
      <c r="J35" s="237"/>
      <c r="K35" s="237"/>
      <c r="M35" s="647"/>
    </row>
    <row r="36" spans="1:13" ht="15.75" customHeight="1">
      <c r="A36" s="367" t="s">
        <v>302</v>
      </c>
      <c r="B36" s="237"/>
      <c r="C36" s="237"/>
      <c r="D36" s="237"/>
      <c r="E36" s="237"/>
      <c r="F36" s="237"/>
      <c r="G36" s="237"/>
      <c r="H36" s="237"/>
      <c r="I36" s="237"/>
      <c r="J36" s="237"/>
      <c r="K36" s="237"/>
    </row>
    <row r="37" spans="1:13" ht="31" customHeight="1">
      <c r="A37" s="63"/>
      <c r="B37" s="237"/>
      <c r="C37" s="237"/>
      <c r="D37" s="237"/>
      <c r="E37" s="237"/>
      <c r="F37" s="237"/>
      <c r="G37" s="237"/>
      <c r="H37" s="237"/>
      <c r="I37" s="237"/>
      <c r="J37" s="237"/>
      <c r="K37" s="237"/>
    </row>
    <row r="38" spans="1:13" ht="31" customHeight="1">
      <c r="A38" s="63"/>
      <c r="B38" s="237"/>
      <c r="C38" s="237"/>
      <c r="D38" s="237"/>
      <c r="E38" s="237"/>
      <c r="F38" s="237"/>
      <c r="G38" s="237"/>
      <c r="H38" s="237"/>
      <c r="I38" s="237"/>
      <c r="J38" s="237"/>
      <c r="K38" s="237"/>
    </row>
    <row r="39" spans="1:13" ht="31" customHeight="1">
      <c r="A39" s="63"/>
      <c r="B39" s="237"/>
      <c r="C39" s="237"/>
      <c r="D39" s="237"/>
      <c r="E39" s="237"/>
      <c r="F39" s="237"/>
      <c r="G39" s="237"/>
      <c r="H39" s="237"/>
      <c r="I39" s="237"/>
      <c r="J39" s="237"/>
      <c r="K39" s="237"/>
    </row>
    <row r="40" spans="1:13" ht="31" customHeight="1">
      <c r="A40" s="63"/>
      <c r="B40" s="237"/>
      <c r="C40" s="237"/>
      <c r="D40" s="237"/>
      <c r="E40" s="237"/>
      <c r="F40" s="237"/>
      <c r="G40" s="237"/>
      <c r="H40" s="237"/>
      <c r="I40" s="237"/>
      <c r="J40" s="237"/>
      <c r="K40" s="237"/>
    </row>
    <row r="41" spans="1:13" ht="31" customHeight="1">
      <c r="A41" s="63"/>
      <c r="B41" s="237"/>
      <c r="C41" s="237"/>
      <c r="D41" s="237"/>
      <c r="E41" s="237"/>
      <c r="F41" s="237"/>
      <c r="G41" s="237"/>
      <c r="H41" s="237"/>
      <c r="I41" s="237"/>
      <c r="J41" s="237"/>
      <c r="K41" s="237"/>
    </row>
  </sheetData>
  <pageMargins left="0.55118110236220474" right="0.59055118110236227" top="0.82" bottom="0.47244094488188981" header="0.47244094488188981" footer="0.51181102362204722"/>
  <pageSetup paperSize="9" scale="67" orientation="landscape"/>
  <headerFooter alignWithMargins="0"/>
  <rowBreaks count="1" manualBreakCount="1">
    <brk id="29" max="16383" man="1"/>
  </rowBreak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25CA0-8D43-424F-8744-92795164EE86}">
  <sheetPr>
    <pageSetUpPr fitToPage="1"/>
  </sheetPr>
  <dimension ref="A1:J61"/>
  <sheetViews>
    <sheetView zoomScaleNormal="100" workbookViewId="0">
      <selection activeCell="A3" sqref="A3"/>
    </sheetView>
  </sheetViews>
  <sheetFormatPr baseColWidth="10" defaultColWidth="11.3984375" defaultRowHeight="13"/>
  <cols>
    <col min="1" max="1" width="23.59765625" style="3" customWidth="1"/>
    <col min="2" max="2" width="20" style="3" customWidth="1"/>
    <col min="3" max="3" width="15.796875" style="3" customWidth="1"/>
    <col min="4" max="4" width="18.796875" style="3" customWidth="1"/>
    <col min="5" max="5" width="14.3984375" style="3" customWidth="1"/>
    <col min="6" max="6" width="20" style="3" customWidth="1"/>
    <col min="7" max="7" width="15" style="3" customWidth="1"/>
    <col min="8" max="8" width="13.19921875" style="3" customWidth="1"/>
    <col min="9" max="10" width="13.3984375" style="3" customWidth="1"/>
    <col min="11" max="16384" width="11.3984375" style="3"/>
  </cols>
  <sheetData>
    <row r="1" spans="1:10" s="1" customFormat="1" ht="14" customHeight="1"/>
    <row r="2" spans="1:10" s="1" customFormat="1" ht="25.25" customHeight="1">
      <c r="A2" s="125" t="s">
        <v>2161</v>
      </c>
      <c r="B2" s="360"/>
      <c r="C2" s="360"/>
      <c r="D2" s="360"/>
      <c r="E2" s="360"/>
      <c r="F2" s="360"/>
      <c r="G2" s="311"/>
    </row>
    <row r="3" spans="1:10" ht="24" customHeight="1">
      <c r="A3" s="224" t="s">
        <v>445</v>
      </c>
      <c r="B3" s="267" t="s">
        <v>446</v>
      </c>
      <c r="C3" s="268" t="s">
        <v>447</v>
      </c>
      <c r="D3" s="267" t="s">
        <v>448</v>
      </c>
      <c r="E3" s="268" t="s">
        <v>449</v>
      </c>
      <c r="F3" s="267" t="s">
        <v>498</v>
      </c>
      <c r="G3" s="305" t="s">
        <v>475</v>
      </c>
    </row>
    <row r="4" spans="1:10" ht="15" customHeight="1">
      <c r="A4" s="269"/>
      <c r="B4" s="270" t="s">
        <v>450</v>
      </c>
      <c r="C4" s="271" t="s">
        <v>451</v>
      </c>
      <c r="D4" s="270" t="s">
        <v>452</v>
      </c>
      <c r="E4" s="272" t="s">
        <v>453</v>
      </c>
      <c r="F4" s="270"/>
      <c r="G4" s="306" t="s">
        <v>476</v>
      </c>
    </row>
    <row r="5" spans="1:10" ht="15" customHeight="1">
      <c r="A5" s="269"/>
      <c r="B5" s="270" t="s">
        <v>454</v>
      </c>
      <c r="C5" s="271" t="s">
        <v>455</v>
      </c>
      <c r="D5" s="270"/>
      <c r="E5" s="272" t="s">
        <v>463</v>
      </c>
      <c r="F5" s="270"/>
      <c r="G5" s="306" t="s">
        <v>477</v>
      </c>
    </row>
    <row r="6" spans="1:10" ht="24" customHeight="1">
      <c r="A6" s="227"/>
      <c r="B6" s="274"/>
      <c r="C6" s="275"/>
      <c r="D6" s="274"/>
      <c r="E6" s="276" t="s">
        <v>457</v>
      </c>
      <c r="F6" s="274"/>
      <c r="G6" s="405"/>
    </row>
    <row r="7" spans="1:10" ht="1.5" customHeight="1" thickBot="1">
      <c r="A7" s="277">
        <v>1996</v>
      </c>
      <c r="B7" s="287">
        <v>1753.1648672625149</v>
      </c>
      <c r="C7" s="288">
        <v>1842.1623355260151</v>
      </c>
      <c r="D7" s="287">
        <v>1515.4959144221264</v>
      </c>
      <c r="E7" s="288">
        <v>1176.4588298743031</v>
      </c>
      <c r="F7" s="287">
        <v>1771.0161788756484</v>
      </c>
      <c r="G7" s="308" t="s">
        <v>153</v>
      </c>
    </row>
    <row r="8" spans="1:10" ht="19.5" hidden="1" customHeight="1" thickBot="1">
      <c r="A8" s="280">
        <v>1997</v>
      </c>
      <c r="B8" s="289">
        <v>1811.5958116334416</v>
      </c>
      <c r="C8" s="159">
        <v>2130.0081643172375</v>
      </c>
      <c r="D8" s="289">
        <v>1576.8168903289518</v>
      </c>
      <c r="E8" s="159">
        <v>1389.6088488110106</v>
      </c>
      <c r="F8" s="289">
        <v>1909.5867615098578</v>
      </c>
      <c r="G8" s="309">
        <v>7.8243544179354974E-2</v>
      </c>
      <c r="H8" s="8"/>
      <c r="I8" s="8"/>
      <c r="J8" s="8"/>
    </row>
    <row r="9" spans="1:10" ht="21" hidden="1" customHeight="1" thickBot="1">
      <c r="A9" s="280">
        <v>1998</v>
      </c>
      <c r="B9" s="289">
        <v>1918.0694163570959</v>
      </c>
      <c r="C9" s="159">
        <v>2297.6573623558743</v>
      </c>
      <c r="D9" s="289">
        <v>1557.6743377537739</v>
      </c>
      <c r="E9" s="159">
        <v>1666.142713790621</v>
      </c>
      <c r="F9" s="289">
        <v>2043.088885873075</v>
      </c>
      <c r="G9" s="309">
        <v>6.9911525914465811E-2</v>
      </c>
    </row>
    <row r="10" spans="1:10" ht="21" hidden="1" customHeight="1" thickBot="1">
      <c r="A10" s="280">
        <v>1999</v>
      </c>
      <c r="B10" s="289">
        <v>1950.8999883727415</v>
      </c>
      <c r="C10" s="159">
        <v>2374.4763783142644</v>
      </c>
      <c r="D10" s="289">
        <v>1570.8419091195699</v>
      </c>
      <c r="E10" s="159">
        <v>1752.9616538234313</v>
      </c>
      <c r="F10" s="289">
        <v>2093.8952904812063</v>
      </c>
      <c r="G10" s="309">
        <v>2.4867447010960664E-2</v>
      </c>
    </row>
    <row r="11" spans="1:10" ht="21" hidden="1" customHeight="1" thickBot="1">
      <c r="A11" s="280">
        <v>2000</v>
      </c>
      <c r="B11" s="289">
        <v>2027.0193294058211</v>
      </c>
      <c r="C11" s="159">
        <v>2433.7171249231678</v>
      </c>
      <c r="D11" s="289">
        <v>1662.9240904226378</v>
      </c>
      <c r="E11" s="159">
        <v>1828.3919207533229</v>
      </c>
      <c r="F11" s="289">
        <v>2165.0935277166373</v>
      </c>
      <c r="G11" s="309">
        <v>3.4002768695787333E-2</v>
      </c>
    </row>
    <row r="12" spans="1:10" ht="21" hidden="1" customHeight="1" thickBot="1">
      <c r="A12" s="280">
        <v>2001</v>
      </c>
      <c r="B12" s="289">
        <v>2122.8464393209329</v>
      </c>
      <c r="C12" s="159">
        <v>2484.2689833767849</v>
      </c>
      <c r="D12" s="289">
        <v>1731.3120166424887</v>
      </c>
      <c r="E12" s="159">
        <v>1922.2028434326885</v>
      </c>
      <c r="F12" s="289">
        <v>2245.9151088569452</v>
      </c>
      <c r="G12" s="309">
        <v>3.7329371736446237E-2</v>
      </c>
    </row>
    <row r="13" spans="1:10" ht="21" hidden="1" customHeight="1" thickBot="1">
      <c r="A13" s="280">
        <v>2002</v>
      </c>
      <c r="B13" s="289">
        <v>2285.7395632640332</v>
      </c>
      <c r="C13" s="159">
        <v>2654.9017890161094</v>
      </c>
      <c r="D13" s="289">
        <v>1950.7839810299843</v>
      </c>
      <c r="E13" s="159">
        <v>2240.2987240624661</v>
      </c>
      <c r="F13" s="289">
        <v>2431.415360817261</v>
      </c>
      <c r="G13" s="309">
        <v>8.2594507347486523E-2</v>
      </c>
    </row>
    <row r="14" spans="1:10" ht="21" customHeight="1" thickBot="1">
      <c r="A14" s="280">
        <v>2003</v>
      </c>
      <c r="B14" s="289">
        <v>2510.8199696536694</v>
      </c>
      <c r="C14" s="159">
        <v>2859.9015075571601</v>
      </c>
      <c r="D14" s="289">
        <v>2124.4793305026888</v>
      </c>
      <c r="E14" s="159">
        <v>2210.374964555655</v>
      </c>
      <c r="F14" s="289">
        <v>2632.5643464005784</v>
      </c>
      <c r="G14" s="309">
        <v>8.2729174465569821E-2</v>
      </c>
    </row>
    <row r="15" spans="1:10" ht="21" customHeight="1" thickBot="1">
      <c r="A15" s="280">
        <v>2004</v>
      </c>
      <c r="B15" s="289">
        <v>2690.5459375499613</v>
      </c>
      <c r="C15" s="159">
        <v>3090.7636553345851</v>
      </c>
      <c r="D15" s="289">
        <v>2246.9396743730986</v>
      </c>
      <c r="E15" s="159">
        <v>2415.1482194113514</v>
      </c>
      <c r="F15" s="289">
        <v>2825.4654207596486</v>
      </c>
      <c r="G15" s="309">
        <v>7.3274970324207933E-2</v>
      </c>
    </row>
    <row r="16" spans="1:10" ht="21" customHeight="1" thickBot="1">
      <c r="A16" s="280">
        <v>2005</v>
      </c>
      <c r="B16" s="289">
        <v>2840.2952473424793</v>
      </c>
      <c r="C16" s="159">
        <v>3103.8126743937628</v>
      </c>
      <c r="D16" s="289">
        <v>2376.2836440132501</v>
      </c>
      <c r="E16" s="159">
        <v>2400.5917441113538</v>
      </c>
      <c r="F16" s="289">
        <v>2890.2364327041978</v>
      </c>
      <c r="G16" s="309">
        <v>2.2924015090984629E-2</v>
      </c>
    </row>
    <row r="17" spans="1:7" ht="21" customHeight="1" thickBot="1">
      <c r="A17" s="280">
        <v>2006</v>
      </c>
      <c r="B17" s="289">
        <v>3011.1782609964857</v>
      </c>
      <c r="C17" s="159">
        <v>3242.7971622539844</v>
      </c>
      <c r="D17" s="289">
        <v>2532.6355623862773</v>
      </c>
      <c r="E17" s="159">
        <v>2415.428916702369</v>
      </c>
      <c r="F17" s="289">
        <v>2989.0501689057955</v>
      </c>
      <c r="G17" s="309">
        <v>3.4188807214344141E-2</v>
      </c>
    </row>
    <row r="18" spans="1:7" ht="21" customHeight="1" thickBot="1">
      <c r="A18" s="280">
        <v>2007</v>
      </c>
      <c r="B18" s="289">
        <v>3123.9745528614731</v>
      </c>
      <c r="C18" s="159">
        <v>3317.638542693885</v>
      </c>
      <c r="D18" s="289">
        <v>2650.6385932147032</v>
      </c>
      <c r="E18" s="159">
        <v>2470.5095950288969</v>
      </c>
      <c r="F18" s="289">
        <v>3030.7079491309219</v>
      </c>
      <c r="G18" s="309">
        <v>1.3936795259738233E-2</v>
      </c>
    </row>
    <row r="19" spans="1:7" ht="21" customHeight="1" thickBot="1">
      <c r="A19" s="280">
        <v>2008</v>
      </c>
      <c r="B19" s="289">
        <v>3180.5156961243692</v>
      </c>
      <c r="C19" s="159">
        <v>3344.9015527889869</v>
      </c>
      <c r="D19" s="289">
        <v>2727.0156464501351</v>
      </c>
      <c r="E19" s="159">
        <v>2468.4220560673621</v>
      </c>
      <c r="F19" s="289">
        <v>3017.8598408114649</v>
      </c>
      <c r="G19" s="309">
        <v>-4.2393092752937012E-3</v>
      </c>
    </row>
    <row r="20" spans="1:7" ht="21" customHeight="1" thickBot="1">
      <c r="A20" s="280">
        <v>2009</v>
      </c>
      <c r="B20" s="289">
        <v>3243.4047860779601</v>
      </c>
      <c r="C20" s="159">
        <v>3381.8730613579137</v>
      </c>
      <c r="D20" s="289">
        <v>2806.1776808293953</v>
      </c>
      <c r="E20" s="159">
        <v>2595.8313806278784</v>
      </c>
      <c r="F20" s="289">
        <v>3049.3839126315593</v>
      </c>
      <c r="G20" s="309">
        <v>1.0445836945037756E-2</v>
      </c>
    </row>
    <row r="21" spans="1:7" ht="21" customHeight="1" thickBot="1">
      <c r="A21" s="280">
        <v>2010</v>
      </c>
      <c r="B21" s="289">
        <v>3580.9467455800068</v>
      </c>
      <c r="C21" s="159">
        <v>3784.2286980765448</v>
      </c>
      <c r="D21" s="289">
        <v>3041.1445773385881</v>
      </c>
      <c r="E21" s="159">
        <v>2814.6296923683039</v>
      </c>
      <c r="F21" s="289">
        <v>3272.655736047865</v>
      </c>
      <c r="G21" s="309">
        <v>7.3218666397313781E-2</v>
      </c>
    </row>
    <row r="22" spans="1:7" ht="21" customHeight="1" thickBot="1">
      <c r="A22" s="280">
        <v>2011</v>
      </c>
      <c r="B22" s="289">
        <v>3856.1776135371192</v>
      </c>
      <c r="C22" s="159">
        <v>4048.3761099951839</v>
      </c>
      <c r="D22" s="289">
        <v>3250.9157740142191</v>
      </c>
      <c r="E22" s="159">
        <v>3032.2458588100644</v>
      </c>
      <c r="F22" s="289">
        <v>3460.1407720052912</v>
      </c>
      <c r="G22" s="309">
        <v>5.7288346553627134E-2</v>
      </c>
    </row>
    <row r="23" spans="1:7" ht="21" customHeight="1" thickBot="1">
      <c r="A23" s="280">
        <v>2012</v>
      </c>
      <c r="B23" s="289">
        <v>3998.8900709168629</v>
      </c>
      <c r="C23" s="159">
        <v>4211.2079286548915</v>
      </c>
      <c r="D23" s="289">
        <v>3342.0720243318706</v>
      </c>
      <c r="E23" s="159">
        <v>3132.1371464909557</v>
      </c>
      <c r="F23" s="289">
        <v>3541.1003520396157</v>
      </c>
      <c r="G23" s="309">
        <v>2.3397770602091805E-2</v>
      </c>
    </row>
    <row r="24" spans="1:7" ht="21.75" customHeight="1" thickBot="1">
      <c r="A24" s="283">
        <v>2013</v>
      </c>
      <c r="B24" s="290">
        <v>4088.7951235131363</v>
      </c>
      <c r="C24" s="291">
        <v>4309.0148393447871</v>
      </c>
      <c r="D24" s="290">
        <v>3448.5641494318784</v>
      </c>
      <c r="E24" s="291">
        <v>3200.2172004127224</v>
      </c>
      <c r="F24" s="290">
        <v>3589.3172954710521</v>
      </c>
      <c r="G24" s="648">
        <v>1.3616373058635389E-2</v>
      </c>
    </row>
    <row r="25" spans="1:7" ht="20" customHeight="1">
      <c r="A25" s="189" t="s">
        <v>346</v>
      </c>
      <c r="B25" s="189"/>
      <c r="C25" s="189"/>
      <c r="D25" s="189"/>
      <c r="E25" s="189"/>
      <c r="F25" s="189"/>
      <c r="G25" s="529"/>
    </row>
    <row r="26" spans="1:7">
      <c r="G26" s="530"/>
    </row>
    <row r="27" spans="1:7">
      <c r="A27" s="3" t="s">
        <v>2162</v>
      </c>
      <c r="G27" s="530"/>
    </row>
    <row r="28" spans="1:7">
      <c r="G28" s="530"/>
    </row>
    <row r="29" spans="1:7">
      <c r="G29" s="530"/>
    </row>
    <row r="30" spans="1:7" ht="16">
      <c r="A30" s="649" t="s">
        <v>2163</v>
      </c>
      <c r="G30" s="530"/>
    </row>
    <row r="31" spans="1:7">
      <c r="G31" s="530"/>
    </row>
    <row r="32" spans="1:7" ht="18" customHeight="1">
      <c r="A32" s="224" t="s">
        <v>460</v>
      </c>
      <c r="B32" s="267" t="s">
        <v>495</v>
      </c>
      <c r="C32" s="519" t="s">
        <v>475</v>
      </c>
      <c r="D32" s="267" t="s">
        <v>496</v>
      </c>
      <c r="E32" s="519" t="s">
        <v>475</v>
      </c>
      <c r="F32" s="267" t="s">
        <v>1082</v>
      </c>
      <c r="G32" s="519" t="s">
        <v>475</v>
      </c>
    </row>
    <row r="33" spans="1:7" ht="18" customHeight="1">
      <c r="A33" s="650"/>
      <c r="B33" s="270" t="s">
        <v>499</v>
      </c>
      <c r="C33" s="521" t="s">
        <v>476</v>
      </c>
      <c r="D33" s="270" t="s">
        <v>500</v>
      </c>
      <c r="E33" s="521" t="s">
        <v>476</v>
      </c>
      <c r="F33" s="270" t="s">
        <v>1083</v>
      </c>
      <c r="G33" s="521" t="s">
        <v>476</v>
      </c>
    </row>
    <row r="34" spans="1:7" ht="18" customHeight="1">
      <c r="A34" s="269"/>
      <c r="B34" s="270"/>
      <c r="C34" s="521" t="s">
        <v>477</v>
      </c>
      <c r="D34" s="270"/>
      <c r="E34" s="521" t="s">
        <v>477</v>
      </c>
      <c r="F34" s="270"/>
      <c r="G34" s="521" t="s">
        <v>477</v>
      </c>
    </row>
    <row r="35" spans="1:7" ht="22.75" customHeight="1">
      <c r="A35" s="273"/>
      <c r="B35" s="274"/>
      <c r="C35" s="471"/>
      <c r="D35" s="274"/>
      <c r="E35" s="471"/>
      <c r="F35" s="274"/>
      <c r="G35" s="471"/>
    </row>
    <row r="36" spans="1:7" ht="1.75" customHeight="1" thickBot="1">
      <c r="A36" s="277">
        <v>1996</v>
      </c>
      <c r="B36" s="287" t="s">
        <v>153</v>
      </c>
      <c r="C36" s="288" t="s">
        <v>153</v>
      </c>
      <c r="D36" s="287" t="s">
        <v>153</v>
      </c>
      <c r="E36" s="288" t="s">
        <v>153</v>
      </c>
      <c r="F36" s="287" t="s">
        <v>153</v>
      </c>
      <c r="G36" s="308" t="s">
        <v>153</v>
      </c>
    </row>
    <row r="37" spans="1:7" ht="22.75" hidden="1" customHeight="1" thickBot="1">
      <c r="A37" s="280">
        <v>1997</v>
      </c>
      <c r="B37" s="287">
        <v>635.04000000000008</v>
      </c>
      <c r="C37" s="309" t="s">
        <v>153</v>
      </c>
      <c r="D37" s="287">
        <v>1639.9899999999998</v>
      </c>
      <c r="E37" s="309" t="s">
        <v>153</v>
      </c>
      <c r="F37" s="287">
        <v>2339.75</v>
      </c>
      <c r="G37" s="309" t="s">
        <v>153</v>
      </c>
    </row>
    <row r="38" spans="1:7" ht="22.75" hidden="1" customHeight="1" thickBot="1">
      <c r="A38" s="280">
        <v>1998</v>
      </c>
      <c r="B38" s="287">
        <v>656.53</v>
      </c>
      <c r="C38" s="309">
        <v>3.3840388007054578E-2</v>
      </c>
      <c r="D38" s="287">
        <v>1784.2600000000002</v>
      </c>
      <c r="E38" s="309">
        <v>0</v>
      </c>
      <c r="F38" s="287">
        <v>2511.69</v>
      </c>
      <c r="G38" s="309">
        <v>7.3486483598675045E-2</v>
      </c>
    </row>
    <row r="39" spans="1:7" ht="22.75" hidden="1" customHeight="1" thickBot="1">
      <c r="A39" s="280">
        <v>1999</v>
      </c>
      <c r="B39" s="287">
        <v>671.76</v>
      </c>
      <c r="C39" s="309">
        <v>2.3197721353175105E-2</v>
      </c>
      <c r="D39" s="287">
        <v>1814.94</v>
      </c>
      <c r="E39" s="309">
        <v>1.7194803447927898E-2</v>
      </c>
      <c r="F39" s="287">
        <v>2574.8500000000004</v>
      </c>
      <c r="G39" s="309">
        <v>2.5146415361768426E-2</v>
      </c>
    </row>
    <row r="40" spans="1:7" ht="22.75" hidden="1" customHeight="1" thickBot="1">
      <c r="A40" s="280">
        <v>2000</v>
      </c>
      <c r="B40" s="287">
        <v>693.71</v>
      </c>
      <c r="C40" s="309">
        <v>3.2675360247707674E-2</v>
      </c>
      <c r="D40" s="287">
        <v>1807.9900000000002</v>
      </c>
      <c r="E40" s="309">
        <v>-3.8293276912734209E-3</v>
      </c>
      <c r="F40" s="287">
        <v>2661.82</v>
      </c>
      <c r="G40" s="309">
        <v>3.3776724857758511E-2</v>
      </c>
    </row>
    <row r="41" spans="1:7" ht="21" hidden="1" customHeight="1" thickBot="1">
      <c r="A41" s="280">
        <v>2001</v>
      </c>
      <c r="B41" s="287">
        <v>727.77</v>
      </c>
      <c r="C41" s="309">
        <v>4.909832638999001E-2</v>
      </c>
      <c r="D41" s="287">
        <v>1832.6799999999998</v>
      </c>
      <c r="E41" s="309">
        <v>1.3656048982571667E-2</v>
      </c>
      <c r="F41" s="287">
        <v>2774.76</v>
      </c>
      <c r="G41" s="309">
        <v>4.2429615826765188E-2</v>
      </c>
    </row>
    <row r="42" spans="1:7" ht="21" hidden="1" customHeight="1" thickBot="1">
      <c r="A42" s="280">
        <v>2002</v>
      </c>
      <c r="B42" s="287">
        <v>787.4799999999999</v>
      </c>
      <c r="C42" s="309">
        <v>8.2045151627574642E-2</v>
      </c>
      <c r="D42" s="287">
        <v>2041.05</v>
      </c>
      <c r="E42" s="309">
        <v>0.11369688107034515</v>
      </c>
      <c r="F42" s="287">
        <v>2988.11</v>
      </c>
      <c r="G42" s="309">
        <v>7.6889532788421366E-2</v>
      </c>
    </row>
    <row r="43" spans="1:7" ht="21" customHeight="1" thickBot="1">
      <c r="A43" s="280">
        <v>2003</v>
      </c>
      <c r="B43" s="287">
        <v>852.65</v>
      </c>
      <c r="C43" s="309">
        <v>8.2757657337329205E-2</v>
      </c>
      <c r="D43" s="287">
        <v>2294.2199999999998</v>
      </c>
      <c r="E43" s="309">
        <v>0.12403909752333342</v>
      </c>
      <c r="F43" s="287">
        <v>3212.38</v>
      </c>
      <c r="G43" s="309">
        <v>7.5054131206682584E-2</v>
      </c>
    </row>
    <row r="44" spans="1:7" ht="21" customHeight="1" thickBot="1">
      <c r="A44" s="280">
        <v>2004</v>
      </c>
      <c r="B44" s="287">
        <v>892.69</v>
      </c>
      <c r="C44" s="309">
        <v>4.6959479270509696E-2</v>
      </c>
      <c r="D44" s="287">
        <v>2518.7099999999996</v>
      </c>
      <c r="E44" s="309">
        <v>9.7850249758087537E-2</v>
      </c>
      <c r="F44" s="287">
        <v>3430.2899999999995</v>
      </c>
      <c r="G44" s="309">
        <v>6.7834440508283356E-2</v>
      </c>
    </row>
    <row r="45" spans="1:7" ht="21" customHeight="1" thickBot="1">
      <c r="A45" s="280">
        <v>2005</v>
      </c>
      <c r="B45" s="287">
        <v>898.6099999999999</v>
      </c>
      <c r="C45" s="309">
        <v>6.6316414432781023E-3</v>
      </c>
      <c r="D45" s="287">
        <v>2600.4300000000003</v>
      </c>
      <c r="E45" s="309">
        <v>3.2445180270853191E-2</v>
      </c>
      <c r="F45" s="287">
        <v>3507.7900000000004</v>
      </c>
      <c r="G45" s="309">
        <v>2.2592842004612201E-2</v>
      </c>
    </row>
    <row r="46" spans="1:7" ht="21" customHeight="1" thickBot="1">
      <c r="A46" s="280">
        <v>2006</v>
      </c>
      <c r="B46" s="287">
        <v>921.34</v>
      </c>
      <c r="C46" s="309">
        <v>2.5294621693504604E-2</v>
      </c>
      <c r="D46" s="287">
        <v>2701.4</v>
      </c>
      <c r="E46" s="309">
        <v>3.8828193798717825E-2</v>
      </c>
      <c r="F46" s="287">
        <v>3630.05</v>
      </c>
      <c r="G46" s="309">
        <v>3.4853853851000149E-2</v>
      </c>
    </row>
    <row r="47" spans="1:7" ht="21" customHeight="1" thickBot="1">
      <c r="A47" s="280">
        <v>2007</v>
      </c>
      <c r="B47" s="287">
        <v>924.15</v>
      </c>
      <c r="C47" s="309">
        <v>3.0499055723185453E-3</v>
      </c>
      <c r="D47" s="287">
        <v>2720.5299999999997</v>
      </c>
      <c r="E47" s="309">
        <v>7.0815132894053168E-3</v>
      </c>
      <c r="F47" s="287">
        <v>3670.4300000000003</v>
      </c>
      <c r="G47" s="309">
        <v>1.1123813721574116E-2</v>
      </c>
    </row>
    <row r="48" spans="1:7" ht="21" customHeight="1" thickBot="1">
      <c r="A48" s="280">
        <v>2008</v>
      </c>
      <c r="B48" s="287">
        <v>900.95999999999992</v>
      </c>
      <c r="C48" s="309">
        <v>-2.5093329005031695E-2</v>
      </c>
      <c r="D48" s="287">
        <v>2712.0699999999997</v>
      </c>
      <c r="E48" s="309">
        <v>-3.1096881857579639E-3</v>
      </c>
      <c r="F48" s="287">
        <v>3650.55</v>
      </c>
      <c r="G48" s="309">
        <v>-5.4162591304016683E-3</v>
      </c>
    </row>
    <row r="49" spans="1:7" ht="21" customHeight="1" thickBot="1">
      <c r="A49" s="280">
        <v>2009</v>
      </c>
      <c r="B49" s="287">
        <v>899.0236454390664</v>
      </c>
      <c r="C49" s="309">
        <v>-2.1492125742913482E-3</v>
      </c>
      <c r="D49" s="287">
        <v>2751.4413723136295</v>
      </c>
      <c r="E49" s="309">
        <v>1.4517092963540756E-2</v>
      </c>
      <c r="F49" s="287">
        <v>3668.3142766978899</v>
      </c>
      <c r="G49" s="309">
        <v>4.8661918609222976E-3</v>
      </c>
    </row>
    <row r="50" spans="1:7" ht="21" customHeight="1" thickBot="1">
      <c r="A50" s="280">
        <v>2010</v>
      </c>
      <c r="B50" s="287">
        <v>964.51625034648475</v>
      </c>
      <c r="C50" s="309">
        <v>7.284858995608845E-2</v>
      </c>
      <c r="D50" s="287">
        <v>3021.122471904001</v>
      </c>
      <c r="E50" s="309">
        <v>9.8014481538308162E-2</v>
      </c>
      <c r="F50" s="287">
        <v>3920.1467433099961</v>
      </c>
      <c r="G50" s="309">
        <v>6.8650733720339474E-2</v>
      </c>
    </row>
    <row r="51" spans="1:7" ht="21" customHeight="1" thickBot="1">
      <c r="A51" s="280">
        <v>2011</v>
      </c>
      <c r="B51" s="287">
        <v>1011.9738750344361</v>
      </c>
      <c r="C51" s="309">
        <v>4.9203551180089677E-2</v>
      </c>
      <c r="D51" s="287">
        <v>3292.6015089816101</v>
      </c>
      <c r="E51" s="309">
        <v>8.9860321652738273E-2</v>
      </c>
      <c r="F51" s="287">
        <v>4126.358810998554</v>
      </c>
      <c r="G51" s="309">
        <v>5.2603150134742593E-2</v>
      </c>
    </row>
    <row r="52" spans="1:7" ht="21" customHeight="1" thickBot="1">
      <c r="A52" s="280">
        <v>2012</v>
      </c>
      <c r="B52" s="287">
        <v>1032.6157461849584</v>
      </c>
      <c r="C52" s="309">
        <v>2.0397632448584613E-2</v>
      </c>
      <c r="D52" s="287">
        <v>3436.607284583095</v>
      </c>
      <c r="E52" s="309">
        <v>4.3736168864851654E-2</v>
      </c>
      <c r="F52" s="287">
        <v>4208.5317910464873</v>
      </c>
      <c r="G52" s="309">
        <v>1.9914162536933677E-2</v>
      </c>
    </row>
    <row r="53" spans="1:7" ht="21.75" customHeight="1" thickBot="1">
      <c r="A53" s="652">
        <v>2013</v>
      </c>
      <c r="B53" s="619">
        <v>1032.1815956955243</v>
      </c>
      <c r="C53" s="648">
        <v>-4.2043760327903357E-4</v>
      </c>
      <c r="D53" s="619">
        <v>3534.8295555411814</v>
      </c>
      <c r="E53" s="648">
        <v>2.858117405463223E-2</v>
      </c>
      <c r="F53" s="619">
        <v>4257.1495769438661</v>
      </c>
      <c r="G53" s="648">
        <v>1.155219642175731E-2</v>
      </c>
    </row>
    <row r="54" spans="1:7" ht="16.75" customHeight="1">
      <c r="A54" s="461" t="s">
        <v>346</v>
      </c>
    </row>
    <row r="56" spans="1:7">
      <c r="A56" s="219" t="str">
        <f>A27</f>
        <v>Quelle: T 3.05 + 2.02</v>
      </c>
    </row>
    <row r="58" spans="1:7">
      <c r="A58" s="367" t="s">
        <v>1876</v>
      </c>
    </row>
    <row r="61" spans="1:7">
      <c r="A61" s="3" t="s">
        <v>302</v>
      </c>
    </row>
  </sheetData>
  <pageMargins left="0.56000000000000005" right="0.54" top="0.5" bottom="0.49" header="0.36" footer="0.4921259845"/>
  <pageSetup paperSize="9" scale="72" orientation="portrait" horizontalDpi="1200" verticalDpi="1200"/>
  <headerFooter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CD060-A2D2-C949-8C39-39FBFB324B11}">
  <sheetPr>
    <pageSetUpPr fitToPage="1"/>
  </sheetPr>
  <dimension ref="A1:K36"/>
  <sheetViews>
    <sheetView zoomScaleNormal="100" workbookViewId="0"/>
  </sheetViews>
  <sheetFormatPr baseColWidth="10" defaultColWidth="11.3984375" defaultRowHeight="13"/>
  <cols>
    <col min="1" max="1" width="20.796875" style="3" customWidth="1"/>
    <col min="2" max="2" width="14.796875" style="3" customWidth="1"/>
    <col min="3" max="3" width="14.796875" style="245" customWidth="1"/>
    <col min="4" max="4" width="14.796875" style="3" customWidth="1"/>
    <col min="5" max="5" width="14.796875" style="245" customWidth="1"/>
    <col min="6" max="6" width="14.796875" style="3" customWidth="1"/>
    <col min="7" max="7" width="14.796875" style="245" customWidth="1"/>
    <col min="8" max="16384" width="11.3984375" style="3"/>
  </cols>
  <sheetData>
    <row r="1" spans="1:11" s="1" customFormat="1" ht="14" customHeight="1">
      <c r="C1" s="221"/>
      <c r="E1" s="221"/>
      <c r="G1" s="221"/>
    </row>
    <row r="2" spans="1:11" s="1" customFormat="1" ht="22.75" customHeight="1">
      <c r="A2" s="223" t="s">
        <v>2164</v>
      </c>
      <c r="C2" s="221"/>
      <c r="E2" s="221"/>
      <c r="G2" s="1499"/>
    </row>
    <row r="3" spans="1:11" ht="24" customHeight="1">
      <c r="A3" s="224" t="s">
        <v>460</v>
      </c>
      <c r="B3" s="267" t="s">
        <v>2165</v>
      </c>
      <c r="C3" s="305" t="s">
        <v>475</v>
      </c>
      <c r="D3" s="267" t="s">
        <v>2166</v>
      </c>
      <c r="E3" s="305" t="s">
        <v>475</v>
      </c>
      <c r="F3" s="267" t="s">
        <v>2167</v>
      </c>
      <c r="G3" s="305" t="s">
        <v>475</v>
      </c>
    </row>
    <row r="4" spans="1:11" ht="15" customHeight="1">
      <c r="A4" s="269"/>
      <c r="B4" s="270"/>
      <c r="C4" s="306" t="s">
        <v>476</v>
      </c>
      <c r="D4" s="270"/>
      <c r="E4" s="306" t="s">
        <v>476</v>
      </c>
      <c r="F4" s="270"/>
      <c r="G4" s="306" t="s">
        <v>476</v>
      </c>
    </row>
    <row r="5" spans="1:11" ht="15" customHeight="1">
      <c r="A5" s="269"/>
      <c r="B5" s="270"/>
      <c r="C5" s="306" t="s">
        <v>477</v>
      </c>
      <c r="D5" s="270"/>
      <c r="E5" s="306" t="s">
        <v>477</v>
      </c>
      <c r="F5" s="270"/>
      <c r="G5" s="306" t="s">
        <v>477</v>
      </c>
    </row>
    <row r="6" spans="1:11" ht="24" customHeight="1">
      <c r="A6" s="273"/>
      <c r="B6" s="274"/>
      <c r="C6" s="307"/>
      <c r="D6" s="274"/>
      <c r="E6" s="307"/>
      <c r="F6" s="274"/>
      <c r="G6" s="307"/>
    </row>
    <row r="7" spans="1:11" ht="1.5" customHeight="1" thickBot="1">
      <c r="A7" s="277">
        <v>1996</v>
      </c>
      <c r="B7" s="287">
        <v>5599991</v>
      </c>
      <c r="C7" s="308">
        <v>-1.7950663164953688E-2</v>
      </c>
      <c r="D7" s="287">
        <v>1117084</v>
      </c>
      <c r="E7" s="308">
        <v>-7.0395014962435803E-2</v>
      </c>
      <c r="F7" s="287">
        <v>18812841</v>
      </c>
      <c r="G7" s="308">
        <v>-0.15548674078736344</v>
      </c>
    </row>
    <row r="8" spans="1:11" ht="0.75" hidden="1" customHeight="1" thickBot="1">
      <c r="A8" s="280">
        <v>1997</v>
      </c>
      <c r="B8" s="289">
        <v>5669325</v>
      </c>
      <c r="C8" s="309">
        <v>1.2381091326753918E-2</v>
      </c>
      <c r="D8" s="289">
        <v>1150122</v>
      </c>
      <c r="E8" s="309">
        <v>2.9575215471710273E-2</v>
      </c>
      <c r="F8" s="289">
        <v>18987651</v>
      </c>
      <c r="G8" s="309">
        <v>9.2920574835028899E-3</v>
      </c>
      <c r="I8" s="8"/>
      <c r="J8" s="8"/>
      <c r="K8" s="8"/>
    </row>
    <row r="9" spans="1:11" ht="19.5" hidden="1" customHeight="1" thickBot="1">
      <c r="A9" s="280">
        <v>1998</v>
      </c>
      <c r="B9" s="289">
        <v>5768621</v>
      </c>
      <c r="C9" s="309">
        <v>1.7514607118131346E-2</v>
      </c>
      <c r="D9" s="289">
        <v>1154759</v>
      </c>
      <c r="E9" s="309">
        <v>4.0317461973599323E-3</v>
      </c>
      <c r="F9" s="289">
        <v>17067058</v>
      </c>
      <c r="G9" s="309">
        <v>-0.10114958401120813</v>
      </c>
    </row>
    <row r="10" spans="1:11" ht="19.75" hidden="1" customHeight="1" thickBot="1">
      <c r="A10" s="280">
        <v>1999</v>
      </c>
      <c r="B10" s="289">
        <v>5833167</v>
      </c>
      <c r="C10" s="309">
        <v>1.1189155952523141E-2</v>
      </c>
      <c r="D10" s="289">
        <v>1096033</v>
      </c>
      <c r="E10" s="309">
        <v>-5.085563308014919E-2</v>
      </c>
      <c r="F10" s="289">
        <v>12747160</v>
      </c>
      <c r="G10" s="309">
        <v>-0.25311321963047173</v>
      </c>
    </row>
    <row r="11" spans="1:11" ht="19.25" hidden="1" customHeight="1" thickBot="1">
      <c r="A11" s="280">
        <v>2000</v>
      </c>
      <c r="B11" s="289">
        <v>5947035</v>
      </c>
      <c r="C11" s="309">
        <v>1.9520785192674923E-2</v>
      </c>
      <c r="D11" s="289">
        <v>1097932</v>
      </c>
      <c r="E11" s="309">
        <v>1.7326120655126261E-3</v>
      </c>
      <c r="F11" s="289">
        <v>12447351</v>
      </c>
      <c r="G11" s="309">
        <v>-2.3519670263807781E-2</v>
      </c>
    </row>
    <row r="12" spans="1:11" ht="19.5" hidden="1" customHeight="1" thickBot="1">
      <c r="A12" s="280">
        <v>2001</v>
      </c>
      <c r="B12" s="289">
        <v>6043905</v>
      </c>
      <c r="C12" s="309">
        <v>1.6288789287434831E-2</v>
      </c>
      <c r="D12" s="289">
        <v>1193315</v>
      </c>
      <c r="E12" s="309">
        <v>8.6875143451507014E-2</v>
      </c>
      <c r="F12" s="289">
        <v>12514126</v>
      </c>
      <c r="G12" s="309">
        <v>5.3645952460085683E-3</v>
      </c>
    </row>
    <row r="13" spans="1:11" ht="19.5" hidden="1" customHeight="1" thickBot="1">
      <c r="A13" s="280">
        <v>2002</v>
      </c>
      <c r="B13" s="289">
        <v>6170788</v>
      </c>
      <c r="C13" s="309">
        <v>2.0993546390950885E-2</v>
      </c>
      <c r="D13" s="289">
        <v>1207239</v>
      </c>
      <c r="E13" s="309">
        <v>1.1668335686721444E-2</v>
      </c>
      <c r="F13" s="289">
        <v>12391461</v>
      </c>
      <c r="G13" s="309">
        <v>-9.8021228170469109E-3</v>
      </c>
    </row>
    <row r="14" spans="1:11" ht="19.5" customHeight="1" thickBot="1">
      <c r="A14" s="280">
        <v>2003</v>
      </c>
      <c r="B14" s="289">
        <v>6105077</v>
      </c>
      <c r="C14" s="309">
        <v>-1.0648721038544834E-2</v>
      </c>
      <c r="D14" s="289">
        <v>1148028</v>
      </c>
      <c r="E14" s="309">
        <v>-4.904662622728391E-2</v>
      </c>
      <c r="F14" s="289">
        <v>11395671</v>
      </c>
      <c r="G14" s="309">
        <v>-8.0360984067980368E-2</v>
      </c>
    </row>
    <row r="15" spans="1:11" ht="19.5" customHeight="1" thickBot="1">
      <c r="A15" s="280">
        <v>2004</v>
      </c>
      <c r="B15" s="289">
        <v>6076231</v>
      </c>
      <c r="C15" s="309">
        <v>-4.7249199313948043E-3</v>
      </c>
      <c r="D15" s="289">
        <v>1196146</v>
      </c>
      <c r="E15" s="309">
        <v>4.191361186312529E-2</v>
      </c>
      <c r="F15" s="289">
        <v>11754955</v>
      </c>
      <c r="G15" s="309">
        <v>3.1528112736845422E-2</v>
      </c>
    </row>
    <row r="16" spans="1:11" ht="19.5" customHeight="1" thickBot="1">
      <c r="A16" s="280">
        <v>2005</v>
      </c>
      <c r="B16" s="289">
        <v>6104057</v>
      </c>
      <c r="C16" s="309">
        <v>4.5794835647294807E-3</v>
      </c>
      <c r="D16" s="289">
        <v>1219455</v>
      </c>
      <c r="E16" s="309">
        <v>1.948675161727742E-2</v>
      </c>
      <c r="F16" s="289">
        <v>11492862</v>
      </c>
      <c r="G16" s="309">
        <v>-2.2296384801132829E-2</v>
      </c>
    </row>
    <row r="17" spans="1:7" ht="19.5" customHeight="1" thickBot="1">
      <c r="A17" s="280">
        <v>2006</v>
      </c>
      <c r="B17" s="289">
        <v>6139775</v>
      </c>
      <c r="C17" s="309">
        <v>5.8515180968985447E-3</v>
      </c>
      <c r="D17" s="289">
        <v>1147933</v>
      </c>
      <c r="E17" s="309">
        <v>-5.86507907220849E-2</v>
      </c>
      <c r="F17" s="289">
        <v>11050113</v>
      </c>
      <c r="G17" s="309">
        <v>-3.8523824613921231E-2</v>
      </c>
    </row>
    <row r="18" spans="1:7" ht="19.5" customHeight="1" thickBot="1">
      <c r="A18" s="280">
        <v>2007</v>
      </c>
      <c r="B18" s="289">
        <v>6170950</v>
      </c>
      <c r="C18" s="309">
        <v>5.0775476300026767E-3</v>
      </c>
      <c r="D18" s="289">
        <v>1232442</v>
      </c>
      <c r="E18" s="309">
        <v>7.3618408042978034E-2</v>
      </c>
      <c r="F18" s="289">
        <v>11706006</v>
      </c>
      <c r="G18" s="309">
        <v>5.935622558791942E-2</v>
      </c>
    </row>
    <row r="19" spans="1:7" ht="19.5" customHeight="1" thickBot="1">
      <c r="A19" s="280">
        <v>2008</v>
      </c>
      <c r="B19" s="1339">
        <v>6246787.7832813188</v>
      </c>
      <c r="C19" s="1340">
        <v>1.2289482702228849E-2</v>
      </c>
      <c r="D19" s="289">
        <v>1283429</v>
      </c>
      <c r="E19" s="309">
        <v>4.1370709534404027E-2</v>
      </c>
      <c r="F19" s="289">
        <v>11789734</v>
      </c>
      <c r="G19" s="309">
        <v>7.152567664838072E-3</v>
      </c>
    </row>
    <row r="20" spans="1:7" ht="19.5" customHeight="1" thickBot="1">
      <c r="A20" s="280">
        <v>2009</v>
      </c>
      <c r="B20" s="289">
        <v>6463073</v>
      </c>
      <c r="C20" s="1340">
        <v>3.4623429548469531E-2</v>
      </c>
      <c r="D20" s="289">
        <v>1289334</v>
      </c>
      <c r="E20" s="309">
        <v>4.6009557209631957E-3</v>
      </c>
      <c r="F20" s="289">
        <v>11966875</v>
      </c>
      <c r="G20" s="309">
        <v>1.5025020920743426E-2</v>
      </c>
    </row>
    <row r="21" spans="1:7" ht="19.5" customHeight="1" thickBot="1">
      <c r="A21" s="280">
        <v>2010</v>
      </c>
      <c r="B21" s="289">
        <v>6497094</v>
      </c>
      <c r="C21" s="309">
        <v>5.2639046472164885E-3</v>
      </c>
      <c r="D21" s="289">
        <v>1211453</v>
      </c>
      <c r="E21" s="309">
        <v>-6.0404053565639271E-2</v>
      </c>
      <c r="F21" s="289">
        <v>10978202</v>
      </c>
      <c r="G21" s="309">
        <v>-8.2617475322504852E-2</v>
      </c>
    </row>
    <row r="22" spans="1:7" ht="19.5" customHeight="1" thickBot="1">
      <c r="A22" s="280">
        <v>2011</v>
      </c>
      <c r="B22" s="289">
        <v>6573455</v>
      </c>
      <c r="C22" s="309">
        <v>1.1753100693941088E-2</v>
      </c>
      <c r="D22" s="289">
        <v>1231733</v>
      </c>
      <c r="E22" s="309">
        <v>1.6740228469449558E-2</v>
      </c>
      <c r="F22" s="289">
        <v>11005083.609999999</v>
      </c>
      <c r="G22" s="309">
        <v>2.4486350314922856E-3</v>
      </c>
    </row>
    <row r="23" spans="1:7" ht="19.5" customHeight="1" thickBot="1">
      <c r="A23" s="280">
        <v>2012</v>
      </c>
      <c r="B23" s="289">
        <v>6578622</v>
      </c>
      <c r="C23" s="309">
        <v>7.8604021781547573E-4</v>
      </c>
      <c r="D23" s="289">
        <v>1235537</v>
      </c>
      <c r="E23" s="309">
        <v>3.0883316433025776E-3</v>
      </c>
      <c r="F23" s="289">
        <v>10705859</v>
      </c>
      <c r="G23" s="309">
        <v>-2.7189671664838877E-2</v>
      </c>
    </row>
    <row r="24" spans="1:7" ht="27.5" customHeight="1" thickBot="1">
      <c r="A24" s="283">
        <v>2013</v>
      </c>
      <c r="B24" s="290">
        <v>6681954</v>
      </c>
      <c r="C24" s="310">
        <v>1.5707240817301793E-2</v>
      </c>
      <c r="D24" s="290">
        <v>1337185</v>
      </c>
      <c r="E24" s="310">
        <v>8.2270300282387243E-2</v>
      </c>
      <c r="F24" s="290">
        <v>12516385</v>
      </c>
      <c r="G24" s="310">
        <v>0.16911543482872315</v>
      </c>
    </row>
    <row r="25" spans="1:7" ht="17.5" customHeight="1">
      <c r="A25" s="189" t="s">
        <v>346</v>
      </c>
      <c r="B25" s="189"/>
      <c r="C25" s="301"/>
      <c r="D25" s="189"/>
      <c r="E25" s="301"/>
      <c r="F25" s="189"/>
      <c r="G25" s="301"/>
    </row>
    <row r="26" spans="1:7" ht="12.75" customHeight="1">
      <c r="A26" s="219"/>
      <c r="B26" s="219"/>
      <c r="C26" s="218"/>
      <c r="D26" s="219"/>
      <c r="E26" s="218"/>
      <c r="F26" s="219"/>
      <c r="G26" s="218"/>
    </row>
    <row r="27" spans="1:7" ht="12.75" customHeight="1">
      <c r="A27" s="219" t="s">
        <v>2168</v>
      </c>
      <c r="B27" s="219"/>
      <c r="C27" s="218"/>
      <c r="D27" s="219"/>
      <c r="E27" s="218"/>
      <c r="F27" s="219"/>
      <c r="G27" s="218"/>
    </row>
    <row r="28" spans="1:7" ht="12.75" customHeight="1">
      <c r="A28" s="1345" t="s">
        <v>2169</v>
      </c>
      <c r="B28" s="219"/>
      <c r="C28" s="218"/>
      <c r="D28" s="219"/>
      <c r="E28" s="218"/>
      <c r="F28" s="219"/>
      <c r="G28" s="218"/>
    </row>
    <row r="29" spans="1:7" ht="12.75" customHeight="1">
      <c r="A29" s="219" t="s">
        <v>2197</v>
      </c>
      <c r="B29" s="219"/>
      <c r="C29" s="218"/>
      <c r="D29" s="219"/>
      <c r="E29" s="218"/>
      <c r="F29" s="219"/>
      <c r="G29" s="218"/>
    </row>
    <row r="30" spans="1:7" ht="12.75" customHeight="1">
      <c r="A30" s="219" t="s">
        <v>2170</v>
      </c>
      <c r="B30" s="219"/>
      <c r="C30" s="218"/>
      <c r="D30" s="219"/>
      <c r="E30" s="218"/>
      <c r="F30" s="219"/>
      <c r="G30" s="218"/>
    </row>
    <row r="31" spans="1:7" ht="12.75" customHeight="1">
      <c r="A31" s="1345"/>
      <c r="B31" s="219"/>
      <c r="C31" s="218"/>
      <c r="D31" s="219"/>
      <c r="E31" s="218"/>
      <c r="F31" s="219"/>
      <c r="G31" s="218"/>
    </row>
    <row r="33" spans="1:1">
      <c r="A33" s="3" t="s">
        <v>2171</v>
      </c>
    </row>
    <row r="36" spans="1:1">
      <c r="A36" s="3" t="s">
        <v>302</v>
      </c>
    </row>
  </sheetData>
  <pageMargins left="0.53" right="0.47" top="0.92" bottom="0.49" header="0.54" footer="0.4921259845"/>
  <pageSetup paperSize="9" scale="85" orientation="portrait" horizontalDpi="2400" verticalDpi="2400"/>
  <headerFooter alignWithMargins="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6585F-AAB0-424A-9F59-CC13B1F81835}">
  <sheetPr>
    <pageSetUpPr fitToPage="1"/>
  </sheetPr>
  <dimension ref="A1:G35"/>
  <sheetViews>
    <sheetView zoomScaleNormal="100" workbookViewId="0"/>
  </sheetViews>
  <sheetFormatPr baseColWidth="10" defaultColWidth="10.796875" defaultRowHeight="13"/>
  <cols>
    <col min="1" max="1" width="36.3984375" style="3" customWidth="1"/>
    <col min="2" max="6" width="14.19921875" style="6" customWidth="1"/>
    <col min="7" max="7" width="14.19921875" style="3" customWidth="1"/>
    <col min="8" max="16384" width="10.796875" style="3"/>
  </cols>
  <sheetData>
    <row r="1" spans="1:7" ht="14" customHeight="1">
      <c r="A1" s="198"/>
    </row>
    <row r="2" spans="1:7" ht="24" customHeight="1">
      <c r="A2" s="223" t="s">
        <v>2172</v>
      </c>
      <c r="G2" s="327">
        <v>2013</v>
      </c>
    </row>
    <row r="3" spans="1:7" s="245" customFormat="1" ht="25" customHeight="1">
      <c r="A3" s="1500" t="s">
        <v>2173</v>
      </c>
      <c r="B3" s="781" t="s">
        <v>644</v>
      </c>
      <c r="C3" s="559" t="s">
        <v>645</v>
      </c>
      <c r="D3" s="781" t="s">
        <v>497</v>
      </c>
      <c r="E3" s="268" t="s">
        <v>2174</v>
      </c>
      <c r="F3" s="465" t="s">
        <v>381</v>
      </c>
      <c r="G3" s="305" t="s">
        <v>475</v>
      </c>
    </row>
    <row r="4" spans="1:7" s="245" customFormat="1" ht="15" customHeight="1">
      <c r="A4" s="1501"/>
      <c r="B4" s="614"/>
      <c r="C4" s="272"/>
      <c r="D4" s="614"/>
      <c r="E4" s="272"/>
      <c r="F4" s="270"/>
      <c r="G4" s="306" t="s">
        <v>476</v>
      </c>
    </row>
    <row r="5" spans="1:7" s="245" customFormat="1" ht="15" customHeight="1">
      <c r="A5" s="1501"/>
      <c r="B5" s="614"/>
      <c r="C5" s="272"/>
      <c r="D5" s="614"/>
      <c r="E5" s="272"/>
      <c r="F5" s="270"/>
      <c r="G5" s="306" t="s">
        <v>477</v>
      </c>
    </row>
    <row r="6" spans="1:7" s="245" customFormat="1" ht="24" customHeight="1">
      <c r="A6" s="1502"/>
      <c r="B6" s="1503"/>
      <c r="C6" s="1504"/>
      <c r="D6" s="1503"/>
      <c r="E6" s="1504"/>
      <c r="F6" s="544"/>
      <c r="G6" s="307"/>
    </row>
    <row r="7" spans="1:7" ht="28.25" customHeight="1" thickBot="1">
      <c r="A7" s="1505" t="s">
        <v>2175</v>
      </c>
      <c r="B7" s="352">
        <v>3197627.52</v>
      </c>
      <c r="C7" s="353">
        <v>3332235.99</v>
      </c>
      <c r="D7" s="352">
        <v>6529863.5099999998</v>
      </c>
      <c r="E7" s="353">
        <v>1516064.78</v>
      </c>
      <c r="F7" s="1228">
        <v>8045928.29</v>
      </c>
      <c r="G7" s="736">
        <v>1.1639222967195289E-2</v>
      </c>
    </row>
    <row r="8" spans="1:7" ht="24" customHeight="1" thickBot="1">
      <c r="A8" s="1506" t="s">
        <v>2176</v>
      </c>
      <c r="B8" s="289">
        <v>2311237</v>
      </c>
      <c r="C8" s="159">
        <v>2978613</v>
      </c>
      <c r="D8" s="289">
        <v>5289850</v>
      </c>
      <c r="E8" s="159">
        <v>1392104</v>
      </c>
      <c r="F8" s="660">
        <v>6681954</v>
      </c>
      <c r="G8" s="736">
        <v>1.5707240817301859E-2</v>
      </c>
    </row>
    <row r="9" spans="1:7" ht="23.25" customHeight="1" thickBot="1">
      <c r="A9" s="1506" t="s">
        <v>2177</v>
      </c>
      <c r="B9" s="281">
        <v>72.28</v>
      </c>
      <c r="C9" s="282">
        <v>89.39</v>
      </c>
      <c r="D9" s="281">
        <v>81.010115937323775</v>
      </c>
      <c r="E9" s="282">
        <v>91.82</v>
      </c>
      <c r="F9" s="1271">
        <v>83.05</v>
      </c>
      <c r="G9" s="736">
        <v>3.9893617021276393E-3</v>
      </c>
    </row>
    <row r="10" spans="1:7" ht="24" customHeight="1" thickBot="1">
      <c r="A10" s="1506" t="s">
        <v>2178</v>
      </c>
      <c r="B10" s="289">
        <v>529085</v>
      </c>
      <c r="C10" s="159">
        <v>723272</v>
      </c>
      <c r="D10" s="289">
        <v>1252357</v>
      </c>
      <c r="E10" s="159">
        <v>84828</v>
      </c>
      <c r="F10" s="660">
        <v>1337185</v>
      </c>
      <c r="G10" s="736">
        <v>8.227030028238734E-2</v>
      </c>
    </row>
    <row r="11" spans="1:7" ht="20" hidden="1" customHeight="1" thickBot="1">
      <c r="A11" s="1507" t="s">
        <v>2179</v>
      </c>
      <c r="B11" s="1339" t="s">
        <v>537</v>
      </c>
      <c r="C11" s="1371">
        <v>120844</v>
      </c>
      <c r="D11" s="1339">
        <v>120844</v>
      </c>
      <c r="E11" s="1371">
        <v>594</v>
      </c>
      <c r="F11" s="1508">
        <v>121504</v>
      </c>
      <c r="G11" s="1509">
        <v>2.7691787194451492E-2</v>
      </c>
    </row>
    <row r="12" spans="1:7" ht="24" customHeight="1" thickBot="1">
      <c r="A12" s="1506" t="s">
        <v>2180</v>
      </c>
      <c r="B12" s="281">
        <v>16.55</v>
      </c>
      <c r="C12" s="282">
        <v>21.71</v>
      </c>
      <c r="D12" s="281">
        <v>19.178915425752905</v>
      </c>
      <c r="E12" s="282">
        <v>5.6</v>
      </c>
      <c r="F12" s="1271">
        <v>16.62</v>
      </c>
      <c r="G12" s="736">
        <v>7.0186735350933782E-2</v>
      </c>
    </row>
    <row r="13" spans="1:7" ht="24" customHeight="1" thickBot="1">
      <c r="A13" s="1506" t="s">
        <v>2181</v>
      </c>
      <c r="B13" s="289">
        <v>5288248</v>
      </c>
      <c r="C13" s="159">
        <v>6628908</v>
      </c>
      <c r="D13" s="289">
        <v>11917156</v>
      </c>
      <c r="E13" s="159">
        <v>599229</v>
      </c>
      <c r="F13" s="660">
        <v>12516385</v>
      </c>
      <c r="G13" s="736">
        <v>0.16911543482872324</v>
      </c>
    </row>
    <row r="14" spans="1:7" ht="20" hidden="1" customHeight="1" thickBot="1">
      <c r="A14" s="1507" t="s">
        <v>2179</v>
      </c>
      <c r="B14" s="1510" t="s">
        <v>537</v>
      </c>
      <c r="C14" s="1371">
        <v>634442</v>
      </c>
      <c r="D14" s="1339">
        <v>634442</v>
      </c>
      <c r="E14" s="1371">
        <v>3491</v>
      </c>
      <c r="F14" s="1508">
        <v>637933</v>
      </c>
      <c r="G14" s="1509">
        <v>9.779677613090966E-2</v>
      </c>
    </row>
    <row r="15" spans="1:7" ht="24.5" customHeight="1" thickBot="1">
      <c r="A15" s="1506" t="s">
        <v>2182</v>
      </c>
      <c r="B15" s="281">
        <v>165.38</v>
      </c>
      <c r="C15" s="282">
        <v>198.93</v>
      </c>
      <c r="D15" s="281">
        <v>182.5023751530145</v>
      </c>
      <c r="E15" s="282">
        <v>39.53</v>
      </c>
      <c r="F15" s="1271">
        <v>155.56</v>
      </c>
      <c r="G15" s="736">
        <v>0.15563479682044415</v>
      </c>
    </row>
    <row r="16" spans="1:7" ht="30" customHeight="1" thickBot="1">
      <c r="A16" s="1511" t="s">
        <v>2183</v>
      </c>
      <c r="B16" s="1512">
        <v>10</v>
      </c>
      <c r="C16" s="1513">
        <v>9.17</v>
      </c>
      <c r="D16" s="1512">
        <v>9.5157818417591784</v>
      </c>
      <c r="E16" s="1513">
        <v>7.06</v>
      </c>
      <c r="F16" s="284">
        <v>9.36</v>
      </c>
      <c r="G16" s="737">
        <v>8.0831408775981439E-2</v>
      </c>
    </row>
    <row r="17" spans="1:7" ht="20" customHeight="1">
      <c r="A17" s="189" t="s">
        <v>346</v>
      </c>
      <c r="B17" s="302"/>
      <c r="C17" s="302"/>
      <c r="D17" s="302"/>
      <c r="E17" s="302"/>
      <c r="F17" s="302"/>
      <c r="G17" s="189"/>
    </row>
    <row r="18" spans="1:7" ht="13.5" customHeight="1">
      <c r="A18" s="219"/>
      <c r="B18" s="413"/>
      <c r="C18" s="413"/>
      <c r="D18" s="413"/>
      <c r="E18" s="413"/>
      <c r="F18" s="413"/>
      <c r="G18" s="219"/>
    </row>
    <row r="19" spans="1:7" ht="13.5" customHeight="1">
      <c r="A19" s="219" t="s">
        <v>2184</v>
      </c>
      <c r="B19" s="413"/>
      <c r="C19" s="413"/>
      <c r="D19" s="413"/>
      <c r="E19" s="413"/>
      <c r="F19" s="413"/>
      <c r="G19" s="219"/>
    </row>
    <row r="20" spans="1:7" ht="12.75" customHeight="1">
      <c r="A20" s="219" t="s">
        <v>2185</v>
      </c>
      <c r="B20" s="413"/>
      <c r="C20" s="413"/>
      <c r="D20" s="413"/>
      <c r="E20" s="413"/>
      <c r="F20" s="413"/>
      <c r="G20" s="219"/>
    </row>
    <row r="21" spans="1:7" ht="12.75" customHeight="1">
      <c r="A21" s="219" t="s">
        <v>2186</v>
      </c>
      <c r="B21" s="413"/>
      <c r="C21" s="413"/>
      <c r="D21" s="413"/>
      <c r="E21" s="413"/>
      <c r="F21" s="413"/>
      <c r="G21" s="219"/>
    </row>
    <row r="22" spans="1:7" ht="12.75" customHeight="1">
      <c r="A22" s="1514" t="s">
        <v>2187</v>
      </c>
    </row>
    <row r="23" spans="1:7" ht="12.75" customHeight="1">
      <c r="A23" s="1514" t="s">
        <v>2188</v>
      </c>
    </row>
    <row r="24" spans="1:7" ht="12.75" customHeight="1">
      <c r="A24" s="1514" t="s">
        <v>2189</v>
      </c>
    </row>
    <row r="25" spans="1:7" ht="12.75" customHeight="1">
      <c r="A25" s="1514" t="s">
        <v>2190</v>
      </c>
    </row>
    <row r="26" spans="1:7" ht="12.75" customHeight="1">
      <c r="A26" s="1514" t="s">
        <v>2191</v>
      </c>
    </row>
    <row r="27" spans="1:7" ht="12.75" customHeight="1">
      <c r="A27" s="1514" t="s">
        <v>2192</v>
      </c>
    </row>
    <row r="28" spans="1:7" ht="12.75" customHeight="1">
      <c r="A28" s="1514" t="s">
        <v>2193</v>
      </c>
    </row>
    <row r="29" spans="1:7" ht="12.75" customHeight="1">
      <c r="A29" s="1514" t="s">
        <v>2194</v>
      </c>
      <c r="F29" s="3"/>
    </row>
    <row r="30" spans="1:7" ht="12.75" customHeight="1">
      <c r="A30" s="247" t="s">
        <v>2195</v>
      </c>
      <c r="F30" s="247"/>
    </row>
    <row r="32" spans="1:7">
      <c r="A32" s="3" t="s">
        <v>2196</v>
      </c>
    </row>
    <row r="35" spans="1:1">
      <c r="A35" s="367" t="s">
        <v>302</v>
      </c>
    </row>
  </sheetData>
  <pageMargins left="0.57999999999999996" right="0.65" top="0.85" bottom="0.47244094488188981" header="0.49" footer="0.51181102362204722"/>
  <pageSetup paperSize="9" scale="74" orientation="portrait" horizontalDpi="1200" verticalDpi="1200"/>
  <headerFooter alignWithMargins="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2CA98-8EC0-1648-8BB0-9000D02C9283}">
  <sheetPr>
    <pageSetUpPr fitToPage="1"/>
  </sheetPr>
  <dimension ref="A1:K44"/>
  <sheetViews>
    <sheetView zoomScaleNormal="100" workbookViewId="0"/>
  </sheetViews>
  <sheetFormatPr baseColWidth="10" defaultColWidth="11.3984375" defaultRowHeight="13"/>
  <cols>
    <col min="1" max="1" width="15.3984375" style="3" customWidth="1"/>
    <col min="2" max="9" width="14.59765625" style="201" customWidth="1"/>
    <col min="10" max="10" width="14.3984375" style="201" customWidth="1"/>
    <col min="11" max="11" width="14.19921875" style="201" customWidth="1"/>
    <col min="12" max="16384" width="11.3984375" style="3"/>
  </cols>
  <sheetData>
    <row r="1" spans="1:11" s="1" customFormat="1" ht="14" customHeight="1">
      <c r="A1" s="191"/>
      <c r="B1" s="1425"/>
      <c r="C1" s="1425"/>
      <c r="D1" s="1425"/>
      <c r="E1" s="1425"/>
      <c r="F1" s="1425"/>
      <c r="G1" s="1425"/>
      <c r="H1" s="1425"/>
      <c r="I1" s="1425"/>
      <c r="J1" s="1425"/>
      <c r="K1" s="1425"/>
    </row>
    <row r="2" spans="1:11" s="1" customFormat="1" ht="21.5" customHeight="1">
      <c r="A2" s="570" t="s">
        <v>2588</v>
      </c>
      <c r="B2" s="1426"/>
      <c r="C2" s="1426"/>
      <c r="D2" s="1426"/>
      <c r="E2" s="1426"/>
      <c r="F2" s="1426"/>
      <c r="G2" s="1426"/>
      <c r="H2" s="1426"/>
      <c r="I2" s="1426"/>
      <c r="J2" s="1598"/>
      <c r="K2" s="1105"/>
    </row>
    <row r="3" spans="1:11" ht="25.25" customHeight="1">
      <c r="A3" s="269" t="s">
        <v>460</v>
      </c>
      <c r="B3" s="1599" t="s">
        <v>2378</v>
      </c>
      <c r="C3" s="1600"/>
      <c r="D3" s="1601"/>
      <c r="E3" s="1602"/>
      <c r="F3" s="1448" t="s">
        <v>2379</v>
      </c>
      <c r="G3" s="1603"/>
      <c r="H3" s="1604"/>
      <c r="I3" s="1605"/>
      <c r="J3" s="3"/>
      <c r="K3" s="3"/>
    </row>
    <row r="4" spans="1:11" ht="36" customHeight="1">
      <c r="A4" s="269"/>
      <c r="B4" s="1606" t="s">
        <v>2380</v>
      </c>
      <c r="C4" s="1607"/>
      <c r="D4" s="1608" t="s">
        <v>2381</v>
      </c>
      <c r="E4" s="1609" t="s">
        <v>381</v>
      </c>
      <c r="F4" s="1610" t="s">
        <v>2380</v>
      </c>
      <c r="G4" s="1606"/>
      <c r="H4" s="1608" t="s">
        <v>2381</v>
      </c>
      <c r="I4" s="1609" t="s">
        <v>381</v>
      </c>
      <c r="J4" s="3"/>
      <c r="K4" s="3"/>
    </row>
    <row r="5" spans="1:11" ht="17.5" customHeight="1">
      <c r="A5" s="269"/>
      <c r="B5" s="270" t="s">
        <v>2382</v>
      </c>
      <c r="C5" s="271" t="s">
        <v>452</v>
      </c>
      <c r="D5" s="270" t="s">
        <v>452</v>
      </c>
      <c r="E5" s="271"/>
      <c r="F5" s="1611" t="s">
        <v>2382</v>
      </c>
      <c r="G5" s="271" t="s">
        <v>452</v>
      </c>
      <c r="H5" s="270" t="s">
        <v>452</v>
      </c>
      <c r="I5" s="271"/>
      <c r="J5" s="3"/>
      <c r="K5" s="3"/>
    </row>
    <row r="6" spans="1:11" ht="16.25" customHeight="1">
      <c r="A6" s="269"/>
      <c r="B6" s="270" t="s">
        <v>452</v>
      </c>
      <c r="C6" s="271" t="s">
        <v>2383</v>
      </c>
      <c r="D6" s="270" t="s">
        <v>2384</v>
      </c>
      <c r="E6" s="271"/>
      <c r="F6" s="1611" t="s">
        <v>452</v>
      </c>
      <c r="G6" s="271" t="s">
        <v>2383</v>
      </c>
      <c r="H6" s="270" t="s">
        <v>2384</v>
      </c>
      <c r="I6" s="271"/>
      <c r="J6" s="3"/>
      <c r="K6" s="3"/>
    </row>
    <row r="7" spans="1:11" ht="15" customHeight="1">
      <c r="A7" s="269"/>
      <c r="B7" s="315" t="s">
        <v>2385</v>
      </c>
      <c r="C7" s="1178"/>
      <c r="D7" s="315"/>
      <c r="E7" s="1178"/>
      <c r="F7" s="1612" t="s">
        <v>2385</v>
      </c>
      <c r="G7" s="271"/>
      <c r="H7" s="270"/>
      <c r="I7" s="271"/>
      <c r="J7" s="3"/>
      <c r="K7" s="3"/>
    </row>
    <row r="8" spans="1:11" ht="13.25" customHeight="1">
      <c r="A8" s="227"/>
      <c r="B8" s="274"/>
      <c r="C8" s="275"/>
      <c r="D8" s="274"/>
      <c r="E8" s="275"/>
      <c r="F8" s="1613"/>
      <c r="G8" s="275"/>
      <c r="H8" s="274"/>
      <c r="I8" s="275"/>
      <c r="J8" s="3"/>
      <c r="K8" s="3"/>
    </row>
    <row r="9" spans="1:11" ht="1.5" customHeight="1" thickBot="1">
      <c r="A9" s="316">
        <v>1991</v>
      </c>
      <c r="B9" s="1614">
        <v>996.2</v>
      </c>
      <c r="C9" s="1615" t="s">
        <v>153</v>
      </c>
      <c r="D9" s="1614">
        <v>780</v>
      </c>
      <c r="E9" s="1615">
        <v>1776.2</v>
      </c>
      <c r="F9" s="1616">
        <v>885.4</v>
      </c>
      <c r="G9" s="1615" t="s">
        <v>153</v>
      </c>
      <c r="H9" s="278">
        <v>649.4</v>
      </c>
      <c r="I9" s="279">
        <v>1534.8</v>
      </c>
      <c r="J9" s="3"/>
      <c r="K9" s="3"/>
    </row>
    <row r="10" spans="1:11" ht="20" hidden="1" customHeight="1" thickBot="1">
      <c r="A10" s="319">
        <v>1992</v>
      </c>
      <c r="B10" s="1617">
        <v>1003.8</v>
      </c>
      <c r="C10" s="1615" t="s">
        <v>153</v>
      </c>
      <c r="D10" s="1618">
        <v>897</v>
      </c>
      <c r="E10" s="1619">
        <v>1900.8</v>
      </c>
      <c r="F10" s="1620">
        <v>923.2</v>
      </c>
      <c r="G10" s="1615" t="s">
        <v>153</v>
      </c>
      <c r="H10" s="1621">
        <v>783.9</v>
      </c>
      <c r="I10" s="1622">
        <v>1707.1</v>
      </c>
      <c r="J10" s="3"/>
      <c r="K10" s="3"/>
    </row>
    <row r="11" spans="1:11" ht="20" hidden="1" customHeight="1" thickBot="1">
      <c r="A11" s="319">
        <v>1993</v>
      </c>
      <c r="B11" s="1617">
        <v>1026.2</v>
      </c>
      <c r="C11" s="1615" t="s">
        <v>153</v>
      </c>
      <c r="D11" s="1618">
        <v>932.8</v>
      </c>
      <c r="E11" s="1619">
        <v>1959</v>
      </c>
      <c r="F11" s="1620">
        <v>928.41399999999999</v>
      </c>
      <c r="G11" s="1615" t="s">
        <v>153</v>
      </c>
      <c r="H11" s="1621">
        <v>833.7</v>
      </c>
      <c r="I11" s="1622">
        <v>1762.114</v>
      </c>
      <c r="J11" s="3"/>
      <c r="K11" s="3"/>
    </row>
    <row r="12" spans="1:11" ht="20" hidden="1" customHeight="1" thickBot="1">
      <c r="A12" s="319">
        <v>1994</v>
      </c>
      <c r="B12" s="1617">
        <v>1052.2</v>
      </c>
      <c r="C12" s="1615" t="s">
        <v>153</v>
      </c>
      <c r="D12" s="1618">
        <v>931.1</v>
      </c>
      <c r="E12" s="1619">
        <v>1983.3000000000002</v>
      </c>
      <c r="F12" s="1620">
        <v>983.23500000000001</v>
      </c>
      <c r="G12" s="1615" t="s">
        <v>153</v>
      </c>
      <c r="H12" s="1621">
        <v>876.1</v>
      </c>
      <c r="I12" s="1622">
        <v>1859.335</v>
      </c>
      <c r="J12" s="3"/>
      <c r="K12" s="3"/>
    </row>
    <row r="13" spans="1:11" ht="19.5" hidden="1" customHeight="1" thickBot="1">
      <c r="A13" s="319">
        <v>1995</v>
      </c>
      <c r="B13" s="1617">
        <v>1073.0999999999999</v>
      </c>
      <c r="C13" s="1615" t="s">
        <v>153</v>
      </c>
      <c r="D13" s="1618">
        <v>935</v>
      </c>
      <c r="E13" s="1619">
        <v>2008.1</v>
      </c>
      <c r="F13" s="1620">
        <v>1017.388</v>
      </c>
      <c r="G13" s="1615" t="s">
        <v>153</v>
      </c>
      <c r="H13" s="1621">
        <v>901.4</v>
      </c>
      <c r="I13" s="1622">
        <v>1918.788</v>
      </c>
      <c r="J13" s="3"/>
      <c r="K13" s="3"/>
    </row>
    <row r="14" spans="1:11" ht="0.75" hidden="1" customHeight="1" thickBot="1">
      <c r="A14" s="319">
        <v>1996</v>
      </c>
      <c r="B14" s="1617">
        <v>832</v>
      </c>
      <c r="C14" s="1623">
        <v>180.9</v>
      </c>
      <c r="D14" s="1618">
        <v>978.3</v>
      </c>
      <c r="E14" s="1619">
        <v>1991.1999999999998</v>
      </c>
      <c r="F14" s="1620">
        <v>872.50191104999999</v>
      </c>
      <c r="G14" s="1623">
        <v>116.7</v>
      </c>
      <c r="H14" s="1621">
        <v>846.1</v>
      </c>
      <c r="I14" s="1622">
        <v>1835.3019110499999</v>
      </c>
      <c r="J14"/>
      <c r="K14" s="3"/>
    </row>
    <row r="15" spans="1:11" ht="19.5" hidden="1" customHeight="1" thickBot="1">
      <c r="A15" s="319">
        <v>1997</v>
      </c>
      <c r="B15" s="1617">
        <v>558.9</v>
      </c>
      <c r="C15" s="282">
        <v>393.8</v>
      </c>
      <c r="D15" s="281">
        <v>1319.9</v>
      </c>
      <c r="E15" s="1615">
        <v>2272.6000000000004</v>
      </c>
      <c r="F15" s="1620">
        <v>621.52611999999999</v>
      </c>
      <c r="G15" s="282">
        <v>335.7</v>
      </c>
      <c r="H15" s="281">
        <v>1082.8</v>
      </c>
      <c r="I15" s="279">
        <v>2040.02612</v>
      </c>
      <c r="J15"/>
      <c r="K15" s="3"/>
    </row>
    <row r="16" spans="1:11" ht="0.75" hidden="1" customHeight="1" thickBot="1">
      <c r="A16" s="319">
        <v>1998</v>
      </c>
      <c r="B16" s="1617">
        <v>509.6</v>
      </c>
      <c r="C16" s="282">
        <v>508.1</v>
      </c>
      <c r="D16" s="281">
        <v>1428.4</v>
      </c>
      <c r="E16" s="1615">
        <v>2446.1000000000004</v>
      </c>
      <c r="F16" s="1620">
        <v>456.36259100000001</v>
      </c>
      <c r="G16" s="282">
        <v>453.7</v>
      </c>
      <c r="H16" s="281">
        <v>1137.0999999999999</v>
      </c>
      <c r="I16" s="279">
        <v>2047.1625909999998</v>
      </c>
      <c r="J16"/>
      <c r="K16" s="3"/>
    </row>
    <row r="17" spans="1:11" ht="19.75" hidden="1" customHeight="1" thickBot="1">
      <c r="A17" s="319">
        <v>1999</v>
      </c>
      <c r="B17" s="1617">
        <v>462.9</v>
      </c>
      <c r="C17" s="282">
        <v>442.7</v>
      </c>
      <c r="D17" s="281">
        <v>1337.8</v>
      </c>
      <c r="E17" s="1615">
        <v>2243.3999999999996</v>
      </c>
      <c r="F17" s="1620">
        <v>412.14915300000001</v>
      </c>
      <c r="G17" s="282">
        <v>385.2</v>
      </c>
      <c r="H17" s="281">
        <v>1077.5</v>
      </c>
      <c r="I17" s="279">
        <v>1874.8491530000001</v>
      </c>
      <c r="J17"/>
      <c r="K17" s="3"/>
    </row>
    <row r="18" spans="1:11" ht="20" hidden="1" customHeight="1" thickBot="1">
      <c r="A18" s="319">
        <v>2000</v>
      </c>
      <c r="B18" s="1617">
        <v>438.9</v>
      </c>
      <c r="C18" s="282">
        <v>339.7</v>
      </c>
      <c r="D18" s="281">
        <v>1636.2</v>
      </c>
      <c r="E18" s="1615">
        <v>2414.8000000000002</v>
      </c>
      <c r="F18" s="1620">
        <v>381.63992000000002</v>
      </c>
      <c r="G18" s="282">
        <v>299.2</v>
      </c>
      <c r="H18" s="281">
        <v>1334.1</v>
      </c>
      <c r="I18" s="279">
        <v>2014.9399199999998</v>
      </c>
      <c r="J18"/>
      <c r="K18" s="3"/>
    </row>
    <row r="19" spans="1:11" ht="20" hidden="1" customHeight="1" thickBot="1">
      <c r="A19" s="319">
        <v>2001</v>
      </c>
      <c r="B19" s="1617">
        <v>398.65</v>
      </c>
      <c r="C19" s="282">
        <v>248.38</v>
      </c>
      <c r="D19" s="281">
        <v>1850.78</v>
      </c>
      <c r="E19" s="1615">
        <v>2497.81</v>
      </c>
      <c r="F19" s="1620">
        <v>351.97137099999998</v>
      </c>
      <c r="G19" s="282">
        <v>201.85</v>
      </c>
      <c r="H19" s="281">
        <v>1595.15</v>
      </c>
      <c r="I19" s="279">
        <v>2148.9713710000001</v>
      </c>
      <c r="J19"/>
      <c r="K19" s="3"/>
    </row>
    <row r="20" spans="1:11" ht="20" hidden="1" customHeight="1" thickBot="1">
      <c r="A20" s="319">
        <v>2002</v>
      </c>
      <c r="B20" s="1617">
        <v>370.90300000000002</v>
      </c>
      <c r="C20" s="282">
        <v>248.779527</v>
      </c>
      <c r="D20" s="281">
        <v>1945.9522629999999</v>
      </c>
      <c r="E20" s="1615">
        <v>2565.6347900000001</v>
      </c>
      <c r="F20" s="1620">
        <v>329.149</v>
      </c>
      <c r="G20" s="282">
        <v>227.06825000000001</v>
      </c>
      <c r="H20" s="281">
        <v>1700.9860189999999</v>
      </c>
      <c r="I20" s="279">
        <v>2257.2032690000001</v>
      </c>
      <c r="J20"/>
      <c r="K20" s="3"/>
    </row>
    <row r="21" spans="1:11" ht="20" customHeight="1" thickBot="1">
      <c r="A21" s="319">
        <v>2003</v>
      </c>
      <c r="B21" s="1617">
        <v>354.08080662000003</v>
      </c>
      <c r="C21" s="282">
        <v>295.50233600000001</v>
      </c>
      <c r="D21" s="281">
        <v>2059.7853359999999</v>
      </c>
      <c r="E21" s="1615">
        <v>2709.3684786200001</v>
      </c>
      <c r="F21" s="1620">
        <v>309.91303072000005</v>
      </c>
      <c r="G21" s="282">
        <v>266.92607400000003</v>
      </c>
      <c r="H21" s="281">
        <v>1821.754373</v>
      </c>
      <c r="I21" s="279">
        <v>2398.59347772</v>
      </c>
      <c r="J21"/>
      <c r="K21" s="3"/>
    </row>
    <row r="22" spans="1:11" ht="20" customHeight="1" thickBot="1">
      <c r="A22" s="319">
        <v>2004</v>
      </c>
      <c r="B22" s="1617">
        <v>354.05374882999996</v>
      </c>
      <c r="C22" s="282">
        <v>465.97641131</v>
      </c>
      <c r="D22" s="281">
        <v>2199.5077430000001</v>
      </c>
      <c r="E22" s="1615">
        <v>3019.5379031399998</v>
      </c>
      <c r="F22" s="1620">
        <v>277.93515424999998</v>
      </c>
      <c r="G22" s="282">
        <v>341.37247587999997</v>
      </c>
      <c r="H22" s="281">
        <v>1729.046304</v>
      </c>
      <c r="I22" s="279">
        <v>2348.3539341300002</v>
      </c>
      <c r="J22"/>
      <c r="K22" s="3"/>
    </row>
    <row r="23" spans="1:11" ht="20" customHeight="1" thickBot="1">
      <c r="A23" s="319">
        <v>2005</v>
      </c>
      <c r="B23" s="1624">
        <v>340.05814830000003</v>
      </c>
      <c r="C23" s="1455">
        <v>497.83377424000003</v>
      </c>
      <c r="D23" s="1456">
        <v>2145.0129550000001</v>
      </c>
      <c r="E23" s="1625">
        <v>2982.9048775400001</v>
      </c>
      <c r="F23" s="1626">
        <v>251.06148209</v>
      </c>
      <c r="G23" s="1455">
        <v>268.00454783000004</v>
      </c>
      <c r="H23" s="1456">
        <v>1547.535421</v>
      </c>
      <c r="I23" s="279">
        <v>2066.6014509199999</v>
      </c>
      <c r="J23"/>
      <c r="K23" s="3"/>
    </row>
    <row r="24" spans="1:11" ht="20" customHeight="1" thickBot="1">
      <c r="A24" s="319">
        <v>2006</v>
      </c>
      <c r="B24" s="1627">
        <v>315.75842189999997</v>
      </c>
      <c r="C24" s="431">
        <v>549.01423610000006</v>
      </c>
      <c r="D24" s="1628">
        <v>2152.4333590000001</v>
      </c>
      <c r="E24" s="1629">
        <v>3017.2060170000004</v>
      </c>
      <c r="F24" s="1630">
        <v>220.62135384000001</v>
      </c>
      <c r="G24" s="431">
        <v>347.81852166000004</v>
      </c>
      <c r="H24" s="1628">
        <v>1471.853128</v>
      </c>
      <c r="I24" s="279">
        <v>2040.2930034999999</v>
      </c>
      <c r="J24"/>
      <c r="K24" s="3"/>
    </row>
    <row r="25" spans="1:11" ht="20" customHeight="1" thickBot="1">
      <c r="A25" s="319">
        <v>2007</v>
      </c>
      <c r="B25" s="1627">
        <v>299.25460810000004</v>
      </c>
      <c r="C25" s="431">
        <v>544.40750937999996</v>
      </c>
      <c r="D25" s="1628">
        <v>2152.1659110000001</v>
      </c>
      <c r="E25" s="1629">
        <v>2995.8280284800003</v>
      </c>
      <c r="F25" s="1630">
        <v>207.71949052000002</v>
      </c>
      <c r="G25" s="431">
        <v>361.81478957000002</v>
      </c>
      <c r="H25" s="1628">
        <v>1413.613732</v>
      </c>
      <c r="I25" s="279">
        <v>1983.1480120900001</v>
      </c>
      <c r="J25"/>
      <c r="K25" s="3"/>
    </row>
    <row r="26" spans="1:11" ht="20" customHeight="1" thickBot="1">
      <c r="A26" s="319">
        <v>2008</v>
      </c>
      <c r="B26" s="1627">
        <v>279.14776779000005</v>
      </c>
      <c r="C26" s="431">
        <v>601.73837565999997</v>
      </c>
      <c r="D26" s="1628">
        <v>2165.5996903400001</v>
      </c>
      <c r="E26" s="1629">
        <v>3046.48583379</v>
      </c>
      <c r="F26" s="1630">
        <v>198.28855634000001</v>
      </c>
      <c r="G26" s="431">
        <v>376.54164749</v>
      </c>
      <c r="H26" s="1628">
        <v>1588.33368651</v>
      </c>
      <c r="I26" s="279">
        <v>2163.1638903399999</v>
      </c>
      <c r="J26"/>
      <c r="K26" s="3"/>
    </row>
    <row r="27" spans="1:11" ht="20" customHeight="1" thickBot="1">
      <c r="A27" s="319">
        <v>2009</v>
      </c>
      <c r="B27" s="1627">
        <v>266.99439283000004</v>
      </c>
      <c r="C27" s="431">
        <v>613.90236912</v>
      </c>
      <c r="D27" s="1628">
        <v>2277.2683508800001</v>
      </c>
      <c r="E27" s="1629">
        <v>3158.16511283</v>
      </c>
      <c r="F27" s="1630">
        <v>197.19709062000001</v>
      </c>
      <c r="G27" s="431">
        <v>416.67744579000004</v>
      </c>
      <c r="H27" s="1628">
        <v>1765.9177112100001</v>
      </c>
      <c r="I27" s="279">
        <v>2379.7922476200001</v>
      </c>
      <c r="J27"/>
      <c r="K27" s="3"/>
    </row>
    <row r="28" spans="1:11" ht="20" customHeight="1" thickBot="1">
      <c r="A28" s="319">
        <v>2010</v>
      </c>
      <c r="B28" s="1627">
        <v>247.74789125999999</v>
      </c>
      <c r="C28" s="431">
        <v>635.46234808000008</v>
      </c>
      <c r="D28" s="1628">
        <v>2210.8710219199997</v>
      </c>
      <c r="E28" s="1629">
        <v>3094.0812612599998</v>
      </c>
      <c r="F28" s="1630">
        <v>191.64464322000001</v>
      </c>
      <c r="G28" s="431">
        <v>422.56109957000001</v>
      </c>
      <c r="H28" s="1628">
        <v>1869.3956174300001</v>
      </c>
      <c r="I28" s="279">
        <v>2483.6013602200001</v>
      </c>
      <c r="J28"/>
      <c r="K28" s="3"/>
    </row>
    <row r="29" spans="1:11" ht="20" customHeight="1" thickBot="1">
      <c r="A29" s="319">
        <v>2011</v>
      </c>
      <c r="B29" s="1627">
        <v>240.00022977</v>
      </c>
      <c r="C29" s="431">
        <v>609.69295476000002</v>
      </c>
      <c r="D29" s="1628">
        <v>2324.8161742399998</v>
      </c>
      <c r="E29" s="1629">
        <v>3174.5093587699998</v>
      </c>
      <c r="F29" s="1630">
        <v>188.23914556</v>
      </c>
      <c r="G29" s="431">
        <v>541.66194351000001</v>
      </c>
      <c r="H29" s="1628">
        <v>1827.5736344899997</v>
      </c>
      <c r="I29" s="279">
        <v>2557.4747235599998</v>
      </c>
      <c r="J29"/>
      <c r="K29" s="3"/>
    </row>
    <row r="30" spans="1:11" ht="20" customHeight="1" thickBot="1">
      <c r="A30" s="319">
        <v>2012</v>
      </c>
      <c r="B30" s="1627" vm="552">
        <v>244.97867042000004</v>
      </c>
      <c r="C30" s="431">
        <v>663.39876769999978</v>
      </c>
      <c r="D30" s="1628">
        <v>2402.9048933000004</v>
      </c>
      <c r="E30" s="1629">
        <v>3311.2823314200004</v>
      </c>
      <c r="F30" s="1630" vm="551">
        <v>188.25054941999997</v>
      </c>
      <c r="G30" s="431">
        <v>575.43215141999997</v>
      </c>
      <c r="H30" s="1628">
        <v>1956.3880945800001</v>
      </c>
      <c r="I30" s="279">
        <v>2720.0707954200002</v>
      </c>
      <c r="J30"/>
      <c r="K30" s="3"/>
    </row>
    <row r="31" spans="1:11" s="410" customFormat="1" ht="27.75" customHeight="1" thickBot="1">
      <c r="A31" s="322">
        <v>2013</v>
      </c>
      <c r="B31" s="1631">
        <v>235.03520711000002</v>
      </c>
      <c r="C31" s="285">
        <v>604.99391428000001</v>
      </c>
      <c r="D31" s="284">
        <v>2547.5759737200001</v>
      </c>
      <c r="E31" s="1632">
        <v>3387.6050951100001</v>
      </c>
      <c r="F31" s="1633">
        <v>191.23809274999999</v>
      </c>
      <c r="G31" s="285">
        <v>530.76851324999996</v>
      </c>
      <c r="H31" s="284">
        <v>2198.1877797500001</v>
      </c>
      <c r="I31" s="1632">
        <v>2920.19438575</v>
      </c>
      <c r="J31" s="1634"/>
      <c r="K31" s="1574"/>
    </row>
    <row r="32" spans="1:11" ht="17.5" customHeight="1">
      <c r="A32" s="1431" t="s">
        <v>2393</v>
      </c>
      <c r="B32" s="1432"/>
      <c r="C32" s="1432"/>
      <c r="D32" s="1432"/>
      <c r="E32" s="1432"/>
      <c r="F32" s="1432"/>
      <c r="G32" s="1432"/>
      <c r="H32" s="1432"/>
      <c r="I32" s="1432"/>
      <c r="J32" s="1121"/>
      <c r="K32" s="1121"/>
    </row>
    <row r="33" spans="1:11" ht="13.5" customHeight="1">
      <c r="A33" s="1442"/>
      <c r="B33" s="1121"/>
      <c r="C33" s="1121"/>
      <c r="D33" s="1121"/>
      <c r="E33" s="1121"/>
      <c r="F33" s="1121"/>
      <c r="G33" s="1121"/>
      <c r="H33" s="1121"/>
      <c r="I33" s="1121"/>
      <c r="J33" s="1121"/>
      <c r="K33" s="1121"/>
    </row>
    <row r="34" spans="1:11">
      <c r="A34" s="17" t="s">
        <v>2386</v>
      </c>
      <c r="B34" s="237"/>
      <c r="C34" s="237"/>
      <c r="D34" s="237"/>
      <c r="E34" s="237"/>
      <c r="F34" s="237"/>
      <c r="G34" s="237"/>
      <c r="H34" s="237"/>
      <c r="I34" s="237"/>
      <c r="J34" s="237"/>
      <c r="K34" s="237"/>
    </row>
    <row r="35" spans="1:11">
      <c r="A35" s="17" t="s">
        <v>2387</v>
      </c>
      <c r="B35" s="237"/>
      <c r="C35" s="237"/>
      <c r="D35" s="237"/>
      <c r="E35" s="237"/>
      <c r="F35" s="237"/>
      <c r="G35" s="237"/>
      <c r="H35" s="237"/>
      <c r="I35" s="237"/>
      <c r="J35" s="237"/>
      <c r="K35" s="237"/>
    </row>
    <row r="36" spans="1:11">
      <c r="A36" s="17" t="s">
        <v>2388</v>
      </c>
      <c r="B36" s="237"/>
      <c r="C36" s="237"/>
      <c r="D36" s="237"/>
      <c r="E36" s="237"/>
      <c r="F36" s="237"/>
      <c r="G36" s="237"/>
      <c r="H36" s="237"/>
      <c r="I36" s="237"/>
      <c r="J36" s="237"/>
      <c r="K36" s="237"/>
    </row>
    <row r="37" spans="1:11">
      <c r="A37" s="63" t="s">
        <v>2389</v>
      </c>
      <c r="B37" s="237"/>
      <c r="C37" s="237"/>
      <c r="D37" s="237"/>
      <c r="E37" s="237"/>
      <c r="F37" s="237"/>
      <c r="G37" s="237"/>
      <c r="H37" s="237"/>
      <c r="I37" s="237"/>
      <c r="J37" s="237"/>
      <c r="K37" s="237"/>
    </row>
    <row r="38" spans="1:11">
      <c r="A38" s="1442" t="s">
        <v>2390</v>
      </c>
      <c r="B38" s="237"/>
      <c r="C38" s="237"/>
      <c r="D38" s="237"/>
      <c r="E38" s="237"/>
      <c r="F38" s="237"/>
      <c r="G38" s="237"/>
      <c r="H38" s="237"/>
      <c r="I38" s="237"/>
      <c r="J38" s="237"/>
      <c r="K38" s="237"/>
    </row>
    <row r="39" spans="1:11">
      <c r="A39" s="1442" t="s">
        <v>2391</v>
      </c>
      <c r="B39" s="237"/>
      <c r="C39" s="237"/>
      <c r="D39" s="237"/>
      <c r="E39" s="237"/>
      <c r="F39" s="237"/>
      <c r="G39" s="237"/>
      <c r="H39" s="237"/>
      <c r="I39" s="237"/>
      <c r="J39" s="237"/>
      <c r="K39" s="237"/>
    </row>
    <row r="40" spans="1:11">
      <c r="A40" s="63" t="s">
        <v>2392</v>
      </c>
      <c r="B40" s="237"/>
      <c r="C40" s="237"/>
      <c r="D40" s="237"/>
      <c r="E40" s="237"/>
      <c r="F40" s="237"/>
      <c r="G40" s="237"/>
      <c r="H40" s="237"/>
      <c r="I40" s="237"/>
      <c r="J40" s="237"/>
      <c r="K40" s="237"/>
    </row>
    <row r="41" spans="1:11">
      <c r="A41" s="63" t="s">
        <v>2587</v>
      </c>
      <c r="B41" s="237"/>
      <c r="C41" s="237"/>
      <c r="D41" s="237"/>
      <c r="E41" s="237"/>
      <c r="F41" s="237"/>
      <c r="G41" s="237"/>
      <c r="H41" s="237"/>
      <c r="I41" s="237"/>
      <c r="J41" s="237"/>
      <c r="K41" s="237"/>
    </row>
    <row r="42" spans="1:11">
      <c r="A42" s="1635"/>
      <c r="B42" s="237"/>
      <c r="C42" s="237"/>
      <c r="D42" s="237"/>
      <c r="E42" s="237"/>
      <c r="F42" s="237"/>
      <c r="G42" s="237"/>
      <c r="H42" s="237"/>
      <c r="I42" s="237"/>
      <c r="J42" s="237"/>
      <c r="K42" s="237"/>
    </row>
    <row r="44" spans="1:11">
      <c r="A44" s="3" t="s">
        <v>302</v>
      </c>
    </row>
  </sheetData>
  <pageMargins left="0.47244094488188981" right="0.43307086614173229" top="0.62992125984251968" bottom="0.47244094488188981" header="0.39370078740157483" footer="0.51181102362204722"/>
  <pageSetup paperSize="9" scale="85" orientation="landscape"/>
  <headerFooter alignWithMargins="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8EF19-DC79-1C46-B4A1-FBF9F9E229BF}">
  <sheetPr>
    <pageSetUpPr fitToPage="1"/>
  </sheetPr>
  <dimension ref="A1:L46"/>
  <sheetViews>
    <sheetView zoomScaleNormal="100" workbookViewId="0"/>
  </sheetViews>
  <sheetFormatPr baseColWidth="10" defaultColWidth="11.3984375" defaultRowHeight="13"/>
  <cols>
    <col min="1" max="1" width="13" style="3" customWidth="1"/>
    <col min="2" max="2" width="17" style="201" customWidth="1"/>
    <col min="3" max="3" width="17.3984375" style="201" customWidth="1"/>
    <col min="4" max="4" width="16.796875" style="201" customWidth="1"/>
    <col min="5" max="5" width="15.19921875" style="201" customWidth="1"/>
    <col min="6" max="6" width="16.3984375" style="201" customWidth="1"/>
    <col min="7" max="7" width="17.59765625" style="201" customWidth="1"/>
    <col min="8" max="8" width="17.19921875" style="201" customWidth="1"/>
    <col min="9" max="9" width="16.3984375" style="201" customWidth="1"/>
    <col min="10" max="10" width="9.59765625" style="3" customWidth="1"/>
    <col min="11" max="16384" width="11.3984375" style="3"/>
  </cols>
  <sheetData>
    <row r="1" spans="1:12" s="1" customFormat="1" ht="14" customHeight="1">
      <c r="A1" s="191"/>
      <c r="B1" s="1425"/>
      <c r="C1" s="1425"/>
      <c r="D1" s="1425"/>
      <c r="E1" s="1425"/>
      <c r="F1" s="1425"/>
      <c r="G1" s="1425"/>
      <c r="H1" s="1425"/>
      <c r="I1" s="1425"/>
    </row>
    <row r="2" spans="1:12" s="1" customFormat="1" ht="24.5" customHeight="1">
      <c r="A2" s="570" t="s">
        <v>2394</v>
      </c>
      <c r="B2" s="1426"/>
      <c r="C2" s="1426"/>
      <c r="D2" s="1426"/>
      <c r="E2" s="1426"/>
      <c r="F2" s="1426"/>
      <c r="G2" s="1426"/>
      <c r="H2" s="1426"/>
      <c r="I2" s="312"/>
    </row>
    <row r="3" spans="1:12" ht="20" customHeight="1">
      <c r="A3" s="269" t="s">
        <v>460</v>
      </c>
      <c r="B3" s="1636" t="s">
        <v>1383</v>
      </c>
      <c r="C3" s="271"/>
      <c r="D3" s="270"/>
      <c r="E3" s="130" t="s">
        <v>381</v>
      </c>
      <c r="F3" s="1637" t="s">
        <v>1571</v>
      </c>
      <c r="G3" s="269"/>
      <c r="H3" s="613"/>
      <c r="I3" s="130" t="s">
        <v>381</v>
      </c>
    </row>
    <row r="4" spans="1:12" ht="33" customHeight="1">
      <c r="A4" s="269"/>
      <c r="B4" s="578" t="s">
        <v>2380</v>
      </c>
      <c r="C4" s="1638"/>
      <c r="D4" s="1639" t="s">
        <v>2395</v>
      </c>
      <c r="E4" s="1640"/>
      <c r="F4" s="1641" t="s">
        <v>2380</v>
      </c>
      <c r="G4" s="577"/>
      <c r="H4" s="1639" t="s">
        <v>2395</v>
      </c>
      <c r="I4" s="1640"/>
    </row>
    <row r="5" spans="1:12" ht="15" customHeight="1">
      <c r="A5" s="269"/>
      <c r="B5" s="315" t="s">
        <v>2396</v>
      </c>
      <c r="C5" s="1178" t="s">
        <v>1528</v>
      </c>
      <c r="D5" s="315" t="s">
        <v>452</v>
      </c>
      <c r="E5" s="271"/>
      <c r="F5" s="1612" t="s">
        <v>2396</v>
      </c>
      <c r="G5" s="1178" t="s">
        <v>1528</v>
      </c>
      <c r="H5" s="315" t="s">
        <v>452</v>
      </c>
      <c r="I5" s="271"/>
    </row>
    <row r="6" spans="1:12" ht="17.25" customHeight="1">
      <c r="A6" s="269"/>
      <c r="B6" s="315" t="s">
        <v>2397</v>
      </c>
      <c r="C6" s="1178" t="s">
        <v>2398</v>
      </c>
      <c r="D6" s="315" t="s">
        <v>1514</v>
      </c>
      <c r="E6" s="271"/>
      <c r="F6" s="1612" t="s">
        <v>2397</v>
      </c>
      <c r="G6" s="1178" t="s">
        <v>2398</v>
      </c>
      <c r="H6" s="315" t="s">
        <v>1514</v>
      </c>
      <c r="I6" s="271"/>
    </row>
    <row r="7" spans="1:12" ht="16.5" customHeight="1">
      <c r="A7" s="227"/>
      <c r="B7" s="274"/>
      <c r="C7" s="275"/>
      <c r="D7" s="274"/>
      <c r="E7" s="275"/>
      <c r="F7" s="1613"/>
      <c r="G7" s="275"/>
      <c r="H7" s="274"/>
      <c r="I7" s="275"/>
    </row>
    <row r="8" spans="1:12" ht="1.5" customHeight="1" thickBot="1">
      <c r="A8" s="316">
        <v>1991</v>
      </c>
      <c r="B8" s="1614">
        <v>7381.6</v>
      </c>
      <c r="C8" s="1615">
        <v>2030</v>
      </c>
      <c r="D8" s="1614">
        <v>763.6</v>
      </c>
      <c r="E8" s="279">
        <v>10175.200000000001</v>
      </c>
      <c r="F8" s="1616">
        <v>8411.9</v>
      </c>
      <c r="G8" s="1615">
        <v>1717.6</v>
      </c>
      <c r="H8" s="1614">
        <v>608.6</v>
      </c>
      <c r="I8" s="279">
        <v>10738.1</v>
      </c>
    </row>
    <row r="9" spans="1:12" ht="20" hidden="1" customHeight="1" thickBot="1">
      <c r="A9" s="319">
        <v>1992</v>
      </c>
      <c r="B9" s="1617">
        <v>8071.6</v>
      </c>
      <c r="C9" s="1623">
        <v>2234.5</v>
      </c>
      <c r="D9" s="1618">
        <v>751.05194456734102</v>
      </c>
      <c r="E9" s="1622">
        <v>11057.151944567342</v>
      </c>
      <c r="F9" s="1620">
        <v>9374.4</v>
      </c>
      <c r="G9" s="1623">
        <v>1832.3</v>
      </c>
      <c r="H9" s="1618">
        <v>631.14866850607859</v>
      </c>
      <c r="I9" s="1622">
        <v>11837.848668506078</v>
      </c>
    </row>
    <row r="10" spans="1:12" ht="20" hidden="1" customHeight="1" thickBot="1">
      <c r="A10" s="319">
        <v>1993</v>
      </c>
      <c r="B10" s="1617">
        <v>8959</v>
      </c>
      <c r="C10" s="1623">
        <v>3326.3</v>
      </c>
      <c r="D10" s="1618">
        <v>734.92479192401356</v>
      </c>
      <c r="E10" s="1622">
        <v>13020.224791924013</v>
      </c>
      <c r="F10" s="1620">
        <v>9747.2000000000007</v>
      </c>
      <c r="G10" s="1623">
        <v>2431.9</v>
      </c>
      <c r="H10" s="1618">
        <v>626.00138979065252</v>
      </c>
      <c r="I10" s="1622">
        <v>12805.101389790652</v>
      </c>
    </row>
    <row r="11" spans="1:12" ht="20" hidden="1" customHeight="1" thickBot="1">
      <c r="A11" s="319">
        <v>1994</v>
      </c>
      <c r="B11" s="1617">
        <v>8986.1</v>
      </c>
      <c r="C11" s="1623">
        <v>4076.6</v>
      </c>
      <c r="D11" s="1618">
        <v>690.03021854426788</v>
      </c>
      <c r="E11" s="1622">
        <v>13752.730218544268</v>
      </c>
      <c r="F11" s="1620">
        <v>9548.9</v>
      </c>
      <c r="G11" s="1623">
        <v>3331.5</v>
      </c>
      <c r="H11" s="1618">
        <v>613.0603501903413</v>
      </c>
      <c r="I11" s="1622">
        <v>13493.46035019034</v>
      </c>
    </row>
    <row r="12" spans="1:12" ht="19.5" hidden="1" customHeight="1" thickBot="1">
      <c r="A12" s="319">
        <v>1995</v>
      </c>
      <c r="B12" s="1617">
        <v>9125.7999999999993</v>
      </c>
      <c r="C12" s="1623">
        <v>4249.7</v>
      </c>
      <c r="D12" s="1618">
        <v>651.42256806953048</v>
      </c>
      <c r="E12" s="1622">
        <v>14026.922568069531</v>
      </c>
      <c r="F12" s="1620">
        <v>10017.200000000001</v>
      </c>
      <c r="G12" s="1623">
        <v>3664.1</v>
      </c>
      <c r="H12" s="1618">
        <v>587.27080996548773</v>
      </c>
      <c r="I12" s="1622">
        <v>14268.570809965489</v>
      </c>
    </row>
    <row r="13" spans="1:12" ht="0.75" hidden="1" customHeight="1" thickBot="1">
      <c r="A13" s="319">
        <v>1996</v>
      </c>
      <c r="B13" s="1617">
        <v>11035.2</v>
      </c>
      <c r="C13" s="1623">
        <v>4337.5</v>
      </c>
      <c r="D13" s="1618">
        <v>640.36315374410731</v>
      </c>
      <c r="E13" s="1622">
        <v>16013.063153744108</v>
      </c>
      <c r="F13" s="1620">
        <v>10780.5</v>
      </c>
      <c r="G13" s="1623">
        <v>3809.6285714248806</v>
      </c>
      <c r="H13" s="1618">
        <v>512.67578326995283</v>
      </c>
      <c r="I13" s="1622">
        <v>15102.804354694834</v>
      </c>
      <c r="K13"/>
      <c r="L13"/>
    </row>
    <row r="14" spans="1:12" ht="19.5" hidden="1" customHeight="1" thickBot="1">
      <c r="A14" s="319">
        <v>1997</v>
      </c>
      <c r="B14" s="281">
        <v>11924.8</v>
      </c>
      <c r="C14" s="282">
        <v>4410.6000000000004</v>
      </c>
      <c r="D14" s="281">
        <v>601.9</v>
      </c>
      <c r="E14" s="279">
        <v>16937.3</v>
      </c>
      <c r="F14" s="1457">
        <v>11360.5</v>
      </c>
      <c r="G14" s="282">
        <v>3288.3</v>
      </c>
      <c r="H14" s="281">
        <v>475.9</v>
      </c>
      <c r="I14" s="279">
        <v>15124.699999999999</v>
      </c>
      <c r="K14"/>
      <c r="L14"/>
    </row>
    <row r="15" spans="1:12" ht="0.75" hidden="1" customHeight="1" thickBot="1">
      <c r="A15" s="319">
        <v>1998</v>
      </c>
      <c r="B15" s="281">
        <v>12604.2</v>
      </c>
      <c r="C15" s="282">
        <v>4453.3</v>
      </c>
      <c r="D15" s="281">
        <v>637.79999999999995</v>
      </c>
      <c r="E15" s="279">
        <v>17695.3</v>
      </c>
      <c r="F15" s="1457">
        <v>11926.9</v>
      </c>
      <c r="G15" s="282">
        <v>3299.5</v>
      </c>
      <c r="H15" s="281">
        <v>460.1</v>
      </c>
      <c r="I15" s="279">
        <v>15686.5</v>
      </c>
      <c r="K15"/>
      <c r="L15"/>
    </row>
    <row r="16" spans="1:12" ht="19.75" hidden="1" customHeight="1" thickBot="1">
      <c r="A16" s="319">
        <v>1999</v>
      </c>
      <c r="B16" s="281">
        <v>12949.5</v>
      </c>
      <c r="C16" s="282">
        <v>3766.7</v>
      </c>
      <c r="D16" s="281">
        <v>1098.2</v>
      </c>
      <c r="E16" s="279">
        <v>17814.400000000001</v>
      </c>
      <c r="F16" s="1457">
        <v>12430.6</v>
      </c>
      <c r="G16" s="282">
        <v>2787.1</v>
      </c>
      <c r="H16" s="281">
        <v>763.9</v>
      </c>
      <c r="I16" s="279">
        <v>15981.6</v>
      </c>
      <c r="K16"/>
      <c r="L16"/>
    </row>
    <row r="17" spans="1:12" ht="20" hidden="1" customHeight="1" thickBot="1">
      <c r="A17" s="319">
        <v>2000</v>
      </c>
      <c r="B17" s="281">
        <v>13346.7</v>
      </c>
      <c r="C17" s="282">
        <v>2917.4</v>
      </c>
      <c r="D17" s="281">
        <v>2242.9</v>
      </c>
      <c r="E17" s="279">
        <v>18507</v>
      </c>
      <c r="F17" s="1457">
        <v>13190.3</v>
      </c>
      <c r="G17" s="282">
        <v>2199.1</v>
      </c>
      <c r="H17" s="281">
        <v>1583.8</v>
      </c>
      <c r="I17" s="279">
        <v>16973.2</v>
      </c>
      <c r="K17"/>
      <c r="L17"/>
    </row>
    <row r="18" spans="1:12" ht="20" hidden="1" customHeight="1" thickBot="1">
      <c r="A18" s="319">
        <v>2001</v>
      </c>
      <c r="B18" s="281">
        <v>13954.7</v>
      </c>
      <c r="C18" s="282">
        <v>1986.99</v>
      </c>
      <c r="D18" s="281">
        <v>3190.46</v>
      </c>
      <c r="E18" s="279">
        <v>19132.150000000001</v>
      </c>
      <c r="F18" s="1457">
        <v>13986.27</v>
      </c>
      <c r="G18" s="282">
        <v>1576.7</v>
      </c>
      <c r="H18" s="281">
        <v>2353.3000000000002</v>
      </c>
      <c r="I18" s="279">
        <v>17916.27</v>
      </c>
      <c r="K18"/>
      <c r="L18"/>
    </row>
    <row r="19" spans="1:12" ht="20" hidden="1" customHeight="1" thickBot="1">
      <c r="A19" s="319">
        <v>2002</v>
      </c>
      <c r="B19" s="281">
        <v>15296.16</v>
      </c>
      <c r="C19" s="282">
        <v>1958.4404729999999</v>
      </c>
      <c r="D19" s="281">
        <v>3432.3745709999994</v>
      </c>
      <c r="E19" s="279">
        <v>20686.975043999999</v>
      </c>
      <c r="F19" s="1457">
        <v>14592.75</v>
      </c>
      <c r="G19" s="282">
        <v>1422.34175</v>
      </c>
      <c r="H19" s="281">
        <v>2395.4617459999999</v>
      </c>
      <c r="I19" s="279">
        <v>18410.553496</v>
      </c>
      <c r="K19"/>
      <c r="L19"/>
    </row>
    <row r="20" spans="1:12" ht="20" customHeight="1" thickBot="1">
      <c r="A20" s="319">
        <v>2003</v>
      </c>
      <c r="B20" s="281">
        <v>16759.707467</v>
      </c>
      <c r="C20" s="282">
        <v>1882.6076640000001</v>
      </c>
      <c r="D20" s="281">
        <v>3406.1985699999996</v>
      </c>
      <c r="E20" s="279">
        <v>22048.513701</v>
      </c>
      <c r="F20" s="1457">
        <v>15335.619704000001</v>
      </c>
      <c r="G20" s="282">
        <v>1354.5729260000001</v>
      </c>
      <c r="H20" s="281">
        <v>2360.4405969999998</v>
      </c>
      <c r="I20" s="279">
        <v>19050.633227000002</v>
      </c>
      <c r="K20"/>
      <c r="L20"/>
    </row>
    <row r="21" spans="1:12" ht="20" customHeight="1" thickBot="1">
      <c r="A21" s="319">
        <v>2004</v>
      </c>
      <c r="B21" s="281">
        <v>17979.586842000001</v>
      </c>
      <c r="C21" s="282">
        <v>1358.7895999899999</v>
      </c>
      <c r="D21" s="281">
        <v>4022.0203419999989</v>
      </c>
      <c r="E21" s="279">
        <v>23360.39678399</v>
      </c>
      <c r="F21" s="1457">
        <v>16307.508545000001</v>
      </c>
      <c r="G21" s="282">
        <v>1040.45917962</v>
      </c>
      <c r="H21" s="281">
        <v>2754.9745040000003</v>
      </c>
      <c r="I21" s="279">
        <v>20102.942228620002</v>
      </c>
      <c r="K21"/>
      <c r="L21"/>
    </row>
    <row r="22" spans="1:12" ht="20" customHeight="1" thickBot="1">
      <c r="A22" s="319">
        <v>2005</v>
      </c>
      <c r="B22" s="281">
        <v>18442.676721830001</v>
      </c>
      <c r="C22" s="282">
        <v>1397.6693543900001</v>
      </c>
      <c r="D22" s="281">
        <v>4025.3035210000007</v>
      </c>
      <c r="E22" s="279">
        <v>23865.649597220003</v>
      </c>
      <c r="F22" s="1457">
        <v>17352.720037080002</v>
      </c>
      <c r="G22" s="282">
        <v>1144.4166189</v>
      </c>
      <c r="H22" s="281">
        <v>2812.7367870000003</v>
      </c>
      <c r="I22" s="279">
        <v>21309.873442980002</v>
      </c>
      <c r="K22"/>
      <c r="L22"/>
    </row>
    <row r="23" spans="1:12" ht="20" customHeight="1" thickBot="1">
      <c r="A23" s="319">
        <v>2006</v>
      </c>
      <c r="B23" s="281">
        <v>19234.85838514</v>
      </c>
      <c r="C23" s="282">
        <v>1384.0624223099999</v>
      </c>
      <c r="D23" s="281">
        <v>4199.0627370000002</v>
      </c>
      <c r="E23" s="279">
        <v>24817.983544449999</v>
      </c>
      <c r="F23" s="1457">
        <v>17563.915602790003</v>
      </c>
      <c r="G23" s="282">
        <v>1083.2765844199998</v>
      </c>
      <c r="H23" s="281">
        <v>2891.0596519999999</v>
      </c>
      <c r="I23" s="279">
        <v>21538.251839210003</v>
      </c>
      <c r="K23"/>
      <c r="L23"/>
    </row>
    <row r="24" spans="1:12" ht="20" customHeight="1" thickBot="1">
      <c r="A24" s="319">
        <v>2007</v>
      </c>
      <c r="B24" s="281">
        <v>19629.610287169999</v>
      </c>
      <c r="C24" s="282">
        <v>1410.6232075</v>
      </c>
      <c r="D24" s="281">
        <v>4207.0683449999997</v>
      </c>
      <c r="E24" s="279">
        <v>25247.301839669999</v>
      </c>
      <c r="F24" s="1457">
        <v>18423.621994609999</v>
      </c>
      <c r="G24" s="282">
        <v>1170.1273056000002</v>
      </c>
      <c r="H24" s="281">
        <v>3037.7777310000001</v>
      </c>
      <c r="I24" s="279">
        <v>22631.527031209996</v>
      </c>
      <c r="K24"/>
      <c r="L24"/>
    </row>
    <row r="25" spans="1:12" ht="20" customHeight="1" thickBot="1">
      <c r="A25" s="319">
        <v>2008</v>
      </c>
      <c r="B25" s="281">
        <v>19621.43996068</v>
      </c>
      <c r="C25" s="282">
        <v>1412.4505677400002</v>
      </c>
      <c r="D25" s="281">
        <v>4509.4953152600001</v>
      </c>
      <c r="E25" s="279">
        <v>25543.38584368</v>
      </c>
      <c r="F25" s="1457">
        <v>19431.457254779998</v>
      </c>
      <c r="G25" s="282">
        <v>1241.37670198</v>
      </c>
      <c r="H25" s="281">
        <v>3128.0701190199998</v>
      </c>
      <c r="I25" s="279">
        <v>23800.904075779996</v>
      </c>
      <c r="K25"/>
      <c r="L25"/>
    </row>
    <row r="26" spans="1:12" ht="20" customHeight="1" thickBot="1">
      <c r="A26" s="319">
        <v>2009</v>
      </c>
      <c r="B26" s="281">
        <v>20057.64279962</v>
      </c>
      <c r="C26" s="282">
        <v>1381.60592514</v>
      </c>
      <c r="D26" s="281">
        <v>4313.5737268599996</v>
      </c>
      <c r="E26" s="279">
        <v>25752.822451619999</v>
      </c>
      <c r="F26" s="1457">
        <v>20273.850593919997</v>
      </c>
      <c r="G26" s="282">
        <v>1229.2542896300001</v>
      </c>
      <c r="H26" s="281">
        <v>3158.8125223699999</v>
      </c>
      <c r="I26" s="279">
        <v>24661.917405919998</v>
      </c>
      <c r="K26"/>
      <c r="L26"/>
    </row>
    <row r="27" spans="1:12" ht="20" customHeight="1" thickBot="1">
      <c r="A27" s="319">
        <v>2010</v>
      </c>
      <c r="B27" s="281">
        <v>21955.717553830003</v>
      </c>
      <c r="C27" s="282">
        <v>1442.6310089400001</v>
      </c>
      <c r="D27" s="281">
        <v>4581.4113640599999</v>
      </c>
      <c r="E27" s="279">
        <v>27979.759926830004</v>
      </c>
      <c r="F27" s="1457">
        <v>20883.74693053</v>
      </c>
      <c r="G27" s="282">
        <v>1281.58085265</v>
      </c>
      <c r="H27" s="281">
        <v>3204.0921983499998</v>
      </c>
      <c r="I27" s="279">
        <v>25369.419981530002</v>
      </c>
      <c r="K27"/>
      <c r="L27"/>
    </row>
    <row r="28" spans="1:12" ht="20" customHeight="1" thickBot="1">
      <c r="A28" s="319">
        <v>2011</v>
      </c>
      <c r="B28" s="281">
        <v>23513.73191518</v>
      </c>
      <c r="C28" s="282">
        <v>1273.43894946</v>
      </c>
      <c r="D28" s="281">
        <v>5039.4533475400003</v>
      </c>
      <c r="E28" s="279">
        <v>29826.624212180002</v>
      </c>
      <c r="F28" s="1457">
        <v>21356.405837950002</v>
      </c>
      <c r="G28" s="282">
        <v>979.24089520000007</v>
      </c>
      <c r="H28" s="281">
        <v>3671.2015778</v>
      </c>
      <c r="I28" s="279">
        <v>26006.848310950001</v>
      </c>
      <c r="K28"/>
      <c r="L28"/>
    </row>
    <row r="29" spans="1:12" ht="20" customHeight="1" thickBot="1">
      <c r="A29" s="319">
        <v>2012</v>
      </c>
      <c r="B29" s="281" vm="553">
        <v>24303.676293700006</v>
      </c>
      <c r="C29" s="282" vm="555">
        <v>1409.6364930300003</v>
      </c>
      <c r="D29" s="281">
        <v>5012.2752729699996</v>
      </c>
      <c r="E29" s="279">
        <v>30725.588059700007</v>
      </c>
      <c r="F29" s="1457">
        <v>22195.991088449999</v>
      </c>
      <c r="G29" s="282" vm="554">
        <v>1078.0633512200002</v>
      </c>
      <c r="H29" s="281">
        <v>2953.7362627799998</v>
      </c>
      <c r="I29" s="279">
        <v>26227.790702449998</v>
      </c>
      <c r="K29"/>
      <c r="L29"/>
    </row>
    <row r="30" spans="1:12" ht="24.75" customHeight="1" thickBot="1">
      <c r="A30" s="322">
        <v>2013</v>
      </c>
      <c r="B30" s="284">
        <v>24871.730144999998</v>
      </c>
      <c r="C30" s="285">
        <v>978.17932146999976</v>
      </c>
      <c r="D30" s="284">
        <v>5537.8083185300002</v>
      </c>
      <c r="E30" s="285">
        <v>31387.717785000001</v>
      </c>
      <c r="F30" s="1642">
        <v>24031.42223688</v>
      </c>
      <c r="G30" s="285">
        <v>850.15512042999978</v>
      </c>
      <c r="H30" s="284">
        <v>3395.72414557</v>
      </c>
      <c r="I30" s="285">
        <v>28277.30150288</v>
      </c>
      <c r="K30"/>
      <c r="L30"/>
    </row>
    <row r="31" spans="1:12" ht="17.25" customHeight="1">
      <c r="A31" s="1431" t="s">
        <v>2393</v>
      </c>
      <c r="B31" s="1432"/>
      <c r="C31" s="1432"/>
      <c r="D31" s="1432"/>
      <c r="E31" s="1432"/>
      <c r="F31" s="1432"/>
      <c r="G31" s="1432"/>
      <c r="H31" s="1432"/>
      <c r="I31" s="1432"/>
    </row>
    <row r="32" spans="1:12" ht="13.5" customHeight="1">
      <c r="A32" s="1442"/>
      <c r="B32" s="1121"/>
      <c r="C32" s="1121"/>
      <c r="D32" s="1121"/>
      <c r="E32" s="1121"/>
      <c r="F32" s="1121"/>
      <c r="G32" s="1121"/>
      <c r="H32" s="1121"/>
      <c r="I32" s="1121"/>
    </row>
    <row r="33" spans="1:9">
      <c r="A33" s="63" t="s">
        <v>2586</v>
      </c>
      <c r="B33" s="237"/>
      <c r="C33" s="237"/>
      <c r="D33" s="237"/>
      <c r="E33" s="237"/>
      <c r="F33" s="237"/>
      <c r="G33" s="237"/>
      <c r="H33" s="237"/>
      <c r="I33" s="237"/>
    </row>
    <row r="34" spans="1:9">
      <c r="A34" s="63" t="s">
        <v>2399</v>
      </c>
      <c r="B34" s="237"/>
      <c r="C34" s="237"/>
      <c r="D34" s="237"/>
      <c r="E34" s="237"/>
      <c r="F34" s="237"/>
      <c r="G34" s="237"/>
      <c r="H34" s="237"/>
      <c r="I34" s="237"/>
    </row>
    <row r="35" spans="1:9">
      <c r="A35" s="63" t="s">
        <v>2400</v>
      </c>
      <c r="B35" s="237"/>
      <c r="C35" s="237"/>
      <c r="D35" s="237"/>
      <c r="E35" s="237"/>
      <c r="F35" s="237"/>
      <c r="G35" s="237"/>
      <c r="H35" s="237"/>
      <c r="I35" s="237"/>
    </row>
    <row r="36" spans="1:9">
      <c r="A36" s="1442" t="s">
        <v>2390</v>
      </c>
      <c r="B36" s="237"/>
      <c r="C36" s="237"/>
      <c r="D36" s="237"/>
      <c r="E36" s="237"/>
      <c r="F36" s="237"/>
      <c r="G36" s="237"/>
      <c r="H36" s="237"/>
      <c r="I36" s="237"/>
    </row>
    <row r="37" spans="1:9">
      <c r="A37" s="1442" t="s">
        <v>2391</v>
      </c>
      <c r="B37" s="237"/>
      <c r="C37" s="237"/>
      <c r="D37" s="237"/>
      <c r="E37" s="237"/>
      <c r="F37" s="237"/>
      <c r="G37" s="237"/>
      <c r="H37" s="237"/>
      <c r="I37" s="237"/>
    </row>
    <row r="38" spans="1:9">
      <c r="A38" s="63" t="s">
        <v>2401</v>
      </c>
    </row>
    <row r="39" spans="1:9">
      <c r="A39" s="63" t="s">
        <v>2402</v>
      </c>
    </row>
    <row r="40" spans="1:9">
      <c r="A40" s="63" t="s">
        <v>2403</v>
      </c>
    </row>
    <row r="41" spans="1:9">
      <c r="A41" s="63" t="s">
        <v>2404</v>
      </c>
    </row>
    <row r="42" spans="1:9">
      <c r="A42" s="63" t="s">
        <v>2405</v>
      </c>
    </row>
    <row r="43" spans="1:9">
      <c r="A43" s="63" t="s">
        <v>2406</v>
      </c>
    </row>
    <row r="46" spans="1:9">
      <c r="A46" s="3" t="s">
        <v>302</v>
      </c>
    </row>
  </sheetData>
  <pageMargins left="0.47244094488188981" right="0.43307086614173229" top="0.77" bottom="0.47244094488188981" header="0.43307086614173229" footer="0.51181102362204722"/>
  <pageSetup paperSize="9" scale="89" orientation="landscape" horizontalDpi="1200" verticalDpi="1200"/>
  <headerFooter alignWithMargins="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B3F5A-C1B5-4246-ADFE-385557B77A2D}">
  <sheetPr>
    <pageSetUpPr fitToPage="1"/>
  </sheetPr>
  <dimension ref="A2:S125"/>
  <sheetViews>
    <sheetView zoomScaleNormal="100" workbookViewId="0"/>
  </sheetViews>
  <sheetFormatPr baseColWidth="10" defaultColWidth="11.3984375" defaultRowHeight="13"/>
  <cols>
    <col min="1" max="1" width="29.796875" style="3" customWidth="1"/>
    <col min="2" max="2" width="0.19921875" style="3" customWidth="1"/>
    <col min="3" max="3" width="0.3984375" style="3" hidden="1" customWidth="1"/>
    <col min="4" max="4" width="9.59765625" style="3" hidden="1" customWidth="1"/>
    <col min="5" max="5" width="10" style="3" hidden="1" customWidth="1"/>
    <col min="6" max="6" width="0.3984375" style="3" customWidth="1"/>
    <col min="7" max="8" width="10" style="3" hidden="1" customWidth="1"/>
    <col min="9" max="15" width="10" style="3" customWidth="1"/>
    <col min="16" max="16" width="9.796875" style="3" customWidth="1"/>
    <col min="17" max="17" width="10.796875" style="3" customWidth="1"/>
    <col min="18" max="18" width="11" style="3" customWidth="1"/>
    <col min="19" max="16384" width="11.3984375" style="3"/>
  </cols>
  <sheetData>
    <row r="2" spans="1:19" ht="19.5" customHeight="1">
      <c r="A2" s="1373" t="s">
        <v>2407</v>
      </c>
    </row>
    <row r="3" spans="1:19" s="1" customFormat="1" ht="29.25" customHeight="1">
      <c r="A3" s="191"/>
      <c r="B3" s="191"/>
      <c r="C3" s="191"/>
      <c r="D3" s="191"/>
      <c r="E3" s="191"/>
      <c r="F3" s="191"/>
    </row>
    <row r="4" spans="1:19" s="1" customFormat="1" ht="21.75" customHeight="1">
      <c r="A4" s="570" t="s">
        <v>2408</v>
      </c>
      <c r="B4" s="360"/>
      <c r="C4" s="360"/>
      <c r="D4" s="360"/>
      <c r="E4" s="360"/>
      <c r="F4" s="360"/>
      <c r="G4" s="360"/>
      <c r="H4" s="360"/>
      <c r="I4" s="327"/>
      <c r="J4" s="327"/>
      <c r="K4" s="327"/>
    </row>
    <row r="5" spans="1:19" ht="78" customHeight="1">
      <c r="A5" s="1643" t="s">
        <v>2409</v>
      </c>
      <c r="B5" s="1644">
        <v>1996</v>
      </c>
      <c r="C5" s="1645">
        <v>1997</v>
      </c>
      <c r="D5" s="1644">
        <v>1998</v>
      </c>
      <c r="E5" s="1645">
        <v>1999</v>
      </c>
      <c r="F5" s="1644">
        <v>2000</v>
      </c>
      <c r="G5" s="1645">
        <v>2001</v>
      </c>
      <c r="H5" s="1644">
        <v>2002</v>
      </c>
      <c r="I5" s="1645">
        <v>2003</v>
      </c>
      <c r="J5" s="1644">
        <v>2004</v>
      </c>
      <c r="K5" s="1645">
        <v>2005</v>
      </c>
      <c r="L5" s="1644">
        <v>2006</v>
      </c>
      <c r="M5" s="1645">
        <v>2007</v>
      </c>
      <c r="N5" s="1644">
        <v>2008</v>
      </c>
      <c r="O5" s="1645">
        <v>2009</v>
      </c>
      <c r="P5" s="1644">
        <v>2010</v>
      </c>
      <c r="Q5" s="1645">
        <v>2011</v>
      </c>
      <c r="R5" s="1644">
        <v>2012</v>
      </c>
      <c r="S5" s="1645">
        <v>2013</v>
      </c>
    </row>
    <row r="6" spans="1:19" ht="22.75" customHeight="1" thickBot="1">
      <c r="A6" s="1451" t="s">
        <v>2410</v>
      </c>
      <c r="B6" s="423">
        <v>7.4080000000000007E-2</v>
      </c>
      <c r="C6" s="321">
        <v>7.4639999999999998E-2</v>
      </c>
      <c r="D6" s="423">
        <v>7.6329999999999995E-2</v>
      </c>
      <c r="E6" s="321">
        <v>7.7549999999999994E-2</v>
      </c>
      <c r="F6" s="423">
        <v>8.0320000000000003E-2</v>
      </c>
      <c r="G6" s="321">
        <v>8.1189999999999998E-2</v>
      </c>
      <c r="H6" s="423">
        <v>8.3900000000000002E-2</v>
      </c>
      <c r="I6" s="321">
        <v>8.3145000000000011E-2</v>
      </c>
      <c r="J6" s="423">
        <v>8.5703000000000001E-2</v>
      </c>
      <c r="K6" s="321">
        <v>8.4510000000000002E-2</v>
      </c>
      <c r="L6" s="423">
        <v>8.4871000000000002E-2</v>
      </c>
      <c r="M6" s="321">
        <v>8.5267999999999997E-2</v>
      </c>
      <c r="N6" s="423">
        <v>8.7207000000000007E-2</v>
      </c>
      <c r="O6" s="321">
        <v>9.0143000000000001E-2</v>
      </c>
      <c r="P6" s="423">
        <v>8.9303000000000007E-2</v>
      </c>
      <c r="Q6" s="321">
        <v>9.0791000000000011E-2</v>
      </c>
      <c r="R6" s="423" t="s">
        <v>153</v>
      </c>
      <c r="S6" s="321" t="s">
        <v>153</v>
      </c>
    </row>
    <row r="7" spans="1:19" ht="18" customHeight="1" thickBot="1">
      <c r="A7" s="319" t="s">
        <v>2411</v>
      </c>
      <c r="B7" s="433">
        <v>9.4800000000000009E-2</v>
      </c>
      <c r="C7" s="741">
        <v>9.820000000000001E-2</v>
      </c>
      <c r="D7" s="433">
        <v>9.9839999999999998E-2</v>
      </c>
      <c r="E7" s="741">
        <v>0.10119</v>
      </c>
      <c r="F7" s="433">
        <v>9.9459999999999993E-2</v>
      </c>
      <c r="G7" s="741">
        <v>0.100937</v>
      </c>
      <c r="H7" s="433">
        <v>0.10122299999999999</v>
      </c>
      <c r="I7" s="741">
        <v>0.103035</v>
      </c>
      <c r="J7" s="433">
        <v>0.104283</v>
      </c>
      <c r="K7" s="741">
        <v>0.10418699999999999</v>
      </c>
      <c r="L7" s="433">
        <v>0.102177</v>
      </c>
      <c r="M7" s="741">
        <v>0.102617</v>
      </c>
      <c r="N7" s="433">
        <v>0.10489599999999999</v>
      </c>
      <c r="O7" s="741">
        <v>0.11169800000000001</v>
      </c>
      <c r="P7" s="433">
        <v>0.11129600000000001</v>
      </c>
      <c r="Q7" s="741">
        <v>0.10872899999999999</v>
      </c>
      <c r="R7" s="433">
        <v>0.110967</v>
      </c>
      <c r="S7" s="741" t="s">
        <v>153</v>
      </c>
    </row>
    <row r="8" spans="1:19" ht="18" customHeight="1" thickBot="1">
      <c r="A8" s="319" t="s">
        <v>2412</v>
      </c>
      <c r="B8" s="433">
        <v>7.9210000000000003E-2</v>
      </c>
      <c r="C8" s="741">
        <v>7.7759999999999996E-2</v>
      </c>
      <c r="D8" s="433">
        <v>7.8969999999999999E-2</v>
      </c>
      <c r="E8" s="741">
        <v>8.0869999999999997E-2</v>
      </c>
      <c r="F8" s="433">
        <v>8.1310000000000007E-2</v>
      </c>
      <c r="G8" s="741">
        <v>8.2920999999999995E-2</v>
      </c>
      <c r="H8" s="433">
        <v>8.4617999999999999E-2</v>
      </c>
      <c r="I8" s="741">
        <v>9.647399999999999E-2</v>
      </c>
      <c r="J8" s="433">
        <v>9.6751000000000004E-2</v>
      </c>
      <c r="K8" s="741">
        <v>9.6472000000000002E-2</v>
      </c>
      <c r="L8" s="433">
        <v>9.5808999999999991E-2</v>
      </c>
      <c r="M8" s="741">
        <v>9.6236999999999989E-2</v>
      </c>
      <c r="N8" s="433">
        <v>9.9428000000000002E-2</v>
      </c>
      <c r="O8" s="741">
        <v>0.106547</v>
      </c>
      <c r="P8" s="433">
        <v>0.105577</v>
      </c>
      <c r="Q8" s="741">
        <v>0.10610699999999999</v>
      </c>
      <c r="R8" s="433">
        <v>0.10894399999999999</v>
      </c>
      <c r="S8" s="741" t="s">
        <v>153</v>
      </c>
    </row>
    <row r="9" spans="1:19" ht="18" customHeight="1" thickBot="1">
      <c r="A9" s="319" t="s">
        <v>2413</v>
      </c>
      <c r="B9" s="433">
        <v>8.2110000000000002E-2</v>
      </c>
      <c r="C9" s="741">
        <v>8.1509999999999999E-2</v>
      </c>
      <c r="D9" s="433">
        <v>8.1560000000000007E-2</v>
      </c>
      <c r="E9" s="741">
        <v>8.9540000000000008E-2</v>
      </c>
      <c r="F9" s="433">
        <v>8.6989999999999998E-2</v>
      </c>
      <c r="G9" s="741">
        <v>9.1001999999999986E-2</v>
      </c>
      <c r="H9" s="433">
        <v>9.3329000000000009E-2</v>
      </c>
      <c r="I9" s="741">
        <v>9.5093999999999998E-2</v>
      </c>
      <c r="J9" s="433">
        <v>9.6748999999999988E-2</v>
      </c>
      <c r="K9" s="741">
        <v>9.7699999999999995E-2</v>
      </c>
      <c r="L9" s="433">
        <v>9.9243000000000012E-2</v>
      </c>
      <c r="M9" s="741">
        <v>9.987299999999999E-2</v>
      </c>
      <c r="N9" s="433">
        <v>0.10183</v>
      </c>
      <c r="O9" s="741">
        <v>0.114722</v>
      </c>
      <c r="P9" s="433">
        <v>0.110818</v>
      </c>
      <c r="Q9" s="741">
        <v>0.108655</v>
      </c>
      <c r="R9" s="433">
        <v>0.10983800000000001</v>
      </c>
      <c r="S9" s="741" t="s">
        <v>153</v>
      </c>
    </row>
    <row r="10" spans="1:19" ht="18" customHeight="1" thickBot="1">
      <c r="A10" s="319" t="s">
        <v>2414</v>
      </c>
      <c r="B10" s="433">
        <v>8.0380000000000007E-2</v>
      </c>
      <c r="C10" s="741">
        <v>7.7199999999999991E-2</v>
      </c>
      <c r="D10" s="433">
        <v>7.3550000000000004E-2</v>
      </c>
      <c r="E10" s="741">
        <v>7.3789999999999994E-2</v>
      </c>
      <c r="F10" s="433">
        <v>7.2239999999999999E-2</v>
      </c>
      <c r="G10" s="741">
        <v>7.4250999999999998E-2</v>
      </c>
      <c r="H10" s="433">
        <v>7.8078000000000009E-2</v>
      </c>
      <c r="I10" s="741">
        <v>8.1511999999999987E-2</v>
      </c>
      <c r="J10" s="433">
        <v>8.2095000000000001E-2</v>
      </c>
      <c r="K10" s="741">
        <v>8.4295000000000009E-2</v>
      </c>
      <c r="L10" s="433">
        <v>8.3447999999999994E-2</v>
      </c>
      <c r="M10" s="741">
        <v>8.0429999999999988E-2</v>
      </c>
      <c r="N10" s="433">
        <v>8.3068000000000003E-2</v>
      </c>
      <c r="O10" s="741">
        <v>9.1715000000000005E-2</v>
      </c>
      <c r="P10" s="433">
        <v>8.9903999999999998E-2</v>
      </c>
      <c r="Q10" s="741">
        <v>8.9457999999999996E-2</v>
      </c>
      <c r="R10" s="433">
        <v>9.0875999999999998E-2</v>
      </c>
      <c r="S10" s="741">
        <v>9.3992000000000006E-2</v>
      </c>
    </row>
    <row r="11" spans="1:19" ht="18" customHeight="1" thickBot="1">
      <c r="A11" s="319" t="s">
        <v>2415</v>
      </c>
      <c r="B11" s="433">
        <v>0.10369999999999999</v>
      </c>
      <c r="C11" s="741">
        <v>0.10228999999999999</v>
      </c>
      <c r="D11" s="433">
        <v>0.10125999999999999</v>
      </c>
      <c r="E11" s="741">
        <v>0.10147</v>
      </c>
      <c r="F11" s="433">
        <v>0.10071999999999999</v>
      </c>
      <c r="G11" s="741">
        <v>0.102113</v>
      </c>
      <c r="H11" s="433">
        <v>0.105603</v>
      </c>
      <c r="I11" s="741">
        <v>0.10753600000000001</v>
      </c>
      <c r="J11" s="433">
        <v>0.108859</v>
      </c>
      <c r="K11" s="741">
        <v>0.10932600000000001</v>
      </c>
      <c r="L11" s="433">
        <v>0.10852199999999999</v>
      </c>
      <c r="M11" s="741">
        <v>0.107751</v>
      </c>
      <c r="N11" s="433">
        <v>0.109124</v>
      </c>
      <c r="O11" s="741">
        <v>0.115992</v>
      </c>
      <c r="P11" s="433">
        <v>0.11554299999999999</v>
      </c>
      <c r="Q11" s="741">
        <v>0.115235</v>
      </c>
      <c r="R11" s="433">
        <v>0.11610799999999999</v>
      </c>
      <c r="S11" s="741" t="s">
        <v>153</v>
      </c>
    </row>
    <row r="12" spans="1:19" ht="18" customHeight="1" thickBot="1">
      <c r="A12" s="319" t="s">
        <v>2416</v>
      </c>
      <c r="B12" s="433">
        <v>0.10378</v>
      </c>
      <c r="C12" s="741">
        <v>0.10217000000000001</v>
      </c>
      <c r="D12" s="433">
        <v>0.10231</v>
      </c>
      <c r="E12" s="741">
        <v>0.10267</v>
      </c>
      <c r="F12" s="433">
        <v>0.10285999999999999</v>
      </c>
      <c r="G12" s="741">
        <v>0.105041</v>
      </c>
      <c r="H12" s="433">
        <v>0.10724299999999999</v>
      </c>
      <c r="I12" s="741">
        <v>0.109191</v>
      </c>
      <c r="J12" s="433">
        <v>0.10668900000000001</v>
      </c>
      <c r="K12" s="741">
        <v>0.108088</v>
      </c>
      <c r="L12" s="433">
        <v>0.106373</v>
      </c>
      <c r="M12" s="741">
        <v>0.10477</v>
      </c>
      <c r="N12" s="433">
        <v>0.107041</v>
      </c>
      <c r="O12" s="741">
        <v>0.117539</v>
      </c>
      <c r="P12" s="433">
        <v>0.11556699999999999</v>
      </c>
      <c r="Q12" s="741">
        <v>0.11248900000000001</v>
      </c>
      <c r="R12" s="433">
        <v>0.112675</v>
      </c>
      <c r="S12" s="741">
        <v>0.112972</v>
      </c>
    </row>
    <row r="13" spans="1:19" ht="18" customHeight="1" thickBot="1">
      <c r="A13" s="319" t="s">
        <v>2417</v>
      </c>
      <c r="B13" s="433">
        <v>7.3779999999999998E-2</v>
      </c>
      <c r="C13" s="741">
        <v>7.6550000000000007E-2</v>
      </c>
      <c r="D13" s="433">
        <v>7.7270000000000005E-2</v>
      </c>
      <c r="E13" s="741">
        <v>7.7890000000000001E-2</v>
      </c>
      <c r="F13" s="433">
        <v>8.0630000000000007E-2</v>
      </c>
      <c r="G13" s="741">
        <v>8.1662999999999999E-2</v>
      </c>
      <c r="H13" s="433">
        <v>8.1911000000000012E-2</v>
      </c>
      <c r="I13" s="741">
        <v>8.1658000000000008E-2</v>
      </c>
      <c r="J13" s="433">
        <v>8.5014000000000006E-2</v>
      </c>
      <c r="K13" s="741">
        <v>8.7437000000000001E-2</v>
      </c>
      <c r="L13" s="433">
        <v>8.8400999999999993E-2</v>
      </c>
      <c r="M13" s="741">
        <v>8.5014000000000006E-2</v>
      </c>
      <c r="N13" s="433">
        <v>8.8915000000000008E-2</v>
      </c>
      <c r="O13" s="741">
        <v>9.4037000000000009E-2</v>
      </c>
      <c r="P13" s="433">
        <v>9.4078999999999996E-2</v>
      </c>
      <c r="Q13" s="741">
        <v>9.2483999999999997E-2</v>
      </c>
      <c r="R13" s="433">
        <v>9.1873999999999997E-2</v>
      </c>
      <c r="S13" s="741">
        <v>9.090899999999999E-2</v>
      </c>
    </row>
    <row r="14" spans="1:19" ht="18" customHeight="1" thickBot="1">
      <c r="A14" s="319" t="s">
        <v>2418</v>
      </c>
      <c r="B14" s="433">
        <v>7.0489999999999997E-2</v>
      </c>
      <c r="C14" s="741">
        <v>6.9919999999999996E-2</v>
      </c>
      <c r="D14" s="433">
        <v>7.2840000000000002E-2</v>
      </c>
      <c r="E14" s="741">
        <v>7.5490000000000002E-2</v>
      </c>
      <c r="F14" s="433">
        <v>7.707E-2</v>
      </c>
      <c r="G14" s="741">
        <v>7.8060999999999992E-2</v>
      </c>
      <c r="H14" s="433">
        <v>7.8575000000000006E-2</v>
      </c>
      <c r="I14" s="741">
        <v>7.9881000000000008E-2</v>
      </c>
      <c r="J14" s="433">
        <v>7.9947000000000004E-2</v>
      </c>
      <c r="K14" s="741">
        <v>8.1819000000000003E-2</v>
      </c>
      <c r="L14" s="433">
        <v>8.1986000000000003E-2</v>
      </c>
      <c r="M14" s="741">
        <v>8.2294999999999993E-2</v>
      </c>
      <c r="N14" s="433">
        <v>8.6050000000000001E-2</v>
      </c>
      <c r="O14" s="741">
        <v>9.5258000000000009E-2</v>
      </c>
      <c r="P14" s="433">
        <v>9.5890000000000003E-2</v>
      </c>
      <c r="Q14" s="741">
        <v>0.10076399999999999</v>
      </c>
      <c r="R14" s="433">
        <v>0.10280400000000001</v>
      </c>
      <c r="S14" s="741" t="s">
        <v>153</v>
      </c>
    </row>
    <row r="15" spans="1:19" ht="18" customHeight="1" thickBot="1">
      <c r="A15" s="319" t="s">
        <v>2419</v>
      </c>
      <c r="B15" s="433">
        <v>8.2110000000000002E-2</v>
      </c>
      <c r="C15" s="741">
        <v>7.9490000000000005E-2</v>
      </c>
      <c r="D15" s="433">
        <v>8.0619999999999997E-2</v>
      </c>
      <c r="E15" s="741">
        <v>8.0879999999999994E-2</v>
      </c>
      <c r="F15" s="433">
        <v>7.9579999999999998E-2</v>
      </c>
      <c r="G15" s="741">
        <v>8.2973999999999992E-2</v>
      </c>
      <c r="H15" s="433">
        <v>8.8699E-2</v>
      </c>
      <c r="I15" s="741">
        <v>9.7727999999999995E-2</v>
      </c>
      <c r="J15" s="433">
        <v>9.9682999999999994E-2</v>
      </c>
      <c r="K15" s="741">
        <v>0.10882</v>
      </c>
      <c r="L15" s="433">
        <v>0.10746800000000001</v>
      </c>
      <c r="M15" s="741">
        <v>0.107642</v>
      </c>
      <c r="N15" s="433">
        <v>0.10990899999999999</v>
      </c>
      <c r="O15" s="741">
        <v>0.11882300000000001</v>
      </c>
      <c r="P15" s="433">
        <v>0.12146800000000001</v>
      </c>
      <c r="Q15" s="741">
        <v>0.12095599999999999</v>
      </c>
      <c r="R15" s="433" t="s">
        <v>153</v>
      </c>
      <c r="S15" s="741" t="s">
        <v>153</v>
      </c>
    </row>
    <row r="16" spans="1:19" ht="18" customHeight="1" thickBot="1">
      <c r="A16" s="319" t="s">
        <v>2420</v>
      </c>
      <c r="B16" s="433">
        <v>7.8270000000000006E-2</v>
      </c>
      <c r="C16" s="741">
        <v>8.3989999999999995E-2</v>
      </c>
      <c r="D16" s="433">
        <v>9.2520000000000005E-2</v>
      </c>
      <c r="E16" s="741">
        <v>9.3290000000000012E-2</v>
      </c>
      <c r="F16" s="433">
        <v>8.4209999999999993E-2</v>
      </c>
      <c r="G16" s="741">
        <v>8.8013999999999995E-2</v>
      </c>
      <c r="H16" s="433">
        <v>9.7910999999999998E-2</v>
      </c>
      <c r="I16" s="741">
        <v>0.10022199999999999</v>
      </c>
      <c r="J16" s="433">
        <v>9.5981999999999998E-2</v>
      </c>
      <c r="K16" s="741">
        <v>9.0303999999999995E-2</v>
      </c>
      <c r="L16" s="433">
        <v>8.5639999999999994E-2</v>
      </c>
      <c r="M16" s="741">
        <v>8.746000000000001E-2</v>
      </c>
      <c r="N16" s="433">
        <v>8.5512999999999992E-2</v>
      </c>
      <c r="O16" s="741">
        <v>9.674300000000001E-2</v>
      </c>
      <c r="P16" s="433">
        <v>9.4224000000000002E-2</v>
      </c>
      <c r="Q16" s="741">
        <v>9.2834E-2</v>
      </c>
      <c r="R16" s="433">
        <v>9.2836000000000002E-2</v>
      </c>
      <c r="S16" s="741">
        <v>9.5978999999999995E-2</v>
      </c>
    </row>
    <row r="17" spans="1:19" ht="18" customHeight="1" thickBot="1">
      <c r="A17" s="319" t="s">
        <v>2421</v>
      </c>
      <c r="B17" s="433">
        <v>7.4630000000000002E-2</v>
      </c>
      <c r="C17" s="741">
        <v>7.3340000000000002E-2</v>
      </c>
      <c r="D17" s="433">
        <v>7.3190000000000005E-2</v>
      </c>
      <c r="E17" s="741">
        <v>7.3160000000000003E-2</v>
      </c>
      <c r="F17" s="433">
        <v>7.2110000000000007E-2</v>
      </c>
      <c r="G17" s="741">
        <v>7.2415999999999994E-2</v>
      </c>
      <c r="H17" s="433">
        <v>7.2503999999999999E-2</v>
      </c>
      <c r="I17" s="741">
        <v>8.1539E-2</v>
      </c>
      <c r="J17" s="433">
        <v>8.2188999999999998E-2</v>
      </c>
      <c r="K17" s="741">
        <v>8.2882999999999998E-2</v>
      </c>
      <c r="L17" s="433">
        <v>8.3907000000000009E-2</v>
      </c>
      <c r="M17" s="741">
        <v>8.4887999999999991E-2</v>
      </c>
      <c r="N17" s="433">
        <v>8.9255999999999988E-2</v>
      </c>
      <c r="O17" s="741">
        <v>9.5975000000000005E-2</v>
      </c>
      <c r="P17" s="433">
        <v>9.6480999999999997E-2</v>
      </c>
      <c r="Q17" s="741">
        <v>9.4446999999999989E-2</v>
      </c>
      <c r="R17" s="433">
        <v>9.2949000000000004E-2</v>
      </c>
      <c r="S17" s="741" t="s">
        <v>153</v>
      </c>
    </row>
    <row r="18" spans="1:19" ht="18" customHeight="1" thickBot="1">
      <c r="A18" s="319" t="s">
        <v>2422</v>
      </c>
      <c r="B18" s="433">
        <v>8.199999999999999E-2</v>
      </c>
      <c r="C18" s="741">
        <v>8.0259999999999998E-2</v>
      </c>
      <c r="D18" s="433">
        <v>8.115E-2</v>
      </c>
      <c r="E18" s="741">
        <v>8.1979999999999997E-2</v>
      </c>
      <c r="F18" s="433">
        <v>8.1799999999999998E-2</v>
      </c>
      <c r="G18" s="741">
        <v>8.8595000000000007E-2</v>
      </c>
      <c r="H18" s="433">
        <v>9.2281999999999989E-2</v>
      </c>
      <c r="I18" s="741">
        <v>9.3100000000000002E-2</v>
      </c>
      <c r="J18" s="433">
        <v>9.0879999999999989E-2</v>
      </c>
      <c r="K18" s="741">
        <v>9.0615000000000001E-2</v>
      </c>
      <c r="L18" s="433">
        <v>8.9480000000000004E-2</v>
      </c>
      <c r="M18" s="741">
        <v>8.9171999999999987E-2</v>
      </c>
      <c r="N18" s="433">
        <v>9.2284000000000005E-2</v>
      </c>
      <c r="O18" s="741">
        <v>9.9390000000000006E-2</v>
      </c>
      <c r="P18" s="433">
        <v>9.4687999999999994E-2</v>
      </c>
      <c r="Q18" s="741">
        <v>9.4910999999999995E-2</v>
      </c>
      <c r="R18" s="433">
        <v>9.5787999999999998E-2</v>
      </c>
      <c r="S18" s="741" t="s">
        <v>153</v>
      </c>
    </row>
    <row r="19" spans="1:19" ht="18" customHeight="1" thickBot="1">
      <c r="A19" s="319" t="s">
        <v>2423</v>
      </c>
      <c r="B19" s="433">
        <v>6.8440000000000001E-2</v>
      </c>
      <c r="C19" s="741">
        <v>6.6049999999999998E-2</v>
      </c>
      <c r="D19" s="433">
        <v>6.6549999999999998E-2</v>
      </c>
      <c r="E19" s="741">
        <v>6.8909999999999999E-2</v>
      </c>
      <c r="F19" s="433">
        <v>7.0099999999999996E-2</v>
      </c>
      <c r="G19" s="741">
        <v>7.2599999999999998E-2</v>
      </c>
      <c r="H19" s="433">
        <v>7.6350000000000001E-2</v>
      </c>
      <c r="I19" s="741">
        <v>7.7736E-2</v>
      </c>
      <c r="J19" s="433">
        <v>7.9114000000000004E-2</v>
      </c>
      <c r="K19" s="741">
        <v>8.1286999999999998E-2</v>
      </c>
      <c r="L19" s="433">
        <v>8.2879000000000008E-2</v>
      </c>
      <c r="M19" s="741">
        <v>8.3717E-2</v>
      </c>
      <c r="N19" s="433">
        <v>8.7826000000000001E-2</v>
      </c>
      <c r="O19" s="741">
        <v>9.7297999999999996E-2</v>
      </c>
      <c r="P19" s="433">
        <v>9.3739000000000003E-2</v>
      </c>
      <c r="Q19" s="741">
        <v>9.2301999999999995E-2</v>
      </c>
      <c r="R19" s="433">
        <v>9.2715999999999993E-2</v>
      </c>
      <c r="S19" s="741" t="s">
        <v>153</v>
      </c>
    </row>
    <row r="20" spans="1:19" ht="18" customHeight="1" thickBot="1">
      <c r="A20" s="319" t="s">
        <v>2424</v>
      </c>
      <c r="B20" s="433">
        <v>0.13666</v>
      </c>
      <c r="C20" s="741">
        <v>0.13561000000000001</v>
      </c>
      <c r="D20" s="433">
        <v>0.13580999999999999</v>
      </c>
      <c r="E20" s="741">
        <v>0.13583999999999999</v>
      </c>
      <c r="F20" s="433">
        <v>0.13663999999999998</v>
      </c>
      <c r="G20" s="741">
        <v>0.143211</v>
      </c>
      <c r="H20" s="433">
        <v>0.151644</v>
      </c>
      <c r="I20" s="741">
        <v>0.151418</v>
      </c>
      <c r="J20" s="433">
        <v>0.152092</v>
      </c>
      <c r="K20" s="741">
        <v>0.15234800000000001</v>
      </c>
      <c r="L20" s="433">
        <v>0.15336</v>
      </c>
      <c r="M20" s="741">
        <v>0.156108</v>
      </c>
      <c r="N20" s="433">
        <v>0.16084199999999998</v>
      </c>
      <c r="O20" s="741">
        <v>0.170543</v>
      </c>
      <c r="P20" s="433">
        <v>0.17047000000000001</v>
      </c>
      <c r="Q20" s="741">
        <v>0.170152</v>
      </c>
      <c r="R20" s="433">
        <v>0.16899500000000001</v>
      </c>
      <c r="S20" s="741" t="s">
        <v>153</v>
      </c>
    </row>
    <row r="21" spans="1:19" s="410" customFormat="1" ht="30" customHeight="1" thickBot="1">
      <c r="A21" s="1438" t="s">
        <v>2425</v>
      </c>
      <c r="B21" s="728">
        <v>9.9469999999999989E-2</v>
      </c>
      <c r="C21" s="645">
        <v>9.9510000000000001E-2</v>
      </c>
      <c r="D21" s="728">
        <v>0.10073</v>
      </c>
      <c r="E21" s="645">
        <v>0.10202</v>
      </c>
      <c r="F21" s="728">
        <v>0.10151</v>
      </c>
      <c r="G21" s="645">
        <v>0.10590400000000001</v>
      </c>
      <c r="H21" s="728">
        <v>0.10606600000000001</v>
      </c>
      <c r="I21" s="645">
        <v>0.10933899999999999</v>
      </c>
      <c r="J21" s="728">
        <v>0.109612</v>
      </c>
      <c r="K21" s="645">
        <v>0.108629</v>
      </c>
      <c r="L21" s="728">
        <v>0.10387700000000001</v>
      </c>
      <c r="M21" s="645">
        <v>0.102099</v>
      </c>
      <c r="N21" s="728">
        <v>0.10289</v>
      </c>
      <c r="O21" s="645">
        <v>0.11000500000000001</v>
      </c>
      <c r="P21" s="728">
        <v>0.10913</v>
      </c>
      <c r="Q21" s="645">
        <v>0.11054</v>
      </c>
      <c r="R21" s="728">
        <v>0.114304</v>
      </c>
      <c r="S21" s="645" t="s">
        <v>153</v>
      </c>
    </row>
    <row r="22" spans="1:19" ht="9.75" customHeight="1">
      <c r="A22" s="1646"/>
      <c r="B22" s="1647"/>
      <c r="C22" s="1647"/>
      <c r="D22" s="1647"/>
      <c r="E22" s="1647"/>
      <c r="F22" s="1647"/>
      <c r="G22" s="1648"/>
      <c r="H22" s="1648"/>
      <c r="I22" s="1648"/>
      <c r="J22" s="1648"/>
      <c r="K22" s="1648"/>
      <c r="L22" s="1648"/>
      <c r="M22" s="1648"/>
      <c r="N22" s="1648"/>
      <c r="O22" s="1648"/>
      <c r="P22" s="1648"/>
      <c r="Q22" s="1648"/>
      <c r="R22" s="1648"/>
      <c r="S22" s="1648"/>
    </row>
    <row r="23" spans="1:19" s="68" customFormat="1" ht="26.25" customHeight="1" thickBot="1">
      <c r="A23" s="1649" t="s">
        <v>2426</v>
      </c>
      <c r="B23" s="1650">
        <v>3.5624658814363358E-2</v>
      </c>
      <c r="C23" s="1573">
        <v>3.6541719623972846E-2</v>
      </c>
      <c r="D23" s="1650">
        <v>3.7643432570707028E-2</v>
      </c>
      <c r="E23" s="1573">
        <v>3.8407716952479763E-2</v>
      </c>
      <c r="F23" s="1650">
        <v>3.871842657206593E-2</v>
      </c>
      <c r="G23" s="1573">
        <v>4.019167602662601E-2</v>
      </c>
      <c r="H23" s="1650">
        <v>4.1494101249786454E-2</v>
      </c>
      <c r="I23" s="1573">
        <v>3.9815729910888893E-2</v>
      </c>
      <c r="J23" s="1650">
        <v>4.1128885753899412E-2</v>
      </c>
      <c r="K23" s="1573">
        <v>4.2065813858448799E-2</v>
      </c>
      <c r="L23" s="1650">
        <v>4.028911442553311E-2</v>
      </c>
      <c r="M23" s="1573">
        <v>3.9523960340004889E-2</v>
      </c>
      <c r="N23" s="1650">
        <v>3.9992113890197377E-2</v>
      </c>
      <c r="O23" s="1573">
        <v>4.2228297458611619E-2</v>
      </c>
      <c r="P23" s="1650">
        <v>4.2098611619230356E-2</v>
      </c>
      <c r="Q23" s="1573">
        <v>4.2350170457946867E-2</v>
      </c>
      <c r="R23" s="1650">
        <v>4.3457320449413375E-2</v>
      </c>
      <c r="S23" s="1573">
        <v>4.5943423133406054E-2</v>
      </c>
    </row>
    <row r="24" spans="1:19" ht="20" customHeight="1">
      <c r="A24" s="1651"/>
      <c r="B24" s="461"/>
      <c r="C24" s="461"/>
      <c r="D24" s="461"/>
      <c r="E24" s="461"/>
      <c r="F24" s="461"/>
    </row>
    <row r="25" spans="1:19" ht="20" customHeight="1">
      <c r="A25" s="1652"/>
      <c r="B25" s="461"/>
      <c r="C25" s="461"/>
      <c r="D25" s="461"/>
      <c r="E25" s="461"/>
      <c r="F25" s="461"/>
    </row>
    <row r="26" spans="1:19" ht="22.75" customHeight="1">
      <c r="A26" s="570" t="s">
        <v>2427</v>
      </c>
      <c r="B26" s="461"/>
      <c r="C26" s="461"/>
      <c r="D26" s="461"/>
      <c r="E26" s="461"/>
      <c r="F26" s="461"/>
    </row>
    <row r="27" spans="1:19" ht="78" customHeight="1">
      <c r="A27" s="1643" t="s">
        <v>2409</v>
      </c>
      <c r="B27" s="1644">
        <v>1996</v>
      </c>
      <c r="C27" s="1645">
        <v>1997</v>
      </c>
      <c r="D27" s="1644">
        <v>1998</v>
      </c>
      <c r="E27" s="1645">
        <v>1999</v>
      </c>
      <c r="F27" s="1644">
        <v>2000</v>
      </c>
      <c r="G27" s="1645">
        <v>2001</v>
      </c>
      <c r="H27" s="1644">
        <v>2002</v>
      </c>
      <c r="I27" s="1645">
        <v>2003</v>
      </c>
      <c r="J27" s="1644">
        <v>2004</v>
      </c>
      <c r="K27" s="1645">
        <v>2005</v>
      </c>
      <c r="L27" s="1644">
        <v>2006</v>
      </c>
      <c r="M27" s="1645">
        <v>2007</v>
      </c>
      <c r="N27" s="1644">
        <v>2008</v>
      </c>
      <c r="O27" s="1645">
        <v>2009</v>
      </c>
      <c r="P27" s="1644">
        <v>2010</v>
      </c>
      <c r="Q27" s="1645">
        <v>2011</v>
      </c>
      <c r="R27" s="1644">
        <v>2012</v>
      </c>
      <c r="S27" s="1645">
        <v>2013</v>
      </c>
    </row>
    <row r="28" spans="1:19" ht="23.5" customHeight="1" thickBot="1">
      <c r="A28" s="1451" t="s">
        <v>2410</v>
      </c>
      <c r="B28" s="352">
        <v>2192.1048443716359</v>
      </c>
      <c r="C28" s="353">
        <v>2560.8662900188324</v>
      </c>
      <c r="D28" s="352">
        <v>2317.1413775245987</v>
      </c>
      <c r="E28" s="353">
        <v>3150.6169207500006</v>
      </c>
      <c r="F28" s="352">
        <v>3827.6680403199994</v>
      </c>
      <c r="G28" s="353">
        <v>4394.4034119620337</v>
      </c>
      <c r="H28" s="352">
        <v>4531.5703432715336</v>
      </c>
      <c r="I28" s="353">
        <v>4774.5507173630085</v>
      </c>
      <c r="J28" s="352">
        <v>5092.0843211355223</v>
      </c>
      <c r="K28" s="353">
        <v>5248.4498040002582</v>
      </c>
      <c r="L28" s="352">
        <v>5315.0959931015332</v>
      </c>
      <c r="M28" s="353">
        <v>5419.7441687440642</v>
      </c>
      <c r="N28" s="352">
        <v>5408.0990043175516</v>
      </c>
      <c r="O28" s="353">
        <v>5651.0011120921163</v>
      </c>
      <c r="P28" s="352">
        <v>5713.3881336423965</v>
      </c>
      <c r="Q28" s="353">
        <v>5761.1438152352557</v>
      </c>
      <c r="R28" s="352" t="s">
        <v>153</v>
      </c>
      <c r="S28" s="353" t="s">
        <v>153</v>
      </c>
    </row>
    <row r="29" spans="1:19" ht="18" customHeight="1" thickBot="1">
      <c r="A29" s="319" t="s">
        <v>2411</v>
      </c>
      <c r="B29" s="289">
        <v>2936.0318277556753</v>
      </c>
      <c r="C29" s="159">
        <v>3042.2975517890773</v>
      </c>
      <c r="D29" s="289">
        <v>3159.606421543242</v>
      </c>
      <c r="E29" s="159">
        <v>5116.9991889304592</v>
      </c>
      <c r="F29" s="289">
        <v>5298.6362805677045</v>
      </c>
      <c r="G29" s="159">
        <v>5391.2915603186111</v>
      </c>
      <c r="H29" s="289">
        <v>5461.5150554135489</v>
      </c>
      <c r="I29" s="159">
        <v>5731.4179142816256</v>
      </c>
      <c r="J29" s="289">
        <v>6007.7578672930249</v>
      </c>
      <c r="K29" s="159">
        <v>6105.6271582342506</v>
      </c>
      <c r="L29" s="289">
        <v>6198.5979788226014</v>
      </c>
      <c r="M29" s="159">
        <v>6251.5778078659851</v>
      </c>
      <c r="N29" s="289">
        <v>6462.6852388808256</v>
      </c>
      <c r="O29" s="159">
        <v>6635.3370373368743</v>
      </c>
      <c r="P29" s="289">
        <v>6785.3435131216202</v>
      </c>
      <c r="Q29" s="159">
        <v>6721.5149886138606</v>
      </c>
      <c r="R29" s="289">
        <v>6812.4406634456409</v>
      </c>
      <c r="S29" s="159" t="s">
        <v>153</v>
      </c>
    </row>
    <row r="30" spans="1:19" ht="18" customHeight="1" thickBot="1">
      <c r="A30" s="319" t="s">
        <v>2412</v>
      </c>
      <c r="B30" s="289">
        <v>3568.3697636321085</v>
      </c>
      <c r="C30" s="159">
        <v>3815.1977401129943</v>
      </c>
      <c r="D30" s="289">
        <v>3954.2206110823408</v>
      </c>
      <c r="E30" s="159">
        <v>3834.1266744456802</v>
      </c>
      <c r="F30" s="289">
        <v>4156.5449203343214</v>
      </c>
      <c r="G30" s="159">
        <v>4350.2841270461076</v>
      </c>
      <c r="H30" s="289">
        <v>4502.9896380346609</v>
      </c>
      <c r="I30" s="159">
        <v>5191.0257546104267</v>
      </c>
      <c r="J30" s="289">
        <v>5290.740117782153</v>
      </c>
      <c r="K30" s="159">
        <v>5411.9035915340346</v>
      </c>
      <c r="L30" s="289">
        <v>5439.6789365371933</v>
      </c>
      <c r="M30" s="159">
        <v>5490.4391952707965</v>
      </c>
      <c r="N30" s="289">
        <v>5701.1004444941709</v>
      </c>
      <c r="O30" s="159">
        <v>5949.053320278822</v>
      </c>
      <c r="P30" s="289">
        <v>6078.4412950028154</v>
      </c>
      <c r="Q30" s="159">
        <v>6093.2147743208825</v>
      </c>
      <c r="R30" s="289">
        <v>6148.6474563806969</v>
      </c>
      <c r="S30" s="159" t="s">
        <v>153</v>
      </c>
    </row>
    <row r="31" spans="1:19" ht="18" customHeight="1" thickBot="1">
      <c r="A31" s="319" t="s">
        <v>2413</v>
      </c>
      <c r="B31" s="289">
        <v>3827.5043295108821</v>
      </c>
      <c r="C31" s="159">
        <v>3887.7024482109227</v>
      </c>
      <c r="D31" s="289">
        <v>3948.4205075090626</v>
      </c>
      <c r="E31" s="159">
        <v>4515.186284620786</v>
      </c>
      <c r="F31" s="289">
        <v>4642.6583575556215</v>
      </c>
      <c r="G31" s="159">
        <v>4927.2599063698608</v>
      </c>
      <c r="H31" s="289">
        <v>5083.98482248458</v>
      </c>
      <c r="I31" s="159">
        <v>5141.0014725879319</v>
      </c>
      <c r="J31" s="289">
        <v>5477.7955810618423</v>
      </c>
      <c r="K31" s="159">
        <v>5651.698982348059</v>
      </c>
      <c r="L31" s="289">
        <v>5932.3725059093513</v>
      </c>
      <c r="M31" s="159">
        <v>6026.7423592647392</v>
      </c>
      <c r="N31" s="289">
        <v>6281.160947400801</v>
      </c>
      <c r="O31" s="159">
        <v>6704.513222982453</v>
      </c>
      <c r="P31" s="289">
        <v>6842.8524150462936</v>
      </c>
      <c r="Q31" s="159">
        <v>6551.4711440112906</v>
      </c>
      <c r="R31" s="289">
        <v>6537.2976300556666</v>
      </c>
      <c r="S31" s="159" t="s">
        <v>153</v>
      </c>
    </row>
    <row r="32" spans="1:19" ht="18" customHeight="1" thickBot="1">
      <c r="A32" s="319" t="s">
        <v>2414</v>
      </c>
      <c r="B32" s="289">
        <v>2505.7940556985723</v>
      </c>
      <c r="C32" s="159">
        <v>2668.1732580037665</v>
      </c>
      <c r="D32" s="289">
        <v>2689.7980321077162</v>
      </c>
      <c r="E32" s="159">
        <v>3259.6741783650145</v>
      </c>
      <c r="F32" s="289">
        <v>3430.5305517873016</v>
      </c>
      <c r="G32" s="159">
        <v>3625.1418155797392</v>
      </c>
      <c r="H32" s="289">
        <v>3807.1999839640339</v>
      </c>
      <c r="I32" s="159">
        <v>3999.6740419037292</v>
      </c>
      <c r="J32" s="289">
        <v>4299.9907891417533</v>
      </c>
      <c r="K32" s="159">
        <v>4511.1512362700778</v>
      </c>
      <c r="L32" s="289">
        <v>4586.03690104421</v>
      </c>
      <c r="M32" s="159">
        <v>4654.5802285342606</v>
      </c>
      <c r="N32" s="289">
        <v>4898.8107285342176</v>
      </c>
      <c r="O32" s="159">
        <v>4977.943724744373</v>
      </c>
      <c r="P32" s="289">
        <v>4964.1678164907107</v>
      </c>
      <c r="Q32" s="159">
        <v>4979.6405543603387</v>
      </c>
      <c r="R32" s="289">
        <v>4951.5573466263177</v>
      </c>
      <c r="S32" s="159">
        <v>5083.9392944188003</v>
      </c>
    </row>
    <row r="33" spans="1:19" ht="18" customHeight="1" thickBot="1">
      <c r="A33" s="319" t="s">
        <v>2415</v>
      </c>
      <c r="B33" s="289">
        <v>3398.5064357594197</v>
      </c>
      <c r="C33" s="159">
        <v>3536.7796610169494</v>
      </c>
      <c r="D33" s="289">
        <v>3603.3143448990163</v>
      </c>
      <c r="E33" s="159">
        <v>4500.2311086981563</v>
      </c>
      <c r="F33" s="289">
        <v>4726.9620350164387</v>
      </c>
      <c r="G33" s="159">
        <v>4997.4143282756249</v>
      </c>
      <c r="H33" s="289">
        <v>5173.0265306781275</v>
      </c>
      <c r="I33" s="159">
        <v>5209.6242438329846</v>
      </c>
      <c r="J33" s="289">
        <v>5377.8703641873517</v>
      </c>
      <c r="K33" s="159">
        <v>5627.1463379378547</v>
      </c>
      <c r="L33" s="289">
        <v>5651.5702119407024</v>
      </c>
      <c r="M33" s="159">
        <v>5710.4068542665163</v>
      </c>
      <c r="N33" s="289">
        <v>5770.0218636410164</v>
      </c>
      <c r="O33" s="159">
        <v>5981.8955285020684</v>
      </c>
      <c r="P33" s="289">
        <v>6081.2683472786221</v>
      </c>
      <c r="Q33" s="159">
        <v>6042.8644854743479</v>
      </c>
      <c r="R33" s="289">
        <v>5966.5976009859787</v>
      </c>
      <c r="S33" s="159" t="s">
        <v>153</v>
      </c>
    </row>
    <row r="34" spans="1:19" ht="18" customHeight="1" thickBot="1">
      <c r="A34" s="319" t="s">
        <v>2416</v>
      </c>
      <c r="B34" s="289">
        <v>1781.705125204774</v>
      </c>
      <c r="C34" s="159">
        <v>2246.1958568738232</v>
      </c>
      <c r="D34" s="289">
        <v>2430.2433972035215</v>
      </c>
      <c r="E34" s="159">
        <v>4832.1431527977438</v>
      </c>
      <c r="F34" s="289">
        <v>4940.8779416756997</v>
      </c>
      <c r="G34" s="159">
        <v>5161.9270751702779</v>
      </c>
      <c r="H34" s="289">
        <v>5212.6591881708955</v>
      </c>
      <c r="I34" s="159">
        <v>5500.0505490417099</v>
      </c>
      <c r="J34" s="289">
        <v>5553.7269820099355</v>
      </c>
      <c r="K34" s="159">
        <v>5861.0770060744126</v>
      </c>
      <c r="L34" s="289">
        <v>5917.7070442621753</v>
      </c>
      <c r="M34" s="159">
        <v>5960.8757070430838</v>
      </c>
      <c r="N34" s="289">
        <v>6153.2716803783424</v>
      </c>
      <c r="O34" s="159">
        <v>6394.9287506741648</v>
      </c>
      <c r="P34" s="289">
        <v>6681.9251959161938</v>
      </c>
      <c r="Q34" s="159">
        <v>6644.7033066930799</v>
      </c>
      <c r="R34" s="289">
        <v>6694.3725056514759</v>
      </c>
      <c r="S34" s="159">
        <v>6736.2832838086006</v>
      </c>
    </row>
    <row r="35" spans="1:19" ht="18" customHeight="1" thickBot="1">
      <c r="A35" s="319" t="s">
        <v>2417</v>
      </c>
      <c r="B35" s="289">
        <v>2018.5218815820267</v>
      </c>
      <c r="C35" s="159">
        <v>2325.9510357815443</v>
      </c>
      <c r="D35" s="289">
        <v>2388.1926462972551</v>
      </c>
      <c r="E35" s="159">
        <v>3528.5266036080652</v>
      </c>
      <c r="F35" s="289">
        <v>3820.9668874989015</v>
      </c>
      <c r="G35" s="159">
        <v>4099.1150582474384</v>
      </c>
      <c r="H35" s="289">
        <v>3908.5268737456636</v>
      </c>
      <c r="I35" s="159">
        <v>3977.0005628908498</v>
      </c>
      <c r="J35" s="289">
        <v>4139.6184790726293</v>
      </c>
      <c r="K35" s="159">
        <v>4356.7299790955794</v>
      </c>
      <c r="L35" s="289">
        <v>4517.4655333447618</v>
      </c>
      <c r="M35" s="159">
        <v>4430.5825954047668</v>
      </c>
      <c r="N35" s="289">
        <v>4673.8626815059488</v>
      </c>
      <c r="O35" s="159">
        <v>4712.4827240832547</v>
      </c>
      <c r="P35" s="289">
        <v>4764.5184931267695</v>
      </c>
      <c r="Q35" s="159">
        <v>4615.9594599117936</v>
      </c>
      <c r="R35" s="289">
        <v>4464.4597388618176</v>
      </c>
      <c r="S35" s="159">
        <v>4390.3191003386</v>
      </c>
    </row>
    <row r="36" spans="1:19" ht="18" customHeight="1" thickBot="1">
      <c r="A36" s="319" t="s">
        <v>2418</v>
      </c>
      <c r="B36" s="289">
        <v>3216.2443248303298</v>
      </c>
      <c r="C36" s="159">
        <v>3420.7721280602636</v>
      </c>
      <c r="D36" s="289">
        <v>3221.9575349559814</v>
      </c>
      <c r="E36" s="159">
        <v>3426.3828269447154</v>
      </c>
      <c r="F36" s="289">
        <v>3654.081376035751</v>
      </c>
      <c r="G36" s="159">
        <v>3817.2290695405686</v>
      </c>
      <c r="H36" s="289">
        <v>3791.2445149350629</v>
      </c>
      <c r="I36" s="159">
        <v>3966.8026114934096</v>
      </c>
      <c r="J36" s="289">
        <v>4123.8262118428729</v>
      </c>
      <c r="K36" s="159">
        <v>4340.8625337628209</v>
      </c>
      <c r="L36" s="289">
        <v>4321.6341106546051</v>
      </c>
      <c r="M36" s="159">
        <v>4400.6558075268113</v>
      </c>
      <c r="N36" s="289">
        <v>4476.644851652427</v>
      </c>
      <c r="O36" s="159">
        <v>4612.8098780238424</v>
      </c>
      <c r="P36" s="289">
        <v>4885.0381222331407</v>
      </c>
      <c r="Q36" s="159">
        <v>4984.8482506130658</v>
      </c>
      <c r="R36" s="289">
        <v>5076.8374220390078</v>
      </c>
      <c r="S36" s="159" t="s">
        <v>153</v>
      </c>
    </row>
    <row r="37" spans="1:19" ht="18" customHeight="1" thickBot="1">
      <c r="A37" s="319" t="s">
        <v>2419</v>
      </c>
      <c r="B37" s="289">
        <v>2722.7727591855837</v>
      </c>
      <c r="C37" s="159">
        <v>2839.2843691148778</v>
      </c>
      <c r="D37" s="289">
        <v>2997.2035214914554</v>
      </c>
      <c r="E37" s="159">
        <v>4077.5826348176147</v>
      </c>
      <c r="F37" s="289">
        <v>4332.0970438718368</v>
      </c>
      <c r="G37" s="159">
        <v>4699.3593410012363</v>
      </c>
      <c r="H37" s="289">
        <v>5017.609171596212</v>
      </c>
      <c r="I37" s="159">
        <v>5504.6332255938651</v>
      </c>
      <c r="J37" s="289">
        <v>5802.0914740669168</v>
      </c>
      <c r="K37" s="159">
        <v>6657.4443732690479</v>
      </c>
      <c r="L37" s="289">
        <v>6785.6505350843217</v>
      </c>
      <c r="M37" s="159">
        <v>7014.6516155783693</v>
      </c>
      <c r="N37" s="289">
        <v>7304.607117075705</v>
      </c>
      <c r="O37" s="159">
        <v>7437.3540139913866</v>
      </c>
      <c r="P37" s="289">
        <v>7622.2920979006085</v>
      </c>
      <c r="Q37" s="159">
        <v>7522.8034304525991</v>
      </c>
      <c r="R37" s="289" t="s">
        <v>153</v>
      </c>
      <c r="S37" s="159" t="s">
        <v>153</v>
      </c>
    </row>
    <row r="38" spans="1:19" ht="18" customHeight="1" thickBot="1">
      <c r="A38" s="319" t="s">
        <v>2420</v>
      </c>
      <c r="B38" s="289">
        <v>3547.2918324362277</v>
      </c>
      <c r="C38" s="159">
        <v>4376.3841807909603</v>
      </c>
      <c r="D38" s="289">
        <v>4571.9316416364582</v>
      </c>
      <c r="E38" s="159">
        <v>5204.6970295123101</v>
      </c>
      <c r="F38" s="289">
        <v>5633.2978483365123</v>
      </c>
      <c r="G38" s="159">
        <v>6005.5493554828254</v>
      </c>
      <c r="H38" s="289">
        <v>6426.45935796508</v>
      </c>
      <c r="I38" s="159">
        <v>6813.8986070538167</v>
      </c>
      <c r="J38" s="289">
        <v>7149.9063915980596</v>
      </c>
      <c r="K38" s="159">
        <v>7495.3153016462584</v>
      </c>
      <c r="L38" s="289">
        <v>7647.4634106224066</v>
      </c>
      <c r="M38" s="159">
        <v>7814.0914855986666</v>
      </c>
      <c r="N38" s="289">
        <v>8123.5906532868148</v>
      </c>
      <c r="O38" s="159">
        <v>8093.7553339463348</v>
      </c>
      <c r="P38" s="289">
        <v>8210.6799743136726</v>
      </c>
      <c r="Q38" s="159">
        <v>8282.5431652373791</v>
      </c>
      <c r="R38" s="289">
        <v>8543.5062629056902</v>
      </c>
      <c r="S38" s="159">
        <v>9321.9046914236005</v>
      </c>
    </row>
    <row r="39" spans="1:19" ht="18" customHeight="1" thickBot="1">
      <c r="A39" s="319" t="s">
        <v>2421</v>
      </c>
      <c r="B39" s="289">
        <v>3455.5408378188627</v>
      </c>
      <c r="C39" s="159">
        <v>3684.6892655367233</v>
      </c>
      <c r="D39" s="289">
        <v>3848.3687208700157</v>
      </c>
      <c r="E39" s="159">
        <v>2715.4671588779997</v>
      </c>
      <c r="F39" s="289">
        <v>2846.2701859878989</v>
      </c>
      <c r="G39" s="159">
        <v>3008.8746501987248</v>
      </c>
      <c r="H39" s="289">
        <v>3090.6816983622907</v>
      </c>
      <c r="I39" s="159">
        <v>3570.9406511960719</v>
      </c>
      <c r="J39" s="289">
        <v>3721.7271208904735</v>
      </c>
      <c r="K39" s="159">
        <v>3933.5121275899633</v>
      </c>
      <c r="L39" s="289">
        <v>4199.4013855261837</v>
      </c>
      <c r="M39" s="159">
        <v>4344.0712983362391</v>
      </c>
      <c r="N39" s="289">
        <v>4543.6659055847267</v>
      </c>
      <c r="O39" s="159">
        <v>4639.2915863497947</v>
      </c>
      <c r="P39" s="289">
        <v>4557.2579216113509</v>
      </c>
      <c r="Q39" s="159">
        <v>4319.8799679529839</v>
      </c>
      <c r="R39" s="289">
        <v>4155.9741091089809</v>
      </c>
      <c r="S39" s="159" t="s">
        <v>153</v>
      </c>
    </row>
    <row r="40" spans="1:19" ht="18" customHeight="1" thickBot="1">
      <c r="A40" s="319" t="s">
        <v>2422</v>
      </c>
      <c r="B40" s="289">
        <v>3177.8080973554879</v>
      </c>
      <c r="C40" s="159">
        <v>3333.7664783427495</v>
      </c>
      <c r="D40" s="289">
        <v>3385.8104609010875</v>
      </c>
      <c r="E40" s="159">
        <v>3986.806888725398</v>
      </c>
      <c r="F40" s="289">
        <v>4233.0095814475944</v>
      </c>
      <c r="G40" s="159">
        <v>4601.941230446384</v>
      </c>
      <c r="H40" s="289">
        <v>4785.2285964602224</v>
      </c>
      <c r="I40" s="159">
        <v>5032.0651050744273</v>
      </c>
      <c r="J40" s="289">
        <v>5179.7759136174564</v>
      </c>
      <c r="K40" s="159">
        <v>5164.4515762664314</v>
      </c>
      <c r="L40" s="289">
        <v>5297.9969744225127</v>
      </c>
      <c r="M40" s="159">
        <v>5490.1717800819733</v>
      </c>
      <c r="N40" s="289">
        <v>5661.619431835431</v>
      </c>
      <c r="O40" s="159">
        <v>5655.020754367838</v>
      </c>
      <c r="P40" s="289">
        <v>5654.497097148972</v>
      </c>
      <c r="Q40" s="159">
        <v>5713.4068157978372</v>
      </c>
      <c r="R40" s="289">
        <v>5713.1168962399934</v>
      </c>
      <c r="S40" s="159" t="s">
        <v>153</v>
      </c>
    </row>
    <row r="41" spans="1:19" ht="18" customHeight="1" thickBot="1">
      <c r="A41" s="319" t="s">
        <v>2423</v>
      </c>
      <c r="B41" s="289">
        <v>1461.8165223496374</v>
      </c>
      <c r="C41" s="159">
        <v>1538.5499058380415</v>
      </c>
      <c r="D41" s="289">
        <v>1602.2786121180736</v>
      </c>
      <c r="E41" s="159">
        <v>3128.236005399538</v>
      </c>
      <c r="F41" s="289">
        <v>3383.516819592403</v>
      </c>
      <c r="G41" s="159">
        <v>3683.4413396591203</v>
      </c>
      <c r="H41" s="289">
        <v>3880.9411824953236</v>
      </c>
      <c r="I41" s="159">
        <v>4148.5589116030242</v>
      </c>
      <c r="J41" s="289">
        <v>4436.0072773587835</v>
      </c>
      <c r="K41" s="159">
        <v>4706.9481363326877</v>
      </c>
      <c r="L41" s="289">
        <v>4864.6604589719573</v>
      </c>
      <c r="M41" s="159">
        <v>4835.5252980616851</v>
      </c>
      <c r="N41" s="289">
        <v>4943.5043883086273</v>
      </c>
      <c r="O41" s="159">
        <v>5127.320458202902</v>
      </c>
      <c r="P41" s="289">
        <v>4844.9989303839375</v>
      </c>
      <c r="Q41" s="159">
        <v>4630.0717992879045</v>
      </c>
      <c r="R41" s="289">
        <v>4576.6689788623253</v>
      </c>
      <c r="S41" s="159" t="s">
        <v>153</v>
      </c>
    </row>
    <row r="42" spans="1:19" ht="22.5" customHeight="1" thickBot="1">
      <c r="A42" s="319" t="s">
        <v>2424</v>
      </c>
      <c r="B42" s="665">
        <v>4835.5253919962552</v>
      </c>
      <c r="C42" s="1113">
        <v>5880.1318267419965</v>
      </c>
      <c r="D42" s="665">
        <v>6142.3096841015022</v>
      </c>
      <c r="E42" s="159">
        <v>8477.1639866804471</v>
      </c>
      <c r="F42" s="289">
        <v>8874.8718178342388</v>
      </c>
      <c r="G42" s="159">
        <v>9461.8000986620864</v>
      </c>
      <c r="H42" s="289">
        <v>9888.9408375770472</v>
      </c>
      <c r="I42" s="159">
        <v>10669.835499278804</v>
      </c>
      <c r="J42" s="289">
        <v>11190.188724999576</v>
      </c>
      <c r="K42" s="159">
        <v>11765.477707755608</v>
      </c>
      <c r="L42" s="289">
        <v>11801.014248847085</v>
      </c>
      <c r="M42" s="159">
        <v>12023.526206141405</v>
      </c>
      <c r="N42" s="289">
        <v>12057.759056536925</v>
      </c>
      <c r="O42" s="159">
        <v>12126.859053954715</v>
      </c>
      <c r="P42" s="289">
        <v>12441.191806033205</v>
      </c>
      <c r="Q42" s="159">
        <v>12227.136756326145</v>
      </c>
      <c r="R42" s="289">
        <v>12168.171505267001</v>
      </c>
      <c r="S42" s="159" t="s">
        <v>153</v>
      </c>
    </row>
    <row r="43" spans="1:19" s="185" customFormat="1" ht="21.75" customHeight="1" thickBot="1">
      <c r="A43" s="1438" t="s">
        <v>2425</v>
      </c>
      <c r="B43" s="363">
        <v>5298</v>
      </c>
      <c r="C43" s="292">
        <v>5390</v>
      </c>
      <c r="D43" s="363">
        <v>5600</v>
      </c>
      <c r="E43" s="244">
        <v>5753.71</v>
      </c>
      <c r="F43" s="619">
        <v>5963.4530000000004</v>
      </c>
      <c r="G43" s="244">
        <v>6306.2221</v>
      </c>
      <c r="H43" s="619">
        <v>6505.1796999999997</v>
      </c>
      <c r="I43" s="244">
        <v>6712.7884999999997</v>
      </c>
      <c r="J43" s="619">
        <v>6902.6122999999998</v>
      </c>
      <c r="K43" s="244">
        <v>6997.7458999999999</v>
      </c>
      <c r="L43" s="619">
        <v>7051.5515999999998</v>
      </c>
      <c r="M43" s="244">
        <v>7312.1558999999997</v>
      </c>
      <c r="N43" s="619">
        <v>7639.7143999999989</v>
      </c>
      <c r="O43" s="244">
        <v>7875.1540000000014</v>
      </c>
      <c r="P43" s="619">
        <v>7986.6637000000001</v>
      </c>
      <c r="Q43" s="244">
        <v>8174.1336000000001</v>
      </c>
      <c r="R43" s="619">
        <v>8459.6839999999993</v>
      </c>
      <c r="S43" s="244" t="s">
        <v>153</v>
      </c>
    </row>
    <row r="44" spans="1:19" ht="9.75" customHeight="1">
      <c r="A44" s="1646"/>
      <c r="B44" s="1647"/>
      <c r="C44" s="1647"/>
      <c r="D44" s="1647"/>
      <c r="E44" s="1653"/>
      <c r="F44" s="1653"/>
      <c r="G44" s="1654"/>
      <c r="H44" s="1654"/>
      <c r="I44" s="1654"/>
      <c r="J44" s="1654"/>
      <c r="K44" s="1654"/>
      <c r="L44" s="1654"/>
      <c r="M44" s="1654"/>
      <c r="N44" s="1654"/>
      <c r="O44" s="1654"/>
      <c r="P44" s="1654"/>
      <c r="Q44" s="1654"/>
      <c r="R44" s="1654"/>
      <c r="S44" s="1654"/>
    </row>
    <row r="45" spans="1:19" s="68" customFormat="1" ht="26.25" customHeight="1" thickBot="1">
      <c r="A45" s="1655" t="s">
        <v>2428</v>
      </c>
      <c r="B45" s="1656">
        <v>1855.3107485800188</v>
      </c>
      <c r="C45" s="1657">
        <v>1939.0233128827574</v>
      </c>
      <c r="D45" s="1656">
        <v>2053.2393946360617</v>
      </c>
      <c r="E45" s="1657">
        <v>2128.4240170100579</v>
      </c>
      <c r="F45" s="1658">
        <v>2249.3257570804471</v>
      </c>
      <c r="G45" s="265">
        <v>2368.8798186562203</v>
      </c>
      <c r="H45" s="1658">
        <v>2453.378303724407</v>
      </c>
      <c r="I45" s="265">
        <v>2559.9512260364686</v>
      </c>
      <c r="J45" s="1658">
        <v>2725.9429772763169</v>
      </c>
      <c r="K45" s="265">
        <v>2870.7950047573486</v>
      </c>
      <c r="L45" s="1658">
        <v>2899.0829518125847</v>
      </c>
      <c r="M45" s="265">
        <v>3004.9921877854235</v>
      </c>
      <c r="N45" s="1658">
        <v>3137.0665548927504</v>
      </c>
      <c r="O45" s="265">
        <v>3215.8599114526196</v>
      </c>
      <c r="P45" s="1658">
        <v>3280.0789709587111</v>
      </c>
      <c r="Q45" s="265">
        <v>3330.3997975810171</v>
      </c>
      <c r="R45" s="1658">
        <v>3412.7844837285766</v>
      </c>
      <c r="S45" s="265">
        <v>3627.8326018699813</v>
      </c>
    </row>
    <row r="46" spans="1:19" ht="20" customHeight="1">
      <c r="A46" s="1470" t="s">
        <v>2393</v>
      </c>
      <c r="B46" s="367"/>
      <c r="C46" s="367"/>
      <c r="D46" s="367"/>
      <c r="E46" s="367"/>
      <c r="F46" s="367"/>
      <c r="G46" s="367"/>
    </row>
    <row r="47" spans="1:19" ht="16.5" customHeight="1">
      <c r="A47" s="1470"/>
      <c r="B47" s="367"/>
      <c r="C47" s="367"/>
      <c r="D47" s="367"/>
      <c r="E47" s="367"/>
      <c r="F47" s="367"/>
      <c r="G47" s="367"/>
    </row>
    <row r="48" spans="1:19" ht="16.25" customHeight="1">
      <c r="A48" s="1652" t="s">
        <v>2429</v>
      </c>
      <c r="B48" s="461"/>
      <c r="C48" s="461"/>
      <c r="D48" s="461"/>
      <c r="E48" s="461"/>
      <c r="F48" s="461"/>
    </row>
    <row r="49" spans="1:11" ht="14.5" customHeight="1">
      <c r="A49" s="1652" t="s">
        <v>2430</v>
      </c>
      <c r="B49" s="461"/>
      <c r="C49" s="461"/>
      <c r="D49" s="461"/>
      <c r="E49" s="461"/>
      <c r="F49" s="461"/>
    </row>
    <row r="50" spans="1:11" ht="16.75" customHeight="1">
      <c r="A50" s="1652" t="s">
        <v>2431</v>
      </c>
      <c r="B50" s="461"/>
      <c r="C50" s="461"/>
      <c r="D50" s="461"/>
      <c r="E50" s="461"/>
      <c r="F50" s="461"/>
    </row>
    <row r="51" spans="1:11" ht="14.25" customHeight="1">
      <c r="A51" s="1652" t="s">
        <v>2432</v>
      </c>
      <c r="B51" s="367"/>
      <c r="C51" s="367"/>
      <c r="D51" s="367"/>
      <c r="E51" s="367"/>
      <c r="F51" s="367"/>
      <c r="G51" s="367"/>
    </row>
    <row r="52" spans="1:11" ht="16.25" customHeight="1">
      <c r="A52" s="1652" t="s">
        <v>2433</v>
      </c>
      <c r="B52" s="367"/>
      <c r="C52" s="367"/>
      <c r="D52" s="367"/>
      <c r="E52" s="367"/>
      <c r="F52" s="367"/>
      <c r="G52" s="367"/>
    </row>
    <row r="53" spans="1:11" ht="17.25" customHeight="1">
      <c r="A53" s="1652" t="s">
        <v>2434</v>
      </c>
      <c r="B53" s="461"/>
      <c r="C53" s="461"/>
      <c r="D53" s="461"/>
      <c r="E53" s="461"/>
      <c r="F53" s="461"/>
    </row>
    <row r="54" spans="1:11" ht="16.5" customHeight="1">
      <c r="A54" s="1652" t="s">
        <v>2435</v>
      </c>
      <c r="B54" s="461"/>
      <c r="C54" s="461"/>
      <c r="D54" s="461"/>
      <c r="E54" s="461"/>
      <c r="F54" s="461"/>
    </row>
    <row r="55" spans="1:11" ht="16.5" customHeight="1">
      <c r="A55" s="1652" t="s">
        <v>2436</v>
      </c>
      <c r="B55" s="461"/>
      <c r="C55" s="461"/>
      <c r="D55" s="461"/>
      <c r="E55" s="461"/>
      <c r="F55" s="461"/>
    </row>
    <row r="56" spans="1:11" ht="16.5" customHeight="1">
      <c r="A56" s="1652" t="s">
        <v>2432</v>
      </c>
      <c r="B56" s="461"/>
      <c r="C56" s="461"/>
      <c r="D56" s="461"/>
      <c r="E56" s="461"/>
      <c r="F56" s="461"/>
    </row>
    <row r="57" spans="1:11" ht="16.5" customHeight="1">
      <c r="A57" s="1652" t="s">
        <v>2437</v>
      </c>
      <c r="B57" s="461"/>
      <c r="C57" s="461"/>
      <c r="D57" s="461"/>
      <c r="E57" s="461"/>
      <c r="F57" s="461"/>
    </row>
    <row r="58" spans="1:11" ht="16.5" customHeight="1">
      <c r="A58" s="1652" t="s">
        <v>2438</v>
      </c>
      <c r="B58" s="461"/>
      <c r="C58" s="461"/>
      <c r="D58" s="461"/>
      <c r="E58" s="461"/>
      <c r="F58" s="461"/>
    </row>
    <row r="59" spans="1:11" ht="16.5" customHeight="1">
      <c r="A59" s="1652" t="s">
        <v>2439</v>
      </c>
      <c r="B59" s="461"/>
      <c r="C59" s="461"/>
      <c r="D59" s="461"/>
      <c r="E59" s="461"/>
      <c r="F59" s="461"/>
    </row>
    <row r="60" spans="1:11" ht="13.5" customHeight="1">
      <c r="A60" s="1652"/>
      <c r="B60" s="461"/>
      <c r="C60" s="461"/>
      <c r="D60" s="461"/>
      <c r="E60" s="461"/>
      <c r="F60" s="461"/>
    </row>
    <row r="61" spans="1:11" ht="14.25" customHeight="1">
      <c r="A61" s="649"/>
      <c r="B61" s="367"/>
      <c r="C61" s="367"/>
      <c r="D61" s="367"/>
      <c r="E61" s="367"/>
      <c r="F61" s="367"/>
      <c r="G61" s="367"/>
    </row>
    <row r="62" spans="1:11" ht="18.75" customHeight="1">
      <c r="A62" s="196" t="s">
        <v>302</v>
      </c>
      <c r="B62" s="367"/>
      <c r="C62" s="367"/>
      <c r="D62" s="367"/>
      <c r="E62" s="367"/>
      <c r="F62" s="367"/>
      <c r="G62" s="367"/>
    </row>
    <row r="63" spans="1:11" ht="31" customHeight="1">
      <c r="A63" s="367"/>
      <c r="B63" s="367"/>
      <c r="C63" s="367"/>
      <c r="D63" s="367"/>
      <c r="E63" s="367"/>
      <c r="F63" s="367"/>
      <c r="G63" s="367"/>
      <c r="K63" s="1"/>
    </row>
    <row r="64" spans="1:11" ht="31" customHeight="1">
      <c r="A64" s="367"/>
      <c r="B64" s="367"/>
      <c r="C64" s="367"/>
      <c r="D64" s="367"/>
      <c r="E64" s="367"/>
      <c r="F64" s="367"/>
      <c r="G64" s="367"/>
    </row>
    <row r="65" spans="1:7" ht="31" customHeight="1">
      <c r="A65" s="367"/>
      <c r="B65" s="367"/>
      <c r="C65" s="367"/>
      <c r="D65" s="367"/>
      <c r="E65" s="367"/>
      <c r="F65" s="367"/>
      <c r="G65" s="367"/>
    </row>
    <row r="66" spans="1:7" ht="31" customHeight="1">
      <c r="A66" s="367"/>
      <c r="B66" s="367"/>
      <c r="C66" s="367"/>
      <c r="D66" s="367"/>
      <c r="E66" s="367"/>
      <c r="F66" s="367"/>
      <c r="G66" s="367"/>
    </row>
    <row r="67" spans="1:7" ht="31" customHeight="1">
      <c r="A67" s="367"/>
      <c r="B67" s="367"/>
      <c r="C67" s="367"/>
      <c r="D67" s="367"/>
      <c r="E67" s="367"/>
      <c r="F67" s="367"/>
      <c r="G67" s="367"/>
    </row>
    <row r="68" spans="1:7" ht="31" customHeight="1">
      <c r="A68" s="367"/>
      <c r="B68" s="367"/>
      <c r="C68" s="367"/>
      <c r="D68" s="367"/>
      <c r="E68" s="367"/>
      <c r="F68" s="367"/>
      <c r="G68" s="367"/>
    </row>
    <row r="69" spans="1:7" ht="31" customHeight="1">
      <c r="A69" s="367"/>
      <c r="B69" s="367"/>
      <c r="C69" s="367"/>
      <c r="D69" s="367"/>
      <c r="E69" s="367"/>
      <c r="F69" s="367"/>
      <c r="G69" s="367"/>
    </row>
    <row r="70" spans="1:7">
      <c r="A70" s="367"/>
      <c r="B70" s="367"/>
      <c r="C70" s="367"/>
      <c r="D70" s="367"/>
      <c r="E70" s="367"/>
      <c r="F70" s="367"/>
      <c r="G70" s="367"/>
    </row>
    <row r="71" spans="1:7">
      <c r="A71" s="367"/>
      <c r="B71" s="367"/>
      <c r="C71" s="367"/>
      <c r="D71" s="367"/>
      <c r="E71" s="367"/>
      <c r="F71" s="367"/>
      <c r="G71" s="367"/>
    </row>
    <row r="72" spans="1:7">
      <c r="A72" s="367"/>
      <c r="B72" s="367"/>
      <c r="C72" s="367"/>
      <c r="D72" s="367"/>
      <c r="E72" s="367"/>
      <c r="F72" s="367"/>
      <c r="G72" s="367"/>
    </row>
    <row r="73" spans="1:7">
      <c r="A73" s="367"/>
      <c r="B73" s="367"/>
      <c r="C73" s="367"/>
      <c r="D73" s="367"/>
      <c r="E73" s="367"/>
      <c r="F73" s="367"/>
      <c r="G73" s="367"/>
    </row>
    <row r="74" spans="1:7">
      <c r="A74" s="367"/>
      <c r="B74" s="367"/>
      <c r="C74" s="367"/>
      <c r="D74" s="367"/>
      <c r="E74" s="367"/>
      <c r="F74" s="367"/>
      <c r="G74" s="367"/>
    </row>
    <row r="75" spans="1:7">
      <c r="A75" s="367"/>
      <c r="B75" s="367"/>
      <c r="C75" s="367"/>
      <c r="D75" s="367"/>
      <c r="E75" s="367"/>
      <c r="F75" s="367"/>
      <c r="G75" s="367"/>
    </row>
    <row r="76" spans="1:7">
      <c r="A76" s="367"/>
      <c r="B76" s="367"/>
      <c r="C76" s="367"/>
      <c r="D76" s="367"/>
      <c r="E76" s="367"/>
      <c r="F76" s="367"/>
      <c r="G76" s="367"/>
    </row>
    <row r="77" spans="1:7">
      <c r="A77" s="367"/>
      <c r="B77" s="367"/>
      <c r="C77" s="367"/>
      <c r="D77" s="367"/>
      <c r="E77" s="367"/>
      <c r="F77" s="367"/>
      <c r="G77" s="367"/>
    </row>
    <row r="78" spans="1:7">
      <c r="A78" s="367"/>
      <c r="B78" s="367"/>
      <c r="C78" s="367"/>
      <c r="D78" s="367"/>
      <c r="E78" s="367"/>
      <c r="F78" s="367"/>
      <c r="G78" s="367"/>
    </row>
    <row r="79" spans="1:7">
      <c r="A79" s="367"/>
      <c r="B79" s="367"/>
      <c r="C79" s="367"/>
      <c r="D79" s="367"/>
      <c r="E79" s="367"/>
      <c r="F79" s="367"/>
      <c r="G79" s="367"/>
    </row>
    <row r="80" spans="1:7">
      <c r="A80" s="367"/>
      <c r="B80" s="367"/>
      <c r="C80" s="367"/>
      <c r="D80" s="367"/>
      <c r="E80" s="367"/>
      <c r="F80" s="367"/>
      <c r="G80" s="367"/>
    </row>
    <row r="81" spans="1:7">
      <c r="A81" s="367"/>
      <c r="B81" s="367"/>
      <c r="C81" s="367"/>
      <c r="D81" s="367"/>
      <c r="E81" s="367"/>
      <c r="F81" s="367"/>
      <c r="G81" s="367"/>
    </row>
    <row r="82" spans="1:7">
      <c r="A82" s="367"/>
      <c r="B82" s="367"/>
      <c r="C82" s="367"/>
      <c r="D82" s="367"/>
      <c r="E82" s="367"/>
      <c r="F82" s="367"/>
      <c r="G82" s="367"/>
    </row>
    <row r="83" spans="1:7">
      <c r="A83" s="367"/>
      <c r="B83" s="367"/>
      <c r="C83" s="367"/>
      <c r="D83" s="367"/>
      <c r="E83" s="367"/>
      <c r="F83" s="367"/>
      <c r="G83" s="367"/>
    </row>
    <row r="84" spans="1:7">
      <c r="A84" s="367"/>
      <c r="B84" s="367"/>
      <c r="C84" s="367"/>
      <c r="D84" s="367"/>
      <c r="E84" s="367"/>
      <c r="F84" s="367"/>
      <c r="G84" s="367"/>
    </row>
    <row r="85" spans="1:7">
      <c r="A85" s="367"/>
      <c r="B85" s="367"/>
      <c r="C85" s="367"/>
      <c r="D85" s="367"/>
      <c r="E85" s="367"/>
      <c r="F85" s="367"/>
      <c r="G85" s="367"/>
    </row>
    <row r="86" spans="1:7">
      <c r="A86" s="367"/>
      <c r="B86" s="367"/>
      <c r="C86" s="367"/>
      <c r="D86" s="367"/>
      <c r="E86" s="367"/>
      <c r="F86" s="367"/>
      <c r="G86" s="367"/>
    </row>
    <row r="87" spans="1:7">
      <c r="A87" s="367"/>
      <c r="B87" s="367"/>
      <c r="C87" s="367"/>
      <c r="D87" s="367"/>
      <c r="E87" s="367"/>
      <c r="F87" s="367"/>
      <c r="G87" s="367"/>
    </row>
    <row r="88" spans="1:7">
      <c r="A88" s="367"/>
      <c r="B88" s="367"/>
      <c r="C88" s="367"/>
      <c r="D88" s="367"/>
      <c r="E88" s="367"/>
      <c r="F88" s="367"/>
      <c r="G88" s="367"/>
    </row>
    <row r="89" spans="1:7">
      <c r="A89" s="367"/>
      <c r="B89" s="367"/>
      <c r="C89" s="367"/>
      <c r="D89" s="367"/>
      <c r="E89" s="367"/>
      <c r="F89" s="367"/>
      <c r="G89" s="367"/>
    </row>
    <row r="90" spans="1:7">
      <c r="A90" s="367"/>
      <c r="B90" s="367"/>
      <c r="C90" s="367"/>
      <c r="D90" s="367"/>
      <c r="E90" s="367"/>
      <c r="F90" s="367"/>
      <c r="G90" s="367"/>
    </row>
    <row r="91" spans="1:7">
      <c r="A91" s="367"/>
      <c r="B91" s="367"/>
      <c r="C91" s="367"/>
      <c r="D91" s="367"/>
      <c r="E91" s="367"/>
      <c r="F91" s="367"/>
      <c r="G91" s="367"/>
    </row>
    <row r="92" spans="1:7">
      <c r="A92" s="367"/>
      <c r="B92" s="367"/>
      <c r="C92" s="367"/>
      <c r="D92" s="367"/>
      <c r="E92" s="367"/>
      <c r="F92" s="367"/>
      <c r="G92" s="367"/>
    </row>
    <row r="93" spans="1:7">
      <c r="A93" s="367"/>
      <c r="B93" s="367"/>
      <c r="C93" s="367"/>
      <c r="D93" s="367"/>
      <c r="E93" s="367"/>
      <c r="F93" s="367"/>
      <c r="G93" s="367"/>
    </row>
    <row r="94" spans="1:7">
      <c r="A94" s="367"/>
      <c r="B94" s="367"/>
      <c r="C94" s="367"/>
      <c r="D94" s="367"/>
      <c r="E94" s="367"/>
      <c r="F94" s="367"/>
      <c r="G94" s="367"/>
    </row>
    <row r="95" spans="1:7">
      <c r="A95" s="367"/>
      <c r="B95" s="367"/>
      <c r="C95" s="367"/>
      <c r="D95" s="367"/>
      <c r="E95" s="367"/>
      <c r="F95" s="367"/>
      <c r="G95" s="367"/>
    </row>
    <row r="96" spans="1:7">
      <c r="A96" s="367"/>
      <c r="B96" s="367"/>
      <c r="C96" s="367"/>
      <c r="D96" s="367"/>
      <c r="E96" s="367"/>
      <c r="F96" s="367"/>
      <c r="G96" s="367"/>
    </row>
    <row r="97" spans="1:7">
      <c r="A97" s="367"/>
      <c r="B97" s="367"/>
      <c r="C97" s="367"/>
      <c r="D97" s="367"/>
      <c r="E97" s="367"/>
      <c r="F97" s="367"/>
      <c r="G97" s="367"/>
    </row>
    <row r="98" spans="1:7">
      <c r="A98" s="367"/>
      <c r="B98" s="367"/>
      <c r="C98" s="367"/>
      <c r="D98" s="367"/>
      <c r="E98" s="367"/>
      <c r="F98" s="367"/>
      <c r="G98" s="367"/>
    </row>
    <row r="99" spans="1:7">
      <c r="A99" s="367"/>
      <c r="B99" s="367"/>
      <c r="C99" s="367"/>
      <c r="D99" s="367"/>
      <c r="E99" s="367"/>
      <c r="F99" s="367"/>
      <c r="G99" s="367"/>
    </row>
    <row r="100" spans="1:7">
      <c r="A100" s="367"/>
      <c r="B100" s="367"/>
      <c r="C100" s="367"/>
      <c r="D100" s="367"/>
      <c r="E100" s="367"/>
      <c r="F100" s="367"/>
      <c r="G100" s="367"/>
    </row>
    <row r="101" spans="1:7">
      <c r="A101" s="367"/>
      <c r="B101" s="367"/>
      <c r="C101" s="367"/>
      <c r="D101" s="367"/>
      <c r="E101" s="367"/>
      <c r="F101" s="367"/>
      <c r="G101" s="367"/>
    </row>
    <row r="102" spans="1:7">
      <c r="A102" s="367"/>
      <c r="B102" s="367"/>
      <c r="C102" s="367"/>
      <c r="D102" s="367"/>
      <c r="E102" s="367"/>
      <c r="F102" s="367"/>
      <c r="G102" s="367"/>
    </row>
    <row r="103" spans="1:7">
      <c r="A103" s="367"/>
      <c r="B103" s="367"/>
      <c r="C103" s="367"/>
      <c r="D103" s="367"/>
      <c r="E103" s="367"/>
      <c r="F103" s="367"/>
      <c r="G103" s="367"/>
    </row>
    <row r="104" spans="1:7">
      <c r="A104" s="367"/>
      <c r="B104" s="367"/>
      <c r="C104" s="367"/>
      <c r="D104" s="367"/>
      <c r="E104" s="367"/>
      <c r="F104" s="367"/>
      <c r="G104" s="367"/>
    </row>
    <row r="105" spans="1:7">
      <c r="A105" s="367"/>
      <c r="B105" s="367"/>
      <c r="C105" s="367"/>
      <c r="D105" s="367"/>
      <c r="E105" s="367"/>
      <c r="F105" s="367"/>
      <c r="G105" s="367"/>
    </row>
    <row r="106" spans="1:7">
      <c r="A106" s="367"/>
      <c r="B106" s="367"/>
      <c r="C106" s="367"/>
      <c r="D106" s="367"/>
      <c r="E106" s="367"/>
      <c r="F106" s="367"/>
      <c r="G106" s="367"/>
    </row>
    <row r="107" spans="1:7">
      <c r="A107" s="367"/>
      <c r="B107" s="367"/>
      <c r="C107" s="367"/>
      <c r="D107" s="367"/>
      <c r="E107" s="367"/>
      <c r="F107" s="367"/>
      <c r="G107" s="367"/>
    </row>
    <row r="108" spans="1:7">
      <c r="A108" s="367"/>
      <c r="B108" s="367"/>
      <c r="C108" s="367"/>
      <c r="D108" s="367"/>
      <c r="E108" s="367"/>
      <c r="F108" s="367"/>
      <c r="G108" s="367"/>
    </row>
    <row r="109" spans="1:7">
      <c r="A109" s="367"/>
      <c r="B109" s="367"/>
      <c r="C109" s="367"/>
      <c r="D109" s="367"/>
      <c r="E109" s="367"/>
      <c r="F109" s="367"/>
      <c r="G109" s="367"/>
    </row>
    <row r="110" spans="1:7">
      <c r="A110" s="367"/>
      <c r="B110" s="367"/>
      <c r="C110" s="367"/>
      <c r="D110" s="367"/>
      <c r="E110" s="367"/>
      <c r="F110" s="367"/>
      <c r="G110" s="367"/>
    </row>
    <row r="111" spans="1:7">
      <c r="A111" s="367"/>
      <c r="B111" s="367"/>
      <c r="C111" s="367"/>
      <c r="D111" s="367"/>
      <c r="E111" s="367"/>
      <c r="F111" s="367"/>
      <c r="G111" s="367"/>
    </row>
    <row r="112" spans="1:7">
      <c r="A112" s="367"/>
      <c r="B112" s="367"/>
      <c r="C112" s="367"/>
      <c r="D112" s="367"/>
      <c r="E112" s="367"/>
      <c r="F112" s="367"/>
      <c r="G112" s="367"/>
    </row>
    <row r="113" spans="1:7">
      <c r="A113" s="367"/>
      <c r="B113" s="367"/>
      <c r="C113" s="367"/>
      <c r="D113" s="367"/>
      <c r="E113" s="367"/>
      <c r="F113" s="367"/>
      <c r="G113" s="367"/>
    </row>
    <row r="114" spans="1:7">
      <c r="A114" s="367"/>
      <c r="B114" s="367"/>
      <c r="C114" s="367"/>
      <c r="D114" s="367"/>
      <c r="E114" s="367"/>
      <c r="F114" s="367"/>
      <c r="G114" s="367"/>
    </row>
    <row r="115" spans="1:7">
      <c r="A115" s="367"/>
      <c r="B115" s="367"/>
      <c r="C115" s="367"/>
      <c r="D115" s="367"/>
      <c r="E115" s="367"/>
      <c r="F115" s="367"/>
      <c r="G115" s="367"/>
    </row>
    <row r="116" spans="1:7">
      <c r="A116" s="367"/>
      <c r="B116" s="367"/>
      <c r="C116" s="367"/>
      <c r="D116" s="367"/>
      <c r="E116" s="367"/>
      <c r="F116" s="367"/>
      <c r="G116" s="367"/>
    </row>
    <row r="117" spans="1:7">
      <c r="A117" s="367"/>
      <c r="B117" s="367"/>
      <c r="C117" s="367"/>
      <c r="D117" s="367"/>
      <c r="E117" s="367"/>
      <c r="F117" s="367"/>
      <c r="G117" s="367"/>
    </row>
    <row r="118" spans="1:7">
      <c r="A118" s="367"/>
      <c r="B118" s="367"/>
      <c r="C118" s="367"/>
      <c r="D118" s="367"/>
      <c r="E118" s="367"/>
      <c r="F118" s="367"/>
      <c r="G118" s="367"/>
    </row>
    <row r="119" spans="1:7">
      <c r="A119" s="367"/>
      <c r="B119" s="367"/>
      <c r="C119" s="367"/>
      <c r="D119" s="367"/>
      <c r="E119" s="367"/>
      <c r="F119" s="367"/>
      <c r="G119" s="367"/>
    </row>
    <row r="120" spans="1:7">
      <c r="A120" s="367"/>
      <c r="B120" s="367"/>
      <c r="C120" s="367"/>
      <c r="D120" s="367"/>
      <c r="E120" s="367"/>
      <c r="F120" s="367"/>
      <c r="G120" s="367"/>
    </row>
    <row r="121" spans="1:7">
      <c r="A121" s="367"/>
      <c r="B121" s="367"/>
      <c r="C121" s="367"/>
      <c r="D121" s="367"/>
      <c r="E121" s="367"/>
      <c r="F121" s="367"/>
      <c r="G121" s="367"/>
    </row>
    <row r="122" spans="1:7">
      <c r="A122" s="367"/>
      <c r="B122" s="367"/>
      <c r="C122" s="367"/>
      <c r="D122" s="367"/>
      <c r="E122" s="367"/>
      <c r="F122" s="367"/>
      <c r="G122" s="367"/>
    </row>
    <row r="123" spans="1:7">
      <c r="A123" s="367"/>
      <c r="B123" s="367"/>
      <c r="C123" s="367"/>
      <c r="D123" s="367"/>
      <c r="E123" s="367"/>
      <c r="F123" s="367"/>
      <c r="G123" s="367"/>
    </row>
    <row r="124" spans="1:7">
      <c r="A124" s="367"/>
      <c r="B124" s="367"/>
      <c r="C124" s="367"/>
      <c r="D124" s="367"/>
      <c r="E124" s="367"/>
      <c r="F124" s="367"/>
      <c r="G124" s="367"/>
    </row>
    <row r="125" spans="1:7">
      <c r="A125" s="367"/>
      <c r="B125" s="367"/>
      <c r="C125" s="367"/>
      <c r="D125" s="367"/>
      <c r="E125" s="367"/>
      <c r="F125" s="367"/>
      <c r="G125" s="367"/>
    </row>
  </sheetData>
  <pageMargins left="0.47244094488188981" right="0.51181102362204722" top="0.74803149606299213" bottom="0.47244094488188981" header="0.47244094488188981" footer="0.51181102362204722"/>
  <pageSetup paperSize="9" scale="63" orientation="portrait" horizontalDpi="1200" verticalDpi="1200"/>
  <headerFooter alignWithMargins="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89E31-0AF4-AA4E-AA0F-A4FC1FCBDCB6}">
  <sheetPr>
    <pageSetUpPr fitToPage="1"/>
  </sheetPr>
  <dimension ref="A1:L44"/>
  <sheetViews>
    <sheetView zoomScaleNormal="100" workbookViewId="0"/>
  </sheetViews>
  <sheetFormatPr baseColWidth="10" defaultColWidth="11.3984375" defaultRowHeight="13"/>
  <cols>
    <col min="1" max="1" width="13.19921875" style="3" customWidth="1"/>
    <col min="2" max="9" width="13.3984375" style="201" customWidth="1"/>
    <col min="10" max="10" width="8.59765625" style="3" customWidth="1"/>
    <col min="11" max="16384" width="11.3984375" style="3"/>
  </cols>
  <sheetData>
    <row r="1" spans="1:9" s="1" customFormat="1" ht="14" customHeight="1">
      <c r="A1" s="191"/>
      <c r="B1" s="1425"/>
      <c r="C1" s="1425"/>
      <c r="D1" s="1425"/>
      <c r="E1" s="1425"/>
      <c r="F1" s="1425"/>
      <c r="G1" s="1425"/>
      <c r="H1" s="1425"/>
      <c r="I1" s="1425"/>
    </row>
    <row r="2" spans="1:9" s="1" customFormat="1" ht="25.75" customHeight="1">
      <c r="A2" s="570" t="s">
        <v>2440</v>
      </c>
      <c r="B2" s="360"/>
      <c r="C2" s="360"/>
      <c r="D2" s="360"/>
      <c r="E2" s="360"/>
      <c r="F2" s="360"/>
      <c r="G2" s="360"/>
      <c r="H2" s="360"/>
      <c r="I2" s="327"/>
    </row>
    <row r="3" spans="1:9" ht="27" customHeight="1">
      <c r="A3" s="224" t="s">
        <v>1129</v>
      </c>
      <c r="B3" s="267" t="s">
        <v>2441</v>
      </c>
      <c r="C3" s="268" t="s">
        <v>2442</v>
      </c>
      <c r="D3" s="267" t="s">
        <v>677</v>
      </c>
      <c r="E3" s="268" t="s">
        <v>2443</v>
      </c>
      <c r="F3" s="267" t="s">
        <v>2444</v>
      </c>
      <c r="G3" s="268" t="s">
        <v>1366</v>
      </c>
      <c r="H3" s="267" t="s">
        <v>2445</v>
      </c>
      <c r="I3" s="268" t="s">
        <v>2446</v>
      </c>
    </row>
    <row r="4" spans="1:9" ht="18.75" customHeight="1">
      <c r="A4" s="269"/>
      <c r="B4" s="494" t="s">
        <v>2447</v>
      </c>
      <c r="C4" s="495" t="s">
        <v>2448</v>
      </c>
      <c r="D4" s="494" t="s">
        <v>2449</v>
      </c>
      <c r="E4" s="495" t="s">
        <v>2450</v>
      </c>
      <c r="F4" s="494"/>
      <c r="G4" s="495"/>
      <c r="H4" s="494" t="s">
        <v>2451</v>
      </c>
      <c r="I4" s="271"/>
    </row>
    <row r="5" spans="1:9" ht="18.5" customHeight="1">
      <c r="A5" s="269"/>
      <c r="B5" s="494"/>
      <c r="C5" s="495" t="s">
        <v>2452</v>
      </c>
      <c r="D5" s="494"/>
      <c r="E5" s="495"/>
      <c r="F5" s="494"/>
      <c r="G5" s="495"/>
      <c r="H5" s="494" t="s">
        <v>2453</v>
      </c>
      <c r="I5" s="271"/>
    </row>
    <row r="6" spans="1:9" ht="24.5" customHeight="1">
      <c r="A6" s="227"/>
      <c r="B6" s="544"/>
      <c r="C6" s="275"/>
      <c r="D6" s="274"/>
      <c r="E6" s="275"/>
      <c r="F6" s="274"/>
      <c r="G6" s="275"/>
      <c r="H6" s="417" t="s">
        <v>2454</v>
      </c>
      <c r="I6" s="275"/>
    </row>
    <row r="7" spans="1:9" ht="19.75" customHeight="1" thickBot="1">
      <c r="A7" s="1659">
        <v>1996</v>
      </c>
      <c r="B7" s="278">
        <v>13184.001550929997</v>
      </c>
      <c r="C7" s="279">
        <v>5983.4068869585872</v>
      </c>
      <c r="D7" s="278">
        <v>11678.598705823826</v>
      </c>
      <c r="E7" s="279">
        <v>3544.7</v>
      </c>
      <c r="F7" s="278">
        <v>869.07117945000005</v>
      </c>
      <c r="G7" s="279">
        <v>1796.8786666666667</v>
      </c>
      <c r="H7" s="278">
        <v>411.9645950709093</v>
      </c>
      <c r="I7" s="279">
        <v>37468.621584899985</v>
      </c>
    </row>
    <row r="8" spans="1:9" ht="18" customHeight="1" thickBot="1">
      <c r="A8" s="1660">
        <v>1997</v>
      </c>
      <c r="B8" s="281">
        <v>13300.503586459999</v>
      </c>
      <c r="C8" s="282">
        <v>6218.5068752889456</v>
      </c>
      <c r="D8" s="281">
        <v>11898.794609684615</v>
      </c>
      <c r="E8" s="282">
        <v>3699.7217000000001</v>
      </c>
      <c r="F8" s="281">
        <v>820.08564491999994</v>
      </c>
      <c r="G8" s="282">
        <v>1853.7959999999998</v>
      </c>
      <c r="H8" s="281">
        <v>418.5</v>
      </c>
      <c r="I8" s="282">
        <v>38209.908416353566</v>
      </c>
    </row>
    <row r="9" spans="1:9" ht="19.25" customHeight="1" thickBot="1">
      <c r="A9" s="1660">
        <v>1998</v>
      </c>
      <c r="B9" s="281">
        <v>13726.93413743</v>
      </c>
      <c r="C9" s="282">
        <v>6517.6187697704527</v>
      </c>
      <c r="D9" s="281">
        <v>12534.698426142464</v>
      </c>
      <c r="E9" s="282">
        <v>3814.7841952999997</v>
      </c>
      <c r="F9" s="281">
        <v>825.83928717999993</v>
      </c>
      <c r="G9" s="282">
        <v>1952.6</v>
      </c>
      <c r="H9" s="281">
        <v>442.53826293428619</v>
      </c>
      <c r="I9" s="282">
        <v>39815.013078757205</v>
      </c>
    </row>
    <row r="10" spans="1:9" ht="21.5" customHeight="1" thickBot="1">
      <c r="A10" s="1660">
        <v>1999</v>
      </c>
      <c r="B10" s="281">
        <v>14269.859986000003</v>
      </c>
      <c r="C10" s="282">
        <v>6635.9923296822863</v>
      </c>
      <c r="D10" s="281">
        <v>12923.16416135502</v>
      </c>
      <c r="E10" s="282">
        <v>3984.9651892603001</v>
      </c>
      <c r="F10" s="281">
        <v>869.39271499999995</v>
      </c>
      <c r="G10" s="282">
        <v>1951.2</v>
      </c>
      <c r="H10" s="281">
        <v>469.87738272220713</v>
      </c>
      <c r="I10" s="282">
        <v>41104.451764019817</v>
      </c>
    </row>
    <row r="11" spans="1:9" ht="21.5" customHeight="1" thickBot="1">
      <c r="A11" s="1660">
        <v>2000</v>
      </c>
      <c r="B11" s="281">
        <v>14895.513251</v>
      </c>
      <c r="C11" s="282">
        <v>7041.5148394749094</v>
      </c>
      <c r="D11" s="281">
        <v>13440.733995653636</v>
      </c>
      <c r="E11" s="282">
        <v>4130.4973544495606</v>
      </c>
      <c r="F11" s="281">
        <v>886.60889900000006</v>
      </c>
      <c r="G11" s="282">
        <v>1968</v>
      </c>
      <c r="H11" s="281">
        <v>480.06561225603991</v>
      </c>
      <c r="I11" s="282">
        <v>42842.933951834144</v>
      </c>
    </row>
    <row r="12" spans="1:9" ht="21.5" customHeight="1" thickBot="1">
      <c r="A12" s="1660">
        <v>2001</v>
      </c>
      <c r="B12" s="281">
        <v>16132.139821000001</v>
      </c>
      <c r="C12" s="282">
        <v>7546.7492306168624</v>
      </c>
      <c r="D12" s="281">
        <v>14118.389210237772</v>
      </c>
      <c r="E12" s="282">
        <v>4333.6230316924066</v>
      </c>
      <c r="F12" s="281">
        <v>926.76387199999999</v>
      </c>
      <c r="G12" s="282">
        <v>2014.6</v>
      </c>
      <c r="H12" s="281">
        <v>500.57588337914626</v>
      </c>
      <c r="I12" s="282">
        <v>45572.841048926188</v>
      </c>
    </row>
    <row r="13" spans="1:9" ht="21.5" customHeight="1" thickBot="1">
      <c r="A13" s="1660">
        <v>2002</v>
      </c>
      <c r="B13" s="281">
        <v>16982.807524247681</v>
      </c>
      <c r="C13" s="282">
        <v>8067.6588042943567</v>
      </c>
      <c r="D13" s="281">
        <v>14430.539223398549</v>
      </c>
      <c r="E13" s="282">
        <v>4415.9295005981339</v>
      </c>
      <c r="F13" s="281">
        <v>981.40087700000004</v>
      </c>
      <c r="G13" s="282">
        <v>2000.8014692328545</v>
      </c>
      <c r="H13" s="281">
        <v>509.49608786656427</v>
      </c>
      <c r="I13" s="282">
        <v>47388.633486638144</v>
      </c>
    </row>
    <row r="14" spans="1:9" ht="21.5" customHeight="1" thickBot="1">
      <c r="A14" s="1660">
        <v>2003</v>
      </c>
      <c r="B14" s="281">
        <v>17712.226343618662</v>
      </c>
      <c r="C14" s="282">
        <v>8374.8829930130487</v>
      </c>
      <c r="D14" s="281">
        <v>14813.56384014453</v>
      </c>
      <c r="E14" s="282">
        <v>4720.9651053618945</v>
      </c>
      <c r="F14" s="281">
        <v>1036.8831319999999</v>
      </c>
      <c r="G14" s="282">
        <v>2076.4031583018532</v>
      </c>
      <c r="H14" s="281">
        <v>530.23678043074028</v>
      </c>
      <c r="I14" s="282">
        <v>49265.161352870731</v>
      </c>
    </row>
    <row r="15" spans="1:9" ht="21.5" customHeight="1" thickBot="1">
      <c r="A15" s="1660">
        <v>2004</v>
      </c>
      <c r="B15" s="281">
        <v>18211.927869253603</v>
      </c>
      <c r="C15" s="282">
        <v>8629.9334146129404</v>
      </c>
      <c r="D15" s="281">
        <v>15519.799657335181</v>
      </c>
      <c r="E15" s="282">
        <v>4885.7901600000005</v>
      </c>
      <c r="F15" s="281">
        <v>1016.403946</v>
      </c>
      <c r="G15" s="282">
        <v>2188.6177220936333</v>
      </c>
      <c r="H15" s="281">
        <v>555.24390154379591</v>
      </c>
      <c r="I15" s="282">
        <v>51007.71667083916</v>
      </c>
    </row>
    <row r="16" spans="1:9" ht="21.5" customHeight="1" thickBot="1">
      <c r="A16" s="1660">
        <v>2005</v>
      </c>
      <c r="B16" s="281">
        <v>18296.451625528491</v>
      </c>
      <c r="C16" s="282">
        <v>8899.1731697869727</v>
      </c>
      <c r="D16" s="281">
        <v>16110.083387414588</v>
      </c>
      <c r="E16" s="282">
        <v>4948.2082112506641</v>
      </c>
      <c r="F16" s="281">
        <v>1023.603069</v>
      </c>
      <c r="G16" s="282">
        <v>2193.6107966786522</v>
      </c>
      <c r="H16" s="281">
        <v>571.91062102459728</v>
      </c>
      <c r="I16" s="282">
        <v>52043.040880683955</v>
      </c>
    </row>
    <row r="17" spans="1:9" ht="21.5" customHeight="1" thickBot="1">
      <c r="A17" s="1660">
        <v>2006</v>
      </c>
      <c r="B17" s="281">
        <v>18526.116825067013</v>
      </c>
      <c r="C17" s="282">
        <v>9005.2253979999987</v>
      </c>
      <c r="D17" s="281">
        <v>16448.330289598387</v>
      </c>
      <c r="E17" s="282">
        <v>4888.0334472825143</v>
      </c>
      <c r="F17" s="281">
        <v>1015.4241959999999</v>
      </c>
      <c r="G17" s="282">
        <v>2305.0175260594792</v>
      </c>
      <c r="H17" s="281">
        <v>585.19916967563006</v>
      </c>
      <c r="I17" s="282">
        <v>52773.346851683018</v>
      </c>
    </row>
    <row r="18" spans="1:9" ht="21.5" customHeight="1" thickBot="1">
      <c r="A18" s="1660">
        <v>2007</v>
      </c>
      <c r="B18" s="281">
        <v>19366.801673140202</v>
      </c>
      <c r="C18" s="282">
        <v>9516.8529053703569</v>
      </c>
      <c r="D18" s="281">
        <v>17123.532189955371</v>
      </c>
      <c r="E18" s="282">
        <v>5027.4809360453346</v>
      </c>
      <c r="F18" s="281">
        <v>1191.786634</v>
      </c>
      <c r="G18" s="282">
        <v>2380.5511198549602</v>
      </c>
      <c r="H18" s="281">
        <v>607.93965186885453</v>
      </c>
      <c r="I18" s="282">
        <v>55214.945110235072</v>
      </c>
    </row>
    <row r="19" spans="1:9" ht="21.5" customHeight="1" thickBot="1">
      <c r="A19" s="1660">
        <v>2008</v>
      </c>
      <c r="B19" s="281">
        <v>20699.263899999994</v>
      </c>
      <c r="C19" s="282">
        <v>9971.4403629999997</v>
      </c>
      <c r="D19" s="281">
        <v>18056.183910300602</v>
      </c>
      <c r="E19" s="282">
        <v>5215.226104815898</v>
      </c>
      <c r="F19" s="281">
        <v>1288.9000000000001</v>
      </c>
      <c r="G19" s="282">
        <v>2554.1634569586486</v>
      </c>
      <c r="H19" s="281">
        <v>640.87512878892312</v>
      </c>
      <c r="I19" s="282">
        <v>58426.052863864068</v>
      </c>
    </row>
    <row r="20" spans="1:9" ht="21.5" customHeight="1" thickBot="1">
      <c r="A20" s="1660">
        <v>2009</v>
      </c>
      <c r="B20" s="1621">
        <v>21704.875779859671</v>
      </c>
      <c r="C20" s="282">
        <v>10487.968794</v>
      </c>
      <c r="D20" s="281">
        <v>18594.971024409548</v>
      </c>
      <c r="E20" s="282">
        <v>5486.6797231634073</v>
      </c>
      <c r="F20" s="281">
        <v>1439.5729999999999</v>
      </c>
      <c r="G20" s="282">
        <v>2608.5913211051711</v>
      </c>
      <c r="H20" s="281">
        <v>658.09516204663328</v>
      </c>
      <c r="I20" s="1661">
        <v>60980.754804584431</v>
      </c>
    </row>
    <row r="21" spans="1:9" ht="21.5" customHeight="1" thickBot="1">
      <c r="A21" s="1660">
        <v>2010</v>
      </c>
      <c r="B21" s="281">
        <v>22447.70915905638</v>
      </c>
      <c r="C21" s="282">
        <v>10768.790763000001</v>
      </c>
      <c r="D21" s="281">
        <v>19232.203602873262</v>
      </c>
      <c r="E21" s="282">
        <v>5456.2000775739052</v>
      </c>
      <c r="F21" s="281">
        <v>1211.384</v>
      </c>
      <c r="G21" s="282">
        <v>2712.8314180124112</v>
      </c>
      <c r="H21" s="281">
        <v>665.79740840309989</v>
      </c>
      <c r="I21" s="282">
        <v>62494.916428919059</v>
      </c>
    </row>
    <row r="22" spans="1:9" s="200" customFormat="1" ht="21.5" customHeight="1" thickBot="1">
      <c r="A22" s="1660">
        <v>2011</v>
      </c>
      <c r="B22" s="281">
        <v>23206.666640902989</v>
      </c>
      <c r="C22" s="282">
        <v>11311.055189999999</v>
      </c>
      <c r="D22" s="1621">
        <v>19937.204895716506</v>
      </c>
      <c r="E22" s="282">
        <v>5484.7773595349636</v>
      </c>
      <c r="F22" s="281">
        <v>1122.8036516300001</v>
      </c>
      <c r="G22" s="282">
        <v>2813.4863518541579</v>
      </c>
      <c r="H22" s="281">
        <v>689.80342518399141</v>
      </c>
      <c r="I22" s="1661">
        <v>64565.797514822611</v>
      </c>
    </row>
    <row r="23" spans="1:9" s="200" customFormat="1" ht="21.5" customHeight="1" thickBot="1">
      <c r="A23" s="1660">
        <v>2012</v>
      </c>
      <c r="B23" s="281">
        <v>25491.8</v>
      </c>
      <c r="C23" s="282">
        <v>11780</v>
      </c>
      <c r="D23" s="281">
        <v>20614.400000000001</v>
      </c>
      <c r="E23" s="282">
        <v>5549.1</v>
      </c>
      <c r="F23" s="281">
        <v>1098.0999999999999</v>
      </c>
      <c r="G23" s="282">
        <v>2741.6</v>
      </c>
      <c r="H23" s="281">
        <v>707.1</v>
      </c>
      <c r="I23" s="282">
        <v>67982.2</v>
      </c>
    </row>
    <row r="24" spans="1:9" s="200" customFormat="1" ht="30" customHeight="1" thickBot="1">
      <c r="A24" s="322">
        <v>2013</v>
      </c>
      <c r="B24" s="284" t="s">
        <v>153</v>
      </c>
      <c r="C24" s="285" t="s">
        <v>153</v>
      </c>
      <c r="D24" s="284" t="s">
        <v>153</v>
      </c>
      <c r="E24" s="285" t="s">
        <v>153</v>
      </c>
      <c r="F24" s="284" t="s">
        <v>153</v>
      </c>
      <c r="G24" s="285" t="s">
        <v>153</v>
      </c>
      <c r="H24" s="284" t="s">
        <v>153</v>
      </c>
      <c r="I24" s="285" t="s">
        <v>153</v>
      </c>
    </row>
    <row r="25" spans="1:9" ht="17.5" customHeight="1">
      <c r="A25" s="1493" t="s">
        <v>2460</v>
      </c>
      <c r="B25" s="1494"/>
      <c r="C25" s="1494"/>
      <c r="D25" s="1494"/>
      <c r="E25" s="1494"/>
      <c r="F25" s="1494"/>
      <c r="G25" s="1494"/>
      <c r="H25" s="1494"/>
      <c r="I25" s="1494"/>
    </row>
    <row r="26" spans="1:9" ht="12.75" customHeight="1">
      <c r="A26" s="1496"/>
      <c r="B26" s="1453"/>
      <c r="C26" s="1453"/>
      <c r="D26" s="1453"/>
      <c r="E26" s="1453"/>
      <c r="F26" s="1453"/>
      <c r="G26" s="1453"/>
      <c r="H26" s="1453"/>
      <c r="I26" s="1453"/>
    </row>
    <row r="27" spans="1:9" ht="12.75" customHeight="1">
      <c r="A27" s="1496" t="s">
        <v>2455</v>
      </c>
      <c r="B27" s="1453"/>
      <c r="C27" s="1453"/>
      <c r="D27" s="1453"/>
      <c r="E27" s="1453"/>
      <c r="F27" s="1453"/>
      <c r="G27" s="1453"/>
      <c r="H27" s="1453"/>
      <c r="I27" s="1453"/>
    </row>
    <row r="28" spans="1:9" ht="12.75" customHeight="1">
      <c r="A28" s="1662" t="s">
        <v>2456</v>
      </c>
      <c r="B28" s="1453"/>
      <c r="C28" s="1453"/>
      <c r="D28" s="1453"/>
      <c r="E28" s="1453"/>
      <c r="F28" s="1453"/>
      <c r="G28" s="1453"/>
      <c r="H28" s="1453"/>
      <c r="I28" s="1453"/>
    </row>
    <row r="29" spans="1:9" ht="12.75" customHeight="1">
      <c r="A29" s="1496" t="s">
        <v>2457</v>
      </c>
      <c r="B29" s="1453"/>
      <c r="C29" s="1453"/>
      <c r="D29" s="1453"/>
      <c r="E29" s="1453"/>
      <c r="F29" s="1453"/>
      <c r="G29" s="1453"/>
      <c r="H29" s="1453"/>
      <c r="I29" s="1453"/>
    </row>
    <row r="30" spans="1:9" ht="12.75" customHeight="1">
      <c r="A30" s="1496" t="s">
        <v>2458</v>
      </c>
      <c r="B30" s="1453"/>
      <c r="C30" s="1453"/>
      <c r="D30" s="1453"/>
      <c r="E30" s="1453"/>
      <c r="F30" s="1453"/>
      <c r="G30" s="1453"/>
      <c r="H30" s="1453"/>
      <c r="I30" s="1453"/>
    </row>
    <row r="31" spans="1:9" ht="12.75" customHeight="1">
      <c r="A31" s="1496"/>
      <c r="B31" s="1453"/>
      <c r="C31" s="1453"/>
      <c r="D31" s="1453"/>
      <c r="E31" s="1453"/>
      <c r="F31" s="1453"/>
      <c r="G31" s="1453"/>
      <c r="H31" s="1453"/>
      <c r="I31" s="1453"/>
    </row>
    <row r="32" spans="1:9" ht="12.75" customHeight="1">
      <c r="A32" s="1496" t="s">
        <v>2459</v>
      </c>
      <c r="B32" s="1453"/>
      <c r="C32" s="1453"/>
      <c r="D32" s="1453"/>
      <c r="E32" s="1453"/>
      <c r="F32" s="1453"/>
      <c r="G32" s="1453"/>
      <c r="H32" s="1453"/>
      <c r="I32" s="1453"/>
    </row>
    <row r="33" spans="1:12" ht="15" customHeight="1">
      <c r="A33" s="840"/>
      <c r="B33" s="1498"/>
      <c r="C33" s="1498"/>
      <c r="D33" s="1498"/>
      <c r="E33" s="1498"/>
      <c r="F33" s="1498"/>
      <c r="G33" s="1498"/>
      <c r="H33" s="1498"/>
      <c r="I33" s="1498"/>
    </row>
    <row r="34" spans="1:12" ht="15" customHeight="1">
      <c r="A34" s="1584"/>
      <c r="B34" s="1498"/>
      <c r="C34" s="1498"/>
      <c r="D34" s="1498"/>
      <c r="E34" s="1498"/>
      <c r="F34" s="1498"/>
      <c r="G34" s="1498"/>
      <c r="H34" s="1498"/>
      <c r="I34" s="1498"/>
    </row>
    <row r="35" spans="1:12" ht="18" customHeight="1">
      <c r="A35" s="17" t="s">
        <v>302</v>
      </c>
      <c r="B35" s="1498"/>
      <c r="C35" s="1498"/>
      <c r="D35" s="1498"/>
      <c r="E35" s="1498"/>
      <c r="F35" s="1498"/>
      <c r="G35" s="1498"/>
      <c r="H35" s="1498"/>
      <c r="I35" s="1498"/>
    </row>
    <row r="36" spans="1:12" ht="31" customHeight="1">
      <c r="A36" s="17"/>
      <c r="B36" s="1498"/>
      <c r="C36" s="1498"/>
      <c r="D36" s="1498"/>
      <c r="E36" s="1498"/>
      <c r="F36" s="1498"/>
      <c r="G36" s="1498"/>
      <c r="H36" s="1498"/>
      <c r="I36" s="1498"/>
    </row>
    <row r="37" spans="1:12" ht="31" customHeight="1">
      <c r="A37" s="63"/>
      <c r="B37" s="237"/>
      <c r="C37" s="237"/>
      <c r="D37" s="237"/>
      <c r="E37" s="237"/>
      <c r="F37" s="237"/>
      <c r="G37" s="237"/>
      <c r="H37" s="237"/>
      <c r="I37" s="237"/>
      <c r="L37" s="647"/>
    </row>
    <row r="38" spans="1:12" ht="31" customHeight="1">
      <c r="A38" s="63"/>
      <c r="B38" s="237"/>
      <c r="C38" s="237"/>
      <c r="D38" s="237"/>
      <c r="E38" s="237"/>
      <c r="F38" s="237"/>
      <c r="G38" s="237"/>
      <c r="H38" s="237"/>
      <c r="I38" s="237"/>
    </row>
    <row r="39" spans="1:12" ht="31" customHeight="1">
      <c r="A39" s="63"/>
      <c r="B39" s="237"/>
      <c r="C39" s="237"/>
      <c r="D39" s="237"/>
      <c r="E39" s="237"/>
      <c r="F39" s="237"/>
      <c r="G39" s="237"/>
      <c r="H39" s="237"/>
      <c r="I39" s="237"/>
    </row>
    <row r="40" spans="1:12" ht="31" customHeight="1">
      <c r="A40" s="63"/>
      <c r="B40" s="237"/>
      <c r="C40" s="237"/>
      <c r="D40" s="237"/>
      <c r="E40" s="237"/>
      <c r="F40" s="237"/>
      <c r="G40" s="237"/>
      <c r="H40" s="237"/>
      <c r="I40" s="237"/>
    </row>
    <row r="41" spans="1:12" ht="31" customHeight="1">
      <c r="A41" s="63"/>
      <c r="B41" s="237"/>
      <c r="C41" s="237"/>
      <c r="D41" s="237"/>
      <c r="E41" s="237"/>
      <c r="F41" s="237"/>
      <c r="G41" s="237"/>
      <c r="H41" s="237"/>
      <c r="I41" s="237"/>
    </row>
    <row r="42" spans="1:12" ht="31" customHeight="1">
      <c r="A42" s="63"/>
      <c r="B42" s="237"/>
      <c r="C42" s="237"/>
      <c r="D42" s="237"/>
      <c r="E42" s="237"/>
      <c r="F42" s="237"/>
      <c r="G42" s="237"/>
      <c r="H42" s="237"/>
      <c r="I42" s="237"/>
    </row>
    <row r="43" spans="1:12">
      <c r="A43" s="63"/>
      <c r="B43" s="237"/>
      <c r="C43" s="237"/>
      <c r="D43" s="237"/>
      <c r="E43" s="237"/>
      <c r="F43" s="237"/>
      <c r="G43" s="237"/>
      <c r="H43" s="237"/>
      <c r="I43" s="237"/>
    </row>
    <row r="44" spans="1:12">
      <c r="A44" s="63"/>
      <c r="B44" s="237"/>
      <c r="C44" s="237"/>
      <c r="D44" s="237"/>
      <c r="E44" s="237"/>
      <c r="F44" s="237"/>
      <c r="G44" s="237"/>
      <c r="H44" s="237"/>
      <c r="I44" s="237"/>
    </row>
  </sheetData>
  <pageMargins left="0.59" right="0.51" top="0.97" bottom="0.49" header="0.56999999999999995" footer="0.4921259845"/>
  <pageSetup paperSize="9" scale="76" orientation="portrait"/>
  <headerFooter alignWithMargins="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2717A-2266-244F-9C16-364E9AE02B9E}">
  <sheetPr>
    <pageSetUpPr fitToPage="1"/>
  </sheetPr>
  <dimension ref="A1:K44"/>
  <sheetViews>
    <sheetView zoomScaleNormal="100" workbookViewId="0"/>
  </sheetViews>
  <sheetFormatPr baseColWidth="10" defaultColWidth="11.3984375" defaultRowHeight="13"/>
  <cols>
    <col min="1" max="1" width="13" style="3" customWidth="1"/>
    <col min="2" max="8" width="14.3984375" style="201" customWidth="1"/>
    <col min="9" max="9" width="8.59765625" style="3" customWidth="1"/>
    <col min="10" max="16384" width="11.3984375" style="3"/>
  </cols>
  <sheetData>
    <row r="1" spans="1:10" s="1" customFormat="1" ht="14" customHeight="1">
      <c r="A1" s="191"/>
      <c r="B1" s="1425"/>
      <c r="C1" s="1425"/>
      <c r="D1" s="1425"/>
      <c r="E1" s="1425"/>
      <c r="F1" s="1425"/>
      <c r="G1" s="1425"/>
      <c r="H1" s="1425"/>
    </row>
    <row r="2" spans="1:10" s="1" customFormat="1" ht="27.5" customHeight="1">
      <c r="A2" s="570" t="s">
        <v>2461</v>
      </c>
      <c r="B2" s="360"/>
      <c r="C2" s="360"/>
      <c r="D2" s="360"/>
      <c r="E2" s="360"/>
      <c r="F2" s="360"/>
      <c r="G2" s="360"/>
      <c r="H2" s="327"/>
    </row>
    <row r="3" spans="1:10" ht="27" customHeight="1">
      <c r="A3" s="224" t="s">
        <v>1129</v>
      </c>
      <c r="B3" s="267" t="s">
        <v>2462</v>
      </c>
      <c r="C3" s="268" t="s">
        <v>677</v>
      </c>
      <c r="D3" s="267" t="s">
        <v>2463</v>
      </c>
      <c r="E3" s="268" t="s">
        <v>2464</v>
      </c>
      <c r="F3" s="267" t="s">
        <v>2465</v>
      </c>
      <c r="G3" s="268" t="s">
        <v>2466</v>
      </c>
      <c r="H3" s="267" t="s">
        <v>381</v>
      </c>
    </row>
    <row r="4" spans="1:10" ht="15" customHeight="1">
      <c r="A4" s="269"/>
      <c r="B4" s="315" t="s">
        <v>678</v>
      </c>
      <c r="C4" s="1178" t="s">
        <v>678</v>
      </c>
      <c r="D4" s="270" t="s">
        <v>693</v>
      </c>
      <c r="E4" s="271" t="s">
        <v>2467</v>
      </c>
      <c r="F4" s="270"/>
      <c r="G4" s="271"/>
      <c r="H4" s="270"/>
    </row>
    <row r="5" spans="1:10" ht="18.75" customHeight="1">
      <c r="A5" s="269"/>
      <c r="B5" s="315"/>
      <c r="C5" s="271"/>
      <c r="D5" s="270"/>
      <c r="E5" s="1178" t="s">
        <v>2468</v>
      </c>
      <c r="F5" s="315"/>
      <c r="G5" s="1178"/>
      <c r="H5" s="315"/>
      <c r="J5" s="1306"/>
    </row>
    <row r="6" spans="1:10" ht="21.75" customHeight="1">
      <c r="A6" s="227"/>
      <c r="B6" s="274"/>
      <c r="C6" s="275"/>
      <c r="D6" s="274"/>
      <c r="E6" s="275"/>
      <c r="F6" s="274"/>
      <c r="G6" s="275"/>
      <c r="H6" s="274"/>
    </row>
    <row r="7" spans="1:10" ht="20.5" customHeight="1" thickBot="1">
      <c r="A7" s="316">
        <v>1996</v>
      </c>
      <c r="B7" s="278">
        <v>17744.372332422729</v>
      </c>
      <c r="C7" s="279">
        <v>10932.716294797674</v>
      </c>
      <c r="D7" s="278">
        <v>1268.9714576684796</v>
      </c>
      <c r="E7" s="279">
        <v>4540.3470588235296</v>
      </c>
      <c r="F7" s="278">
        <v>966.86547804090924</v>
      </c>
      <c r="G7" s="279">
        <v>2015.3489631466664</v>
      </c>
      <c r="H7" s="278">
        <v>37468.621584899985</v>
      </c>
    </row>
    <row r="8" spans="1:10" ht="18.5" customHeight="1" thickBot="1">
      <c r="A8" s="319">
        <v>1997</v>
      </c>
      <c r="B8" s="281">
        <v>18024.21990591228</v>
      </c>
      <c r="C8" s="282">
        <v>11172.859777209607</v>
      </c>
      <c r="D8" s="281">
        <v>1237.2489177234406</v>
      </c>
      <c r="E8" s="282">
        <v>4778.8981705882352</v>
      </c>
      <c r="F8" s="281">
        <v>938.77448458000003</v>
      </c>
      <c r="G8" s="282">
        <v>2057.9071603399998</v>
      </c>
      <c r="H8" s="281">
        <v>38209.908416353559</v>
      </c>
    </row>
    <row r="9" spans="1:10" ht="19.75" customHeight="1" thickBot="1">
      <c r="A9" s="319">
        <v>1998</v>
      </c>
      <c r="B9" s="281">
        <v>18551.937219844131</v>
      </c>
      <c r="C9" s="282">
        <v>11874.35810787395</v>
      </c>
      <c r="D9" s="281">
        <v>1356.5677703307178</v>
      </c>
      <c r="E9" s="282">
        <v>4913.3724305941168</v>
      </c>
      <c r="F9" s="281">
        <v>983.21470195428628</v>
      </c>
      <c r="G9" s="282">
        <v>2135.5628481599997</v>
      </c>
      <c r="H9" s="281">
        <v>39815.013078757198</v>
      </c>
    </row>
    <row r="10" spans="1:10" ht="20.25" customHeight="1" thickBot="1">
      <c r="A10" s="319">
        <v>1999</v>
      </c>
      <c r="B10" s="281">
        <v>18978.566637981137</v>
      </c>
      <c r="C10" s="282">
        <v>12357.690062899601</v>
      </c>
      <c r="D10" s="281">
        <v>1393.9774232153918</v>
      </c>
      <c r="E10" s="282">
        <v>5198.8475422014762</v>
      </c>
      <c r="F10" s="281">
        <v>1015.086034722207</v>
      </c>
      <c r="G10" s="282">
        <v>2160.2840630000001</v>
      </c>
      <c r="H10" s="281">
        <v>41104.45176401981</v>
      </c>
    </row>
    <row r="11" spans="1:10" ht="20.25" customHeight="1" thickBot="1">
      <c r="A11" s="319">
        <v>2000</v>
      </c>
      <c r="B11" s="281">
        <v>19786.725959440424</v>
      </c>
      <c r="C11" s="282">
        <v>12926.336575347925</v>
      </c>
      <c r="D11" s="281">
        <v>1430.1583748696057</v>
      </c>
      <c r="E11" s="282">
        <v>5475.438530920148</v>
      </c>
      <c r="F11" s="281">
        <v>1014.11623525604</v>
      </c>
      <c r="G11" s="282">
        <v>2210.1582759999997</v>
      </c>
      <c r="H11" s="281">
        <v>42842.933951834144</v>
      </c>
    </row>
    <row r="12" spans="1:10" ht="20.25" customHeight="1" thickBot="1">
      <c r="A12" s="319">
        <v>2001</v>
      </c>
      <c r="B12" s="281">
        <v>21248.403601616865</v>
      </c>
      <c r="C12" s="282">
        <v>13690.949264204983</v>
      </c>
      <c r="D12" s="281">
        <v>1471.1430430916139</v>
      </c>
      <c r="E12" s="282">
        <v>5829.5053846335832</v>
      </c>
      <c r="F12" s="281">
        <v>1062.7870063791461</v>
      </c>
      <c r="G12" s="282">
        <v>2270.0527489999999</v>
      </c>
      <c r="H12" s="281">
        <v>45572.841048926195</v>
      </c>
    </row>
    <row r="13" spans="1:10" ht="20.25" customHeight="1" thickBot="1">
      <c r="A13" s="319">
        <v>2002</v>
      </c>
      <c r="B13" s="281">
        <v>22418.819866723858</v>
      </c>
      <c r="C13" s="282">
        <v>14164.252550727681</v>
      </c>
      <c r="D13" s="281">
        <v>1526.2390168419893</v>
      </c>
      <c r="E13" s="282">
        <v>5899.2236182451925</v>
      </c>
      <c r="F13" s="281">
        <v>1052.5616069842113</v>
      </c>
      <c r="G13" s="282">
        <v>2327.5368271152074</v>
      </c>
      <c r="H13" s="281">
        <v>47388.633486638137</v>
      </c>
    </row>
    <row r="14" spans="1:10" ht="20.25" customHeight="1" thickBot="1">
      <c r="A14" s="319">
        <v>2003</v>
      </c>
      <c r="B14" s="281">
        <v>23242.374321177165</v>
      </c>
      <c r="C14" s="282">
        <v>14647.207027090521</v>
      </c>
      <c r="D14" s="281">
        <v>1546.5271226262025</v>
      </c>
      <c r="E14" s="282">
        <v>6306.7298112442477</v>
      </c>
      <c r="F14" s="281">
        <v>1122.7699346072109</v>
      </c>
      <c r="G14" s="282">
        <v>2399.5531361253825</v>
      </c>
      <c r="H14" s="281">
        <v>49265.161352870731</v>
      </c>
    </row>
    <row r="15" spans="1:10" ht="20.25" customHeight="1" thickBot="1">
      <c r="A15" s="319">
        <v>2004</v>
      </c>
      <c r="B15" s="281">
        <v>23945.205223129917</v>
      </c>
      <c r="C15" s="282">
        <v>15193.377809727141</v>
      </c>
      <c r="D15" s="281">
        <v>1704.7484965799663</v>
      </c>
      <c r="E15" s="282">
        <v>6531.3195717647059</v>
      </c>
      <c r="F15" s="281">
        <v>1122.7977613085018</v>
      </c>
      <c r="G15" s="282">
        <v>2510.2678083289275</v>
      </c>
      <c r="H15" s="281">
        <v>51007.71667083916</v>
      </c>
    </row>
    <row r="16" spans="1:10" ht="20.25" customHeight="1" thickBot="1">
      <c r="A16" s="319">
        <v>2005</v>
      </c>
      <c r="B16" s="281">
        <v>23688.403109193729</v>
      </c>
      <c r="C16" s="282">
        <v>16202.451402570587</v>
      </c>
      <c r="D16" s="281">
        <v>1809.9095250833793</v>
      </c>
      <c r="E16" s="282">
        <v>6680.5273571330181</v>
      </c>
      <c r="F16" s="281">
        <v>1133.4662400245973</v>
      </c>
      <c r="G16" s="282">
        <v>2528.2832466786526</v>
      </c>
      <c r="H16" s="281">
        <v>52043.040880683955</v>
      </c>
    </row>
    <row r="17" spans="1:8" ht="20.25" customHeight="1" thickBot="1">
      <c r="A17" s="319">
        <v>2006</v>
      </c>
      <c r="B17" s="281">
        <v>24062.85220852038</v>
      </c>
      <c r="C17" s="282">
        <v>16588.221996927445</v>
      </c>
      <c r="D17" s="281">
        <v>1788.3078435812113</v>
      </c>
      <c r="E17" s="282">
        <v>6561.1769109188781</v>
      </c>
      <c r="F17" s="281">
        <v>1141.3716146756301</v>
      </c>
      <c r="G17" s="282">
        <v>2631.4162770594794</v>
      </c>
      <c r="H17" s="281">
        <v>52773.346851683018</v>
      </c>
    </row>
    <row r="18" spans="1:8" ht="20.25" customHeight="1" thickBot="1">
      <c r="A18" s="319">
        <v>2007</v>
      </c>
      <c r="B18" s="281">
        <v>25173.299610545928</v>
      </c>
      <c r="C18" s="282">
        <v>17405.941656934221</v>
      </c>
      <c r="D18" s="281">
        <v>1831.3062019557781</v>
      </c>
      <c r="E18" s="282">
        <v>6761.1122350753349</v>
      </c>
      <c r="F18" s="281">
        <v>1281.1703952217956</v>
      </c>
      <c r="G18" s="282">
        <v>2762.1150105020197</v>
      </c>
      <c r="H18" s="281">
        <v>55214.945110235072</v>
      </c>
    </row>
    <row r="19" spans="1:8" ht="20.25" customHeight="1" thickBot="1">
      <c r="A19" s="319">
        <v>2008</v>
      </c>
      <c r="B19" s="281">
        <v>26500.705282160561</v>
      </c>
      <c r="C19" s="282">
        <v>18519.296893594856</v>
      </c>
      <c r="D19" s="281">
        <v>2001.4310327792</v>
      </c>
      <c r="E19" s="282">
        <v>7063.2770695818781</v>
      </c>
      <c r="F19" s="281">
        <v>1417.633317671276</v>
      </c>
      <c r="G19" s="282">
        <v>2923.7092680762953</v>
      </c>
      <c r="H19" s="281">
        <v>58426.052863864061</v>
      </c>
    </row>
    <row r="20" spans="1:8" ht="20.25" customHeight="1" thickBot="1">
      <c r="A20" s="319">
        <v>2009</v>
      </c>
      <c r="B20" s="1621">
        <v>27761.274376677087</v>
      </c>
      <c r="C20" s="282">
        <v>19185.468383850635</v>
      </c>
      <c r="D20" s="281">
        <v>2046.0944266667559</v>
      </c>
      <c r="E20" s="282">
        <v>7423.4371342381546</v>
      </c>
      <c r="F20" s="281">
        <v>1521.7588981642803</v>
      </c>
      <c r="G20" s="282">
        <v>3042.7215849875238</v>
      </c>
      <c r="H20" s="1621">
        <v>60980.754804584431</v>
      </c>
    </row>
    <row r="21" spans="1:8" ht="20.25" customHeight="1" thickBot="1">
      <c r="A21" s="319">
        <v>2010</v>
      </c>
      <c r="B21" s="281">
        <v>28364.000638328456</v>
      </c>
      <c r="C21" s="282">
        <v>20334.921376685299</v>
      </c>
      <c r="D21" s="281">
        <v>2042.0522699365197</v>
      </c>
      <c r="E21" s="282">
        <v>7304.2943175532691</v>
      </c>
      <c r="F21" s="281">
        <v>1470.7077535207468</v>
      </c>
      <c r="G21" s="282">
        <v>2978.9400728947644</v>
      </c>
      <c r="H21" s="281">
        <v>62494.916428919059</v>
      </c>
    </row>
    <row r="22" spans="1:8" s="200" customFormat="1" ht="20.25" customHeight="1" thickBot="1">
      <c r="A22" s="319">
        <v>2011</v>
      </c>
      <c r="B22" s="1621">
        <v>29325.407592784748</v>
      </c>
      <c r="C22" s="1661">
        <v>21267.73900520684</v>
      </c>
      <c r="D22" s="1621">
        <v>2158.4802851152281</v>
      </c>
      <c r="E22" s="282">
        <v>7333.9662030476438</v>
      </c>
      <c r="F22" s="281">
        <v>1442.8374064134032</v>
      </c>
      <c r="G22" s="282">
        <v>3037.3670222547457</v>
      </c>
      <c r="H22" s="1621">
        <v>64565.797514822611</v>
      </c>
    </row>
    <row r="23" spans="1:8" s="200" customFormat="1" ht="20.25" customHeight="1" thickBot="1">
      <c r="A23" s="319">
        <v>2012</v>
      </c>
      <c r="B23" s="281">
        <v>31403.4</v>
      </c>
      <c r="C23" s="282">
        <v>22494.3</v>
      </c>
      <c r="D23" s="281">
        <v>2232.5</v>
      </c>
      <c r="E23" s="282">
        <v>7447</v>
      </c>
      <c r="F23" s="281">
        <v>1451.5</v>
      </c>
      <c r="G23" s="282">
        <v>2953.5</v>
      </c>
      <c r="H23" s="281">
        <v>67982.2</v>
      </c>
    </row>
    <row r="24" spans="1:8" s="1663" customFormat="1" ht="25.25" customHeight="1" thickBot="1">
      <c r="A24" s="322">
        <v>2013</v>
      </c>
      <c r="B24" s="524" t="s">
        <v>153</v>
      </c>
      <c r="C24" s="525" t="s">
        <v>153</v>
      </c>
      <c r="D24" s="524" t="s">
        <v>153</v>
      </c>
      <c r="E24" s="525" t="s">
        <v>153</v>
      </c>
      <c r="F24" s="524" t="s">
        <v>153</v>
      </c>
      <c r="G24" s="525" t="s">
        <v>153</v>
      </c>
      <c r="H24" s="524" t="s">
        <v>153</v>
      </c>
    </row>
    <row r="25" spans="1:8" ht="18" customHeight="1">
      <c r="A25" s="1431" t="s">
        <v>2460</v>
      </c>
      <c r="B25" s="1432"/>
      <c r="C25" s="1432"/>
      <c r="D25" s="1432"/>
      <c r="E25" s="1432"/>
      <c r="F25" s="1432"/>
      <c r="G25" s="1432"/>
      <c r="H25" s="1432"/>
    </row>
    <row r="26" spans="1:8" ht="12.75" customHeight="1">
      <c r="A26" s="1442"/>
      <c r="B26" s="1121"/>
      <c r="C26" s="1121"/>
      <c r="D26" s="1121"/>
      <c r="E26" s="1121"/>
      <c r="F26" s="1121"/>
      <c r="G26" s="1121"/>
      <c r="H26" s="1121"/>
    </row>
    <row r="27" spans="1:8" ht="12.75" customHeight="1">
      <c r="A27" s="1496" t="s">
        <v>2469</v>
      </c>
      <c r="B27" s="1121"/>
      <c r="C27" s="1121"/>
      <c r="D27" s="1121"/>
      <c r="E27" s="1121"/>
      <c r="F27" s="1121"/>
      <c r="G27" s="1121"/>
      <c r="H27" s="1121"/>
    </row>
    <row r="28" spans="1:8" ht="12.75" customHeight="1">
      <c r="A28" s="1662" t="s">
        <v>2456</v>
      </c>
      <c r="B28" s="1121"/>
      <c r="C28" s="1121"/>
      <c r="D28" s="1121"/>
      <c r="E28" s="1121"/>
      <c r="F28" s="1121"/>
      <c r="G28" s="1121"/>
      <c r="H28" s="1121"/>
    </row>
    <row r="29" spans="1:8" ht="12.75" customHeight="1">
      <c r="A29" s="1496" t="s">
        <v>2457</v>
      </c>
      <c r="B29" s="1121"/>
      <c r="C29" s="1121"/>
      <c r="D29" s="1121"/>
      <c r="E29" s="1121"/>
      <c r="F29" s="1121"/>
      <c r="G29" s="1121"/>
      <c r="H29" s="1121"/>
    </row>
    <row r="30" spans="1:8" ht="12.75" customHeight="1">
      <c r="A30" s="1496" t="s">
        <v>2458</v>
      </c>
      <c r="B30" s="1121"/>
      <c r="C30" s="1121"/>
      <c r="D30" s="1121"/>
      <c r="E30" s="1121"/>
      <c r="F30" s="1121"/>
      <c r="G30" s="1121"/>
      <c r="H30" s="1121"/>
    </row>
    <row r="31" spans="1:8" ht="12.75" customHeight="1">
      <c r="A31" s="1442"/>
      <c r="B31" s="1121"/>
      <c r="C31" s="1121"/>
      <c r="D31" s="1121"/>
      <c r="E31" s="1121"/>
      <c r="F31" s="1121"/>
      <c r="G31" s="1121"/>
      <c r="H31" s="1121"/>
    </row>
    <row r="32" spans="1:8" ht="12.75" customHeight="1">
      <c r="A32" s="1442" t="s">
        <v>2470</v>
      </c>
      <c r="B32" s="1121"/>
      <c r="C32" s="1121"/>
      <c r="D32" s="1121"/>
      <c r="E32" s="1121"/>
      <c r="F32" s="1121"/>
      <c r="G32" s="1121"/>
      <c r="H32" s="1121"/>
    </row>
    <row r="33" spans="1:11" ht="14.25" customHeight="1">
      <c r="A33" s="191"/>
      <c r="B33" s="237"/>
      <c r="C33" s="237"/>
      <c r="D33" s="237"/>
      <c r="E33" s="237"/>
      <c r="F33" s="237"/>
      <c r="G33" s="237"/>
      <c r="H33" s="237"/>
    </row>
    <row r="34" spans="1:11" ht="14.25" customHeight="1">
      <c r="A34" s="647"/>
      <c r="B34" s="237"/>
      <c r="C34" s="237"/>
      <c r="D34" s="237"/>
      <c r="E34" s="237"/>
      <c r="F34" s="237"/>
      <c r="G34" s="237"/>
      <c r="H34" s="237"/>
    </row>
    <row r="35" spans="1:11" ht="14.25" customHeight="1">
      <c r="A35" s="63" t="s">
        <v>302</v>
      </c>
      <c r="B35" s="237"/>
      <c r="C35" s="237"/>
      <c r="D35" s="237"/>
      <c r="E35" s="237"/>
      <c r="F35" s="237"/>
      <c r="G35" s="237"/>
      <c r="H35" s="237"/>
    </row>
    <row r="36" spans="1:11" ht="18" customHeight="1">
      <c r="A36" s="63"/>
      <c r="B36" s="237"/>
      <c r="C36" s="237"/>
      <c r="D36" s="237"/>
      <c r="E36" s="237"/>
      <c r="F36" s="237"/>
      <c r="G36" s="237"/>
      <c r="H36" s="237"/>
    </row>
    <row r="37" spans="1:11" ht="18" customHeight="1">
      <c r="A37" s="63"/>
      <c r="B37" s="237"/>
      <c r="C37" s="237"/>
      <c r="D37" s="237"/>
      <c r="E37" s="237"/>
      <c r="F37" s="237"/>
      <c r="G37" s="237"/>
      <c r="H37" s="237"/>
      <c r="K37" s="647"/>
    </row>
    <row r="38" spans="1:11" ht="31" customHeight="1">
      <c r="A38" s="63"/>
      <c r="B38" s="237"/>
      <c r="C38" s="237"/>
      <c r="D38" s="237"/>
      <c r="E38" s="237"/>
      <c r="F38" s="237"/>
      <c r="G38" s="237"/>
      <c r="H38" s="237"/>
    </row>
    <row r="39" spans="1:11" ht="31" customHeight="1">
      <c r="A39" s="63"/>
      <c r="B39" s="237"/>
      <c r="C39" s="237"/>
      <c r="D39" s="237"/>
      <c r="E39" s="237"/>
      <c r="F39" s="237"/>
      <c r="G39" s="237"/>
      <c r="H39" s="237"/>
    </row>
    <row r="40" spans="1:11" ht="31" customHeight="1">
      <c r="A40" s="63"/>
      <c r="B40" s="237"/>
      <c r="C40" s="237"/>
      <c r="D40" s="237"/>
      <c r="E40" s="237"/>
      <c r="F40" s="237"/>
      <c r="G40" s="237"/>
      <c r="H40" s="237"/>
    </row>
    <row r="41" spans="1:11" ht="31" customHeight="1">
      <c r="A41" s="63"/>
      <c r="B41" s="237"/>
      <c r="C41" s="237"/>
      <c r="D41" s="237"/>
      <c r="E41" s="237"/>
      <c r="F41" s="237"/>
      <c r="G41" s="237"/>
      <c r="H41" s="237"/>
    </row>
    <row r="42" spans="1:11" ht="31" customHeight="1">
      <c r="A42" s="63"/>
      <c r="B42" s="237"/>
      <c r="C42" s="237"/>
      <c r="D42" s="237"/>
      <c r="E42" s="237"/>
      <c r="F42" s="237"/>
      <c r="G42" s="237"/>
      <c r="H42" s="237"/>
    </row>
    <row r="43" spans="1:11">
      <c r="A43" s="63"/>
      <c r="B43" s="237"/>
      <c r="C43" s="237"/>
      <c r="D43" s="237"/>
      <c r="E43" s="237"/>
      <c r="F43" s="237"/>
      <c r="G43" s="237"/>
      <c r="H43" s="237"/>
    </row>
    <row r="44" spans="1:11">
      <c r="A44" s="63"/>
      <c r="B44" s="237"/>
      <c r="C44" s="237"/>
      <c r="D44" s="237"/>
      <c r="E44" s="237"/>
      <c r="F44" s="237"/>
      <c r="G44" s="237"/>
      <c r="H44" s="237"/>
    </row>
  </sheetData>
  <pageMargins left="0.59055118110236227" right="0.51181102362204722" top="1.0629921259842521" bottom="0.47244094488188981" header="0.59055118110236227" footer="0.51181102362204722"/>
  <pageSetup paperSize="9" scale="76" orientation="portrait" horizontalDpi="4294967292" verticalDpi="4294967292"/>
  <headerFooter alignWithMargins="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84918-DDAE-9740-A4E8-7D081EF441CD}">
  <dimension ref="A1:AF185"/>
  <sheetViews>
    <sheetView zoomScaleNormal="100" workbookViewId="0">
      <selection activeCell="A2" sqref="A2"/>
    </sheetView>
  </sheetViews>
  <sheetFormatPr baseColWidth="10" defaultColWidth="11.59765625" defaultRowHeight="13"/>
  <cols>
    <col min="1" max="1" width="3.796875" style="1665" customWidth="1"/>
    <col min="2" max="2" width="48.796875" style="1665" customWidth="1"/>
    <col min="3" max="3" width="10" style="1665" customWidth="1"/>
    <col min="4" max="4" width="9.3984375" style="1665" customWidth="1"/>
    <col min="5" max="5" width="9.796875" style="1665" customWidth="1"/>
    <col min="6" max="6" width="11.59765625" style="1665"/>
    <col min="7" max="7" width="11" style="1665" customWidth="1"/>
    <col min="8" max="10" width="11.59765625" style="1665"/>
    <col min="11" max="11" width="10.796875" style="1665" customWidth="1"/>
    <col min="12" max="12" width="11.59765625" style="1665" customWidth="1"/>
    <col min="13" max="13" width="10.796875" style="1665" customWidth="1"/>
    <col min="14" max="14" width="11.3984375" style="1665" customWidth="1"/>
    <col min="15" max="15" width="10.796875" style="1665" customWidth="1"/>
    <col min="16" max="16" width="11.19921875" style="1665" customWidth="1"/>
    <col min="17" max="17" width="11" style="1665" customWidth="1"/>
    <col min="18" max="18" width="11.19921875" style="1665" customWidth="1"/>
    <col min="19" max="19" width="11" style="1665" customWidth="1"/>
    <col min="20" max="20" width="11.19921875" style="1665" customWidth="1"/>
    <col min="21" max="24" width="11.59765625" style="1665"/>
    <col min="25" max="25" width="13.796875" style="1665" customWidth="1"/>
    <col min="26" max="26" width="10.59765625" style="1669" customWidth="1"/>
    <col min="27" max="27" width="10.59765625" style="1665" customWidth="1"/>
    <col min="28" max="28" width="11.59765625" style="1665"/>
    <col min="29" max="29" width="11.3984375" style="1665" bestFit="1" customWidth="1"/>
    <col min="30" max="16384" width="11.59765625" style="1665"/>
  </cols>
  <sheetData>
    <row r="1" spans="1:30" ht="18">
      <c r="A1" s="1664" t="s">
        <v>2471</v>
      </c>
      <c r="Q1" s="1666"/>
      <c r="R1" s="1666"/>
      <c r="S1" s="1666"/>
      <c r="T1" s="1666"/>
      <c r="V1" s="1667"/>
      <c r="Y1" s="1668"/>
      <c r="Z1" s="1665"/>
      <c r="AA1" s="1669"/>
    </row>
    <row r="2" spans="1:30" ht="14" thickBot="1">
      <c r="A2" s="1670"/>
      <c r="B2" s="1670"/>
      <c r="C2" s="1670"/>
      <c r="D2" s="1670"/>
      <c r="E2" s="1670"/>
      <c r="F2" s="1670"/>
      <c r="G2" s="1670"/>
      <c r="H2" s="1670"/>
      <c r="I2" s="1670"/>
      <c r="J2" s="1670"/>
      <c r="K2" s="1670"/>
      <c r="L2" s="1670"/>
      <c r="M2" s="1670"/>
      <c r="N2" s="1670"/>
      <c r="O2" s="1670"/>
      <c r="P2" s="1670"/>
      <c r="Q2" s="1670"/>
      <c r="R2" s="1670"/>
      <c r="S2" s="1670"/>
      <c r="T2" s="1670"/>
      <c r="U2" s="1671"/>
      <c r="V2" s="1672"/>
      <c r="W2" s="1672"/>
      <c r="X2" s="1672"/>
      <c r="Y2" s="1672"/>
      <c r="Z2" s="1672"/>
      <c r="AA2" s="1673"/>
      <c r="AB2" s="1674"/>
      <c r="AC2" s="1672"/>
    </row>
    <row r="3" spans="1:30" s="1679" customFormat="1" ht="10.5" customHeight="1">
      <c r="A3" s="1675"/>
      <c r="B3" s="1675"/>
      <c r="C3" s="1676"/>
      <c r="D3" s="1675"/>
      <c r="E3" s="1676"/>
      <c r="F3" s="1675"/>
      <c r="G3" s="1676"/>
      <c r="H3" s="1675"/>
      <c r="I3" s="1676"/>
      <c r="J3" s="1675"/>
      <c r="K3" s="1676"/>
      <c r="L3" s="1675"/>
      <c r="M3" s="1676"/>
      <c r="N3" s="1675"/>
      <c r="O3" s="1676"/>
      <c r="P3" s="1675"/>
      <c r="Q3" s="1677"/>
      <c r="R3" s="1678"/>
      <c r="S3" s="1677"/>
      <c r="T3" s="1678"/>
      <c r="V3" s="1672"/>
      <c r="W3" s="1680"/>
      <c r="X3" s="1680"/>
      <c r="Y3" s="1680"/>
      <c r="Z3" s="1680"/>
      <c r="AA3" s="1681"/>
      <c r="AB3" s="1682"/>
      <c r="AC3" s="1683"/>
      <c r="AD3" s="1684"/>
    </row>
    <row r="4" spans="1:30" ht="15.75" customHeight="1">
      <c r="A4" s="1685"/>
      <c r="B4" s="1686"/>
      <c r="C4" s="1687">
        <v>1996</v>
      </c>
      <c r="D4" s="1688">
        <v>1997</v>
      </c>
      <c r="E4" s="1687">
        <v>1998</v>
      </c>
      <c r="F4" s="1688">
        <v>1999</v>
      </c>
      <c r="G4" s="1687">
        <v>2000</v>
      </c>
      <c r="H4" s="1688">
        <v>2001</v>
      </c>
      <c r="I4" s="1687">
        <v>2002</v>
      </c>
      <c r="J4" s="1688">
        <v>2003</v>
      </c>
      <c r="K4" s="1687">
        <v>2004</v>
      </c>
      <c r="L4" s="1688">
        <v>2005</v>
      </c>
      <c r="M4" s="1687">
        <v>2006</v>
      </c>
      <c r="N4" s="1688">
        <v>2007</v>
      </c>
      <c r="O4" s="1687">
        <v>2008</v>
      </c>
      <c r="P4" s="1688">
        <v>2009</v>
      </c>
      <c r="Q4" s="1687">
        <v>2010</v>
      </c>
      <c r="R4" s="1688">
        <v>2011</v>
      </c>
      <c r="S4" s="1689">
        <v>2012</v>
      </c>
      <c r="T4" s="1688" t="s">
        <v>2472</v>
      </c>
      <c r="V4" s="1672"/>
      <c r="W4" s="1680"/>
      <c r="X4" s="1680"/>
      <c r="Y4" s="1680"/>
      <c r="Z4" s="1680"/>
      <c r="AA4" s="1690"/>
      <c r="AB4" s="1691"/>
      <c r="AC4" s="1683"/>
      <c r="AD4" s="1684"/>
    </row>
    <row r="5" spans="1:30" ht="14.25" customHeight="1">
      <c r="A5" s="1692"/>
      <c r="B5" s="1692"/>
      <c r="C5" s="1693"/>
      <c r="D5" s="1694"/>
      <c r="E5" s="1693"/>
      <c r="F5" s="1694"/>
      <c r="G5" s="1693"/>
      <c r="H5" s="1694"/>
      <c r="I5" s="1693"/>
      <c r="J5" s="1694"/>
      <c r="K5" s="1693"/>
      <c r="L5" s="1694"/>
      <c r="M5" s="1693"/>
      <c r="N5" s="1694"/>
      <c r="O5" s="1693"/>
      <c r="P5" s="1694"/>
      <c r="Q5" s="1695"/>
      <c r="R5" s="1696"/>
      <c r="S5" s="1695"/>
      <c r="T5" s="1696"/>
      <c r="V5" s="1672"/>
      <c r="W5" s="1680"/>
      <c r="X5" s="1697"/>
      <c r="Y5" s="1680"/>
      <c r="Z5" s="1680"/>
      <c r="AA5" s="1698"/>
      <c r="AB5" s="1699"/>
      <c r="AC5" s="1698"/>
      <c r="AD5" s="1700"/>
    </row>
    <row r="6" spans="1:30">
      <c r="A6" s="1701"/>
      <c r="B6" s="1702"/>
      <c r="C6" s="1703"/>
      <c r="D6" s="1702"/>
      <c r="E6" s="1703"/>
      <c r="F6" s="1702"/>
      <c r="G6" s="1703"/>
      <c r="H6" s="1702"/>
      <c r="I6" s="1703"/>
      <c r="J6" s="1702"/>
      <c r="K6" s="1703"/>
      <c r="L6" s="1702"/>
      <c r="M6" s="1703"/>
      <c r="N6" s="1702"/>
      <c r="O6" s="1703"/>
      <c r="P6" s="1702"/>
      <c r="Q6" s="1703"/>
      <c r="R6" s="1702"/>
      <c r="S6" s="1703"/>
      <c r="T6" s="1702"/>
      <c r="V6" s="1672"/>
      <c r="W6" s="1680"/>
      <c r="X6" s="1680"/>
      <c r="Y6" s="1680"/>
      <c r="Z6" s="1680"/>
      <c r="AA6" s="1690"/>
      <c r="AB6" s="1704"/>
      <c r="AC6" s="1683"/>
      <c r="AD6" s="1684"/>
    </row>
    <row r="7" spans="1:30" ht="13.25" customHeight="1" thickBot="1">
      <c r="A7" s="1705"/>
      <c r="B7" s="1706"/>
      <c r="C7" s="1707"/>
      <c r="D7" s="1707"/>
      <c r="E7" s="1707"/>
      <c r="F7" s="1707"/>
      <c r="G7" s="1707"/>
      <c r="H7" s="1707"/>
      <c r="I7" s="1707"/>
      <c r="J7" s="1707"/>
      <c r="K7" s="1707"/>
      <c r="L7" s="1707"/>
      <c r="M7" s="1707"/>
      <c r="N7" s="1707"/>
      <c r="O7" s="1708"/>
      <c r="P7" s="1707"/>
      <c r="Q7" s="1709"/>
      <c r="R7" s="1709"/>
      <c r="S7" s="1709"/>
      <c r="T7" s="1709"/>
      <c r="V7" s="1710"/>
      <c r="W7" s="1680"/>
      <c r="X7" s="1711"/>
      <c r="Y7" s="1680"/>
      <c r="Z7" s="1680"/>
      <c r="AA7" s="1672"/>
      <c r="AB7" s="1712"/>
      <c r="AC7" s="1683"/>
      <c r="AD7" s="1684"/>
    </row>
    <row r="8" spans="1:30" ht="18" customHeight="1" thickBot="1">
      <c r="A8" s="1713" t="s">
        <v>2473</v>
      </c>
      <c r="B8" s="1714"/>
      <c r="C8" s="1707"/>
      <c r="D8" s="1707"/>
      <c r="E8" s="1707"/>
      <c r="F8" s="1707"/>
      <c r="G8" s="1707"/>
      <c r="H8" s="1707"/>
      <c r="I8" s="1707"/>
      <c r="J8" s="1707"/>
      <c r="K8" s="1707"/>
      <c r="L8" s="1707"/>
      <c r="M8" s="1707"/>
      <c r="N8" s="1707"/>
      <c r="O8" s="1708"/>
      <c r="P8" s="1707"/>
      <c r="Q8" s="1709"/>
      <c r="R8" s="1709"/>
      <c r="S8" s="1709"/>
      <c r="T8" s="1709"/>
      <c r="V8" s="1710"/>
      <c r="W8" s="1680"/>
      <c r="X8" s="1711"/>
      <c r="Y8" s="1680"/>
      <c r="Z8" s="1680"/>
      <c r="AA8" s="1672"/>
      <c r="AB8" s="1712"/>
      <c r="AC8" s="1683"/>
      <c r="AD8" s="1684"/>
    </row>
    <row r="9" spans="1:30" ht="9" customHeight="1" thickBot="1">
      <c r="A9" s="1705"/>
      <c r="B9" s="1706"/>
      <c r="C9" s="1707"/>
      <c r="D9" s="1707"/>
      <c r="E9" s="1707"/>
      <c r="F9" s="1707"/>
      <c r="G9" s="1707"/>
      <c r="H9" s="1707"/>
      <c r="I9" s="1707"/>
      <c r="J9" s="1707"/>
      <c r="K9" s="1707"/>
      <c r="L9" s="1707"/>
      <c r="M9" s="1707"/>
      <c r="N9" s="1707"/>
      <c r="O9" s="1708"/>
      <c r="P9" s="1707"/>
      <c r="Q9" s="1709"/>
      <c r="R9" s="1709"/>
      <c r="S9" s="1709"/>
      <c r="T9" s="1709"/>
      <c r="V9" s="1710"/>
      <c r="W9" s="1680"/>
      <c r="X9" s="1711"/>
      <c r="Y9" s="1680"/>
      <c r="Z9" s="1680"/>
      <c r="AA9" s="1672"/>
      <c r="AB9" s="1712"/>
      <c r="AC9" s="1683"/>
      <c r="AD9" s="1684"/>
    </row>
    <row r="10" spans="1:30" s="1726" customFormat="1" ht="16.75" customHeight="1" thickBot="1">
      <c r="A10" s="1715" t="s">
        <v>2474</v>
      </c>
      <c r="B10" s="1716"/>
      <c r="C10" s="1717">
        <v>37468.621584899993</v>
      </c>
      <c r="D10" s="1718">
        <v>38209.908416353559</v>
      </c>
      <c r="E10" s="1717">
        <v>39815.013078757198</v>
      </c>
      <c r="F10" s="1718">
        <v>41104.451764019817</v>
      </c>
      <c r="G10" s="1717">
        <v>42842.933951834144</v>
      </c>
      <c r="H10" s="1718">
        <v>45572.841048926202</v>
      </c>
      <c r="I10" s="1717">
        <v>47388.633486638137</v>
      </c>
      <c r="J10" s="1718">
        <v>49265.161352870738</v>
      </c>
      <c r="K10" s="1717">
        <v>51007.71667083916</v>
      </c>
      <c r="L10" s="1718">
        <v>52043.04088068397</v>
      </c>
      <c r="M10" s="1717">
        <v>52773.346851683025</v>
      </c>
      <c r="N10" s="1718">
        <v>55214.945110235072</v>
      </c>
      <c r="O10" s="1717">
        <v>58426.052863864068</v>
      </c>
      <c r="P10" s="1719">
        <v>60980.754804584423</v>
      </c>
      <c r="Q10" s="1717">
        <v>62494.916428919067</v>
      </c>
      <c r="R10" s="1720">
        <v>64565.797514822603</v>
      </c>
      <c r="S10" s="1721">
        <v>67982.2</v>
      </c>
      <c r="T10" s="1722" t="s">
        <v>153</v>
      </c>
      <c r="U10" s="1723"/>
      <c r="V10" s="1671"/>
      <c r="W10" s="1724"/>
      <c r="X10" s="1724"/>
      <c r="Y10" s="1724"/>
      <c r="Z10" s="1680"/>
      <c r="AA10" s="1710"/>
      <c r="AB10" s="1725"/>
      <c r="AC10" s="1710"/>
    </row>
    <row r="11" spans="1:30" ht="17.25" customHeight="1" thickBot="1">
      <c r="A11" s="1727"/>
      <c r="B11" s="1728"/>
      <c r="C11" s="1729"/>
      <c r="D11" s="1730"/>
      <c r="E11" s="1729"/>
      <c r="F11" s="1730"/>
      <c r="G11" s="1729"/>
      <c r="H11" s="1730"/>
      <c r="I11" s="1729"/>
      <c r="J11" s="1730"/>
      <c r="K11" s="1729"/>
      <c r="L11" s="1730"/>
      <c r="M11" s="1729"/>
      <c r="N11" s="1730"/>
      <c r="O11" s="1729"/>
      <c r="P11" s="1730"/>
      <c r="Q11" s="1729"/>
      <c r="R11" s="1731"/>
      <c r="S11" s="1729"/>
      <c r="T11" s="1730"/>
      <c r="V11" s="1732"/>
      <c r="W11" s="1732"/>
      <c r="X11" s="1733"/>
      <c r="Y11" s="1732"/>
      <c r="Z11" s="1672"/>
      <c r="AA11" s="1672"/>
      <c r="AB11" s="1712"/>
      <c r="AC11" s="1672"/>
    </row>
    <row r="12" spans="1:30" ht="18" customHeight="1" thickBot="1">
      <c r="A12" s="1734" t="s">
        <v>2475</v>
      </c>
      <c r="B12" s="1714"/>
      <c r="C12" s="1735">
        <v>5976.68608119694</v>
      </c>
      <c r="D12" s="1736">
        <v>5920.5324887865727</v>
      </c>
      <c r="E12" s="1735">
        <v>5989.0401962979158</v>
      </c>
      <c r="F12" s="1736">
        <v>6272.8466257392192</v>
      </c>
      <c r="G12" s="1735">
        <v>6460.9578237170608</v>
      </c>
      <c r="H12" s="1736">
        <v>7635.1420777467765</v>
      </c>
      <c r="I12" s="1735">
        <v>8429.5101560943567</v>
      </c>
      <c r="J12" s="1736">
        <v>8778.10319716105</v>
      </c>
      <c r="K12" s="1735">
        <v>8632.7243530636424</v>
      </c>
      <c r="L12" s="1736">
        <v>8704.8174529394601</v>
      </c>
      <c r="M12" s="1735">
        <v>8536.5423231378227</v>
      </c>
      <c r="N12" s="1736">
        <v>8960.8447878915576</v>
      </c>
      <c r="O12" s="1737">
        <v>10892.863194019999</v>
      </c>
      <c r="P12" s="1736">
        <v>11812.531518999062</v>
      </c>
      <c r="Q12" s="1737">
        <v>11842.966931600004</v>
      </c>
      <c r="R12" s="1738">
        <v>12566.794314920004</v>
      </c>
      <c r="S12" s="1737">
        <v>13795.800000000001</v>
      </c>
      <c r="T12" s="1736" t="s">
        <v>153</v>
      </c>
      <c r="V12" s="1739"/>
      <c r="W12" s="1724"/>
      <c r="X12" s="1733"/>
      <c r="Y12" s="1724"/>
      <c r="Z12" s="1680"/>
      <c r="AA12" s="1672"/>
      <c r="AB12" s="1712"/>
      <c r="AC12" s="1683"/>
      <c r="AD12" s="1684"/>
    </row>
    <row r="13" spans="1:30" ht="14" thickBot="1">
      <c r="A13" s="1740" t="s">
        <v>2476</v>
      </c>
      <c r="B13" s="1728"/>
      <c r="C13" s="1741">
        <v>129.23078991</v>
      </c>
      <c r="D13" s="1742">
        <v>117.49672024</v>
      </c>
      <c r="E13" s="1741">
        <v>116.89201141000001</v>
      </c>
      <c r="F13" s="1742">
        <v>126.031144</v>
      </c>
      <c r="G13" s="1741">
        <v>145.00575000000001</v>
      </c>
      <c r="H13" s="1742">
        <v>164.3904</v>
      </c>
      <c r="I13" s="1741">
        <v>177.72408200000001</v>
      </c>
      <c r="J13" s="1742">
        <v>155.57770199999999</v>
      </c>
      <c r="K13" s="1741">
        <v>137.73953900000001</v>
      </c>
      <c r="L13" s="1742">
        <v>126.93680499999999</v>
      </c>
      <c r="M13" s="1741">
        <v>121.25849500000001</v>
      </c>
      <c r="N13" s="1742">
        <v>180.203757</v>
      </c>
      <c r="O13" s="1741">
        <v>190.7</v>
      </c>
      <c r="P13" s="1742">
        <v>235.31799999999996</v>
      </c>
      <c r="Q13" s="1741">
        <v>194.01</v>
      </c>
      <c r="R13" s="1742">
        <v>144.57000000000002</v>
      </c>
      <c r="S13" s="1741">
        <v>149.6</v>
      </c>
      <c r="T13" s="1742" t="s">
        <v>153</v>
      </c>
      <c r="V13" s="1671"/>
      <c r="W13" s="1724"/>
      <c r="X13" s="1733"/>
      <c r="Y13" s="1724"/>
      <c r="Z13" s="1680"/>
      <c r="AA13" s="1690"/>
      <c r="AB13" s="1743"/>
      <c r="AC13" s="1683"/>
      <c r="AD13" s="1684"/>
    </row>
    <row r="14" spans="1:30" ht="14" thickBot="1">
      <c r="A14" s="1740" t="s">
        <v>2477</v>
      </c>
      <c r="B14" s="1728"/>
      <c r="C14" s="1741">
        <v>4784.5780118902267</v>
      </c>
      <c r="D14" s="1742">
        <v>4715.2771265677929</v>
      </c>
      <c r="E14" s="1741">
        <v>4705.6176243116033</v>
      </c>
      <c r="F14" s="1742">
        <v>4970.909962638395</v>
      </c>
      <c r="G14" s="1741">
        <v>5115.6656802381985</v>
      </c>
      <c r="H14" s="1742">
        <v>6059.2656324562704</v>
      </c>
      <c r="I14" s="1741">
        <v>6823.5309806680871</v>
      </c>
      <c r="J14" s="1742">
        <v>7254.6764879217662</v>
      </c>
      <c r="K14" s="1741">
        <v>7117.8318535254821</v>
      </c>
      <c r="L14" s="1742">
        <v>7397.3768416285438</v>
      </c>
      <c r="M14" s="1741">
        <v>7523.1773202740087</v>
      </c>
      <c r="N14" s="1742">
        <v>7771.8251720893604</v>
      </c>
      <c r="O14" s="1744">
        <v>9143.9026519999989</v>
      </c>
      <c r="P14" s="1742">
        <v>9940.3914481753054</v>
      </c>
      <c r="Q14" s="1744">
        <v>10018.500700000002</v>
      </c>
      <c r="R14" s="1745">
        <v>10499.488260970003</v>
      </c>
      <c r="S14" s="1744">
        <v>11664</v>
      </c>
      <c r="T14" s="1742" t="s">
        <v>153</v>
      </c>
      <c r="V14" s="1671"/>
      <c r="W14" s="1724"/>
      <c r="X14" s="1733"/>
      <c r="Y14" s="1724"/>
      <c r="Z14" s="1680"/>
      <c r="AA14" s="1690"/>
      <c r="AB14" s="1743"/>
      <c r="AC14" s="1683"/>
      <c r="AD14" s="1684"/>
    </row>
    <row r="15" spans="1:30" ht="14" thickBot="1">
      <c r="A15" s="1740" t="s">
        <v>2478</v>
      </c>
      <c r="B15" s="1728"/>
      <c r="C15" s="1741">
        <v>1062.8772793967141</v>
      </c>
      <c r="D15" s="1742">
        <v>1087.7586419787795</v>
      </c>
      <c r="E15" s="1741">
        <v>1166.5305605763128</v>
      </c>
      <c r="F15" s="1742">
        <v>1175.9055191008242</v>
      </c>
      <c r="G15" s="1741">
        <v>1200.286393478862</v>
      </c>
      <c r="H15" s="1742">
        <v>1411.4860452905059</v>
      </c>
      <c r="I15" s="1741">
        <v>1428.2550934262702</v>
      </c>
      <c r="J15" s="1742">
        <v>1367.8490072392833</v>
      </c>
      <c r="K15" s="1741">
        <v>1377.1529605381609</v>
      </c>
      <c r="L15" s="1742">
        <v>1180.5038063109164</v>
      </c>
      <c r="M15" s="1741">
        <v>892.10650786381348</v>
      </c>
      <c r="N15" s="1742">
        <v>1008.8158588021977</v>
      </c>
      <c r="O15" s="1744">
        <v>1558.2605420199998</v>
      </c>
      <c r="P15" s="1742">
        <v>1636.8220708237566</v>
      </c>
      <c r="Q15" s="1744">
        <v>1630.4562316000001</v>
      </c>
      <c r="R15" s="1742">
        <v>1922.73605395</v>
      </c>
      <c r="S15" s="1744">
        <v>1982.2</v>
      </c>
      <c r="T15" s="1742" t="s">
        <v>153</v>
      </c>
      <c r="V15" s="1671"/>
      <c r="W15" s="1724"/>
      <c r="X15" s="1733"/>
      <c r="Y15" s="1724"/>
      <c r="Z15" s="1680"/>
      <c r="AA15" s="1690"/>
      <c r="AB15" s="1743"/>
      <c r="AC15" s="1683"/>
      <c r="AD15" s="1684"/>
    </row>
    <row r="16" spans="1:30" ht="15.75" customHeight="1" thickBot="1">
      <c r="A16" s="1740"/>
      <c r="B16" s="1728"/>
      <c r="C16" s="1746"/>
      <c r="D16" s="1747"/>
      <c r="E16" s="1746"/>
      <c r="F16" s="1747"/>
      <c r="G16" s="1746"/>
      <c r="H16" s="1747"/>
      <c r="I16" s="1746"/>
      <c r="J16" s="1747"/>
      <c r="K16" s="1746"/>
      <c r="L16" s="1747"/>
      <c r="M16" s="1746"/>
      <c r="N16" s="1747"/>
      <c r="O16" s="1746"/>
      <c r="P16" s="1747"/>
      <c r="Q16" s="1746"/>
      <c r="R16" s="1747"/>
      <c r="S16" s="1746"/>
      <c r="T16" s="1747"/>
      <c r="V16" s="1732"/>
      <c r="W16" s="1732"/>
      <c r="X16" s="1733"/>
      <c r="Y16" s="1732"/>
      <c r="Z16" s="1672"/>
      <c r="AA16" s="1672"/>
      <c r="AB16" s="1743"/>
      <c r="AC16" s="1672"/>
    </row>
    <row r="17" spans="1:30" s="1726" customFormat="1" ht="17.25" customHeight="1" thickBot="1">
      <c r="A17" s="1727" t="s">
        <v>2479</v>
      </c>
      <c r="B17" s="1728"/>
      <c r="C17" s="1729"/>
      <c r="D17" s="1730"/>
      <c r="E17" s="1729"/>
      <c r="F17" s="1730"/>
      <c r="G17" s="1729"/>
      <c r="H17" s="1730"/>
      <c r="I17" s="1729"/>
      <c r="J17" s="1730"/>
      <c r="K17" s="1729"/>
      <c r="L17" s="1730"/>
      <c r="M17" s="1729"/>
      <c r="N17" s="1730"/>
      <c r="O17" s="1729"/>
      <c r="P17" s="1730"/>
      <c r="Q17" s="1729"/>
      <c r="R17" s="1730"/>
      <c r="S17" s="1729"/>
      <c r="T17" s="1730"/>
      <c r="V17" s="1748"/>
      <c r="W17" s="1732"/>
      <c r="X17" s="1733"/>
      <c r="Y17" s="1732"/>
      <c r="Z17" s="1672"/>
      <c r="AA17" s="1710"/>
      <c r="AB17" s="1712"/>
      <c r="AC17" s="1710"/>
    </row>
    <row r="18" spans="1:30" ht="14" thickBot="1">
      <c r="A18" s="1740" t="s">
        <v>2480</v>
      </c>
      <c r="B18" s="1728"/>
      <c r="C18" s="1741">
        <v>11739.7</v>
      </c>
      <c r="D18" s="1742">
        <v>12260.3</v>
      </c>
      <c r="E18" s="1741">
        <v>12798.7</v>
      </c>
      <c r="F18" s="1742">
        <v>13282.2</v>
      </c>
      <c r="G18" s="1741">
        <v>14059.1</v>
      </c>
      <c r="H18" s="1742">
        <v>14886.7</v>
      </c>
      <c r="I18" s="1741">
        <v>15483.3</v>
      </c>
      <c r="J18" s="1742">
        <v>16304.208000000002</v>
      </c>
      <c r="K18" s="1741">
        <v>17379.804</v>
      </c>
      <c r="L18" s="1742">
        <v>18272.676915579999</v>
      </c>
      <c r="M18" s="1741">
        <v>18616.168259350641</v>
      </c>
      <c r="N18" s="1742">
        <v>19476.572300669999</v>
      </c>
      <c r="O18" s="1741">
        <v>20552.327783749999</v>
      </c>
      <c r="P18" s="1742">
        <v>21382.792581599992</v>
      </c>
      <c r="Q18" s="1741">
        <v>22025.051492989991</v>
      </c>
      <c r="R18" s="1742">
        <v>22567.047601959992</v>
      </c>
      <c r="S18" s="1741">
        <v>24347.5</v>
      </c>
      <c r="T18" s="1742" t="s">
        <v>153</v>
      </c>
      <c r="V18" s="1739"/>
      <c r="W18" s="1749"/>
      <c r="X18" s="1733"/>
      <c r="Y18" s="1749"/>
      <c r="Z18" s="1690"/>
      <c r="AA18" s="1672"/>
      <c r="AB18" s="1743"/>
      <c r="AC18" s="1672"/>
    </row>
    <row r="19" spans="1:30" ht="15.75" customHeight="1" thickBot="1">
      <c r="A19" s="1740"/>
      <c r="B19" s="1728"/>
      <c r="C19" s="1746"/>
      <c r="D19" s="1747"/>
      <c r="E19" s="1746"/>
      <c r="F19" s="1747"/>
      <c r="G19" s="1746"/>
      <c r="H19" s="1747"/>
      <c r="I19" s="1746"/>
      <c r="J19" s="1747"/>
      <c r="K19" s="1746"/>
      <c r="L19" s="1747"/>
      <c r="M19" s="1746"/>
      <c r="N19" s="1747"/>
      <c r="O19" s="1746"/>
      <c r="P19" s="1747"/>
      <c r="Q19" s="1746"/>
      <c r="R19" s="1747"/>
      <c r="S19" s="1746"/>
      <c r="T19" s="1747"/>
      <c r="V19" s="1732"/>
      <c r="W19" s="1732"/>
      <c r="X19" s="1733"/>
      <c r="Y19" s="1732"/>
      <c r="Z19" s="1672"/>
      <c r="AA19" s="1672"/>
      <c r="AB19" s="1743"/>
      <c r="AC19" s="1672"/>
    </row>
    <row r="20" spans="1:30" s="1726" customFormat="1" ht="14" thickBot="1">
      <c r="A20" s="1727" t="s">
        <v>2481</v>
      </c>
      <c r="B20" s="1728"/>
      <c r="C20" s="1750">
        <v>4896.5</v>
      </c>
      <c r="D20" s="1751">
        <v>4463.4000000000005</v>
      </c>
      <c r="E20" s="1750">
        <v>4590.2</v>
      </c>
      <c r="F20" s="1751">
        <v>4331.8999999999996</v>
      </c>
      <c r="G20" s="1750">
        <v>4546.7</v>
      </c>
      <c r="H20" s="1751">
        <v>4699.8999999999996</v>
      </c>
      <c r="I20" s="1750">
        <v>4615.5</v>
      </c>
      <c r="J20" s="1751">
        <v>4477.9040000000005</v>
      </c>
      <c r="K20" s="1750">
        <v>4511.7479999999996</v>
      </c>
      <c r="L20" s="1751">
        <v>4674.7509002500001</v>
      </c>
      <c r="M20" s="1750">
        <v>4820.2721687900003</v>
      </c>
      <c r="N20" s="1751">
        <v>5090.8464520100015</v>
      </c>
      <c r="O20" s="1750">
        <v>5247.4394720000009</v>
      </c>
      <c r="P20" s="1751">
        <v>5384.151709929999</v>
      </c>
      <c r="Q20" s="1750">
        <v>5404.6559707300012</v>
      </c>
      <c r="R20" s="1751">
        <v>5536.3219024960008</v>
      </c>
      <c r="S20" s="1750">
        <v>4863.1000000000004</v>
      </c>
      <c r="T20" s="1751" t="s">
        <v>153</v>
      </c>
      <c r="V20" s="1739"/>
      <c r="W20" s="1748"/>
      <c r="X20" s="1748"/>
      <c r="Y20" s="1748"/>
      <c r="Z20" s="1710"/>
      <c r="AA20" s="1710"/>
      <c r="AB20" s="1712"/>
      <c r="AC20" s="1710"/>
    </row>
    <row r="21" spans="1:30" s="1726" customFormat="1" ht="16.5" customHeight="1" thickBot="1">
      <c r="A21" s="1740" t="s">
        <v>2482</v>
      </c>
      <c r="B21" s="1728"/>
      <c r="C21" s="1741">
        <v>4375.2</v>
      </c>
      <c r="D21" s="1742">
        <v>3892.3</v>
      </c>
      <c r="E21" s="1741">
        <v>4038.2</v>
      </c>
      <c r="F21" s="1742">
        <v>3415.2</v>
      </c>
      <c r="G21" s="1741">
        <v>2646.1</v>
      </c>
      <c r="H21" s="1742">
        <v>1875.9</v>
      </c>
      <c r="I21" s="1741">
        <v>1740.9</v>
      </c>
      <c r="J21" s="1742">
        <v>1645.404</v>
      </c>
      <c r="K21" s="1741">
        <v>1205.748</v>
      </c>
      <c r="L21" s="1742">
        <v>1392.2470854699995</v>
      </c>
      <c r="M21" s="1741">
        <v>1351.0005863899996</v>
      </c>
      <c r="N21" s="1742">
        <v>1445.5131748099991</v>
      </c>
      <c r="O21" s="1741">
        <v>1567.1814719999993</v>
      </c>
      <c r="P21" s="1742">
        <v>1593.5517099299991</v>
      </c>
      <c r="Q21" s="1741">
        <v>1559.7453327099993</v>
      </c>
      <c r="R21" s="1742">
        <v>1272.9336613599992</v>
      </c>
      <c r="S21" s="1741">
        <v>1318.6</v>
      </c>
      <c r="T21" s="1742" t="s">
        <v>153</v>
      </c>
      <c r="V21" s="1739"/>
      <c r="W21" s="1748"/>
      <c r="X21" s="1748"/>
      <c r="Y21" s="1733"/>
      <c r="Z21" s="1710"/>
      <c r="AA21" s="1710"/>
      <c r="AB21" s="1752"/>
      <c r="AC21" s="1710"/>
    </row>
    <row r="22" spans="1:30" s="1726" customFormat="1" ht="15.75" customHeight="1" thickBot="1">
      <c r="A22" s="1740" t="s">
        <v>2483</v>
      </c>
      <c r="B22" s="1728"/>
      <c r="C22" s="1741">
        <v>521.29999999999995</v>
      </c>
      <c r="D22" s="1742">
        <v>571.1</v>
      </c>
      <c r="E22" s="1741">
        <v>552</v>
      </c>
      <c r="F22" s="1742">
        <v>916.7</v>
      </c>
      <c r="G22" s="1741">
        <v>1900.6</v>
      </c>
      <c r="H22" s="1742">
        <v>2824</v>
      </c>
      <c r="I22" s="1741">
        <v>2874.6</v>
      </c>
      <c r="J22" s="1742">
        <v>2832.5</v>
      </c>
      <c r="K22" s="1741">
        <v>3306</v>
      </c>
      <c r="L22" s="1742">
        <v>3282.5038147800005</v>
      </c>
      <c r="M22" s="1741">
        <v>3469.2715824000006</v>
      </c>
      <c r="N22" s="1742">
        <v>3645.3332772000026</v>
      </c>
      <c r="O22" s="1741">
        <v>3680.2580000000016</v>
      </c>
      <c r="P22" s="1742">
        <v>3790.6</v>
      </c>
      <c r="Q22" s="1741">
        <v>3844.9106380200019</v>
      </c>
      <c r="R22" s="1742">
        <v>4263.3882411360019</v>
      </c>
      <c r="S22" s="1741">
        <v>3544.5</v>
      </c>
      <c r="T22" s="1742" t="s">
        <v>153</v>
      </c>
      <c r="V22" s="1739"/>
      <c r="W22" s="1748"/>
      <c r="X22" s="1733"/>
      <c r="Y22" s="1748"/>
      <c r="Z22" s="1710"/>
      <c r="AA22" s="1710"/>
      <c r="AB22" s="1752"/>
      <c r="AC22" s="1710"/>
    </row>
    <row r="23" spans="1:30" ht="14" thickBot="1">
      <c r="A23" s="1740"/>
      <c r="B23" s="1685"/>
      <c r="C23" s="1746"/>
      <c r="D23" s="1747"/>
      <c r="E23" s="1746"/>
      <c r="F23" s="1747"/>
      <c r="G23" s="1746"/>
      <c r="H23" s="1747"/>
      <c r="I23" s="1746"/>
      <c r="J23" s="1747"/>
      <c r="K23" s="1746"/>
      <c r="L23" s="1747"/>
      <c r="M23" s="1746"/>
      <c r="N23" s="1747"/>
      <c r="O23" s="1746"/>
      <c r="P23" s="1747"/>
      <c r="Q23" s="1746"/>
      <c r="R23" s="1747"/>
      <c r="S23" s="1746"/>
      <c r="T23" s="1747"/>
      <c r="V23" s="1732"/>
      <c r="W23" s="1732"/>
      <c r="X23" s="1733"/>
      <c r="Y23" s="1732"/>
      <c r="Z23" s="1672"/>
      <c r="AA23" s="1672"/>
      <c r="AB23" s="1743"/>
      <c r="AC23" s="1672"/>
    </row>
    <row r="24" spans="1:30" s="1726" customFormat="1" ht="14" thickBot="1">
      <c r="A24" s="1727" t="s">
        <v>2484</v>
      </c>
      <c r="B24" s="1728"/>
      <c r="C24" s="1721"/>
      <c r="D24" s="1722"/>
      <c r="E24" s="1721"/>
      <c r="F24" s="1722"/>
      <c r="G24" s="1721"/>
      <c r="H24" s="1722"/>
      <c r="I24" s="1721"/>
      <c r="J24" s="1722"/>
      <c r="K24" s="1721"/>
      <c r="L24" s="1722"/>
      <c r="M24" s="1721"/>
      <c r="N24" s="1722"/>
      <c r="O24" s="1721"/>
      <c r="P24" s="1722"/>
      <c r="Q24" s="1721"/>
      <c r="R24" s="1722"/>
      <c r="S24" s="1721"/>
      <c r="T24" s="1722"/>
      <c r="V24" s="1739"/>
      <c r="W24" s="1748"/>
      <c r="X24" s="1748"/>
      <c r="Y24" s="1748"/>
      <c r="Z24" s="1710"/>
      <c r="AA24" s="1710"/>
      <c r="AB24" s="1712"/>
      <c r="AC24" s="1710"/>
    </row>
    <row r="25" spans="1:30" ht="14" thickBot="1">
      <c r="A25" s="1740" t="s">
        <v>2485</v>
      </c>
      <c r="B25" s="1728"/>
      <c r="C25" s="1741">
        <v>1678.5</v>
      </c>
      <c r="D25" s="1742">
        <v>1778</v>
      </c>
      <c r="E25" s="1741">
        <v>2097.1999999999998</v>
      </c>
      <c r="F25" s="1742">
        <v>2189.9</v>
      </c>
      <c r="G25" s="1741">
        <v>2288</v>
      </c>
      <c r="H25" s="1742">
        <v>2400.1889999999999</v>
      </c>
      <c r="I25" s="1741">
        <v>2502.83</v>
      </c>
      <c r="J25" s="1742">
        <v>2588.5</v>
      </c>
      <c r="K25" s="1741">
        <v>2832.3</v>
      </c>
      <c r="L25" s="1742">
        <v>2994.9866096700002</v>
      </c>
      <c r="M25" s="1741">
        <v>3038.7113187199998</v>
      </c>
      <c r="N25" s="1742">
        <v>3155.0668707</v>
      </c>
      <c r="O25" s="1741">
        <v>3290.4542289599999</v>
      </c>
      <c r="P25" s="1742">
        <v>3382.4718481499999</v>
      </c>
      <c r="Q25" s="1741">
        <v>3408.7146446100001</v>
      </c>
      <c r="R25" s="1742">
        <v>3575.1042570199997</v>
      </c>
      <c r="S25" s="1741">
        <v>3705.2</v>
      </c>
      <c r="T25" s="1742" t="s">
        <v>153</v>
      </c>
      <c r="V25" s="1671"/>
      <c r="W25" s="1732"/>
      <c r="X25" s="1733"/>
      <c r="Y25" s="1732"/>
      <c r="Z25" s="1672"/>
      <c r="AA25" s="1672"/>
      <c r="AB25" s="1743"/>
      <c r="AC25" s="1672"/>
    </row>
    <row r="26" spans="1:30" ht="14" thickBot="1">
      <c r="A26" s="1740" t="s">
        <v>2486</v>
      </c>
      <c r="B26" s="1728"/>
      <c r="C26" s="1741">
        <v>92.3</v>
      </c>
      <c r="D26" s="1742">
        <v>106.4</v>
      </c>
      <c r="E26" s="1741">
        <v>57.8</v>
      </c>
      <c r="F26" s="1742">
        <v>59.7</v>
      </c>
      <c r="G26" s="1741">
        <v>55.1</v>
      </c>
      <c r="H26" s="1742">
        <v>28.06</v>
      </c>
      <c r="I26" s="1741">
        <v>38.17</v>
      </c>
      <c r="J26" s="1742">
        <v>39</v>
      </c>
      <c r="K26" s="1741">
        <v>35.9</v>
      </c>
      <c r="L26" s="1742">
        <v>36.691305870000001</v>
      </c>
      <c r="M26" s="1741">
        <v>42.792587509999997</v>
      </c>
      <c r="N26" s="1742">
        <v>45.914382520000004</v>
      </c>
      <c r="O26" s="1741">
        <v>47.179055349999999</v>
      </c>
      <c r="P26" s="1742">
        <v>43.52313178</v>
      </c>
      <c r="Q26" s="1741">
        <v>41.799594509999999</v>
      </c>
      <c r="R26" s="1742">
        <v>37.909190549999998</v>
      </c>
      <c r="S26" s="1741">
        <v>41.8</v>
      </c>
      <c r="T26" s="1742" t="s">
        <v>153</v>
      </c>
      <c r="V26" s="1671"/>
      <c r="W26" s="1732"/>
      <c r="X26" s="1733"/>
      <c r="Y26" s="1732"/>
      <c r="Z26" s="1672"/>
      <c r="AA26" s="1672"/>
      <c r="AB26" s="1743"/>
      <c r="AC26" s="1672"/>
    </row>
    <row r="27" spans="1:30" ht="14" thickBot="1">
      <c r="A27" s="1740"/>
      <c r="B27" s="1685"/>
      <c r="C27" s="1741"/>
      <c r="D27" s="1742"/>
      <c r="E27" s="1741"/>
      <c r="F27" s="1742"/>
      <c r="G27" s="1741"/>
      <c r="H27" s="1742"/>
      <c r="I27" s="1741"/>
      <c r="J27" s="1742"/>
      <c r="K27" s="1741"/>
      <c r="L27" s="1742"/>
      <c r="M27" s="1741"/>
      <c r="N27" s="1742"/>
      <c r="O27" s="1741"/>
      <c r="P27" s="1742"/>
      <c r="Q27" s="1741"/>
      <c r="R27" s="1742"/>
      <c r="S27" s="1741"/>
      <c r="T27" s="1742"/>
      <c r="V27" s="1732"/>
      <c r="W27" s="1732"/>
      <c r="X27" s="1733"/>
      <c r="Y27" s="1732"/>
      <c r="Z27" s="1672"/>
      <c r="AA27" s="1672"/>
      <c r="AB27" s="1743"/>
      <c r="AC27" s="1672"/>
    </row>
    <row r="28" spans="1:30" ht="17.25" customHeight="1" thickBot="1">
      <c r="A28" s="1727" t="s">
        <v>2487</v>
      </c>
      <c r="B28" s="1728"/>
      <c r="C28" s="1721">
        <v>360.34572496402706</v>
      </c>
      <c r="D28" s="1722">
        <v>367.4485025408178</v>
      </c>
      <c r="E28" s="1721">
        <v>375.28251008174271</v>
      </c>
      <c r="F28" s="1722">
        <v>388.70889016736163</v>
      </c>
      <c r="G28" s="1721">
        <v>420.16510495683008</v>
      </c>
      <c r="H28" s="1722">
        <v>442.73533222173643</v>
      </c>
      <c r="I28" s="1721">
        <v>456.31192849787288</v>
      </c>
      <c r="J28" s="1722">
        <v>462.16066224325613</v>
      </c>
      <c r="K28" s="1721">
        <v>460.54510480676197</v>
      </c>
      <c r="L28" s="1722">
        <v>480.96670935903251</v>
      </c>
      <c r="M28" s="1721">
        <v>500.28122327763629</v>
      </c>
      <c r="N28" s="1722">
        <v>535.48298288401816</v>
      </c>
      <c r="O28" s="1721">
        <v>600.9</v>
      </c>
      <c r="P28" s="1722">
        <v>589.40634856941779</v>
      </c>
      <c r="Q28" s="1721">
        <v>619.9388180696119</v>
      </c>
      <c r="R28" s="1722">
        <v>602.71525309567551</v>
      </c>
      <c r="S28" s="1721">
        <v>662</v>
      </c>
      <c r="T28" s="1722" t="s">
        <v>153</v>
      </c>
      <c r="V28" s="1671"/>
      <c r="W28" s="1732"/>
      <c r="X28" s="1733"/>
      <c r="Y28" s="1732"/>
      <c r="Z28" s="1672"/>
      <c r="AA28" s="1672"/>
      <c r="AB28" s="1712"/>
      <c r="AC28" s="1672"/>
    </row>
    <row r="29" spans="1:30" ht="12.75" customHeight="1" thickBot="1">
      <c r="A29" s="1727"/>
      <c r="B29" s="1753"/>
      <c r="C29" s="1717"/>
      <c r="D29" s="1718"/>
      <c r="E29" s="1754"/>
      <c r="F29" s="1755"/>
      <c r="G29" s="1754"/>
      <c r="H29" s="1755"/>
      <c r="I29" s="1754"/>
      <c r="J29" s="1755"/>
      <c r="K29" s="1754"/>
      <c r="L29" s="1755"/>
      <c r="M29" s="1754"/>
      <c r="N29" s="1755"/>
      <c r="O29" s="1754"/>
      <c r="P29" s="1755"/>
      <c r="Q29" s="1754"/>
      <c r="R29" s="1755"/>
      <c r="S29" s="1754"/>
      <c r="T29" s="1755"/>
      <c r="V29" s="1732"/>
      <c r="W29" s="1732"/>
      <c r="X29" s="1732"/>
      <c r="Y29" s="1732"/>
      <c r="Z29" s="1672"/>
      <c r="AA29" s="1672"/>
      <c r="AB29" s="1725"/>
      <c r="AC29" s="1672"/>
    </row>
    <row r="30" spans="1:30" s="1726" customFormat="1" ht="16" thickBot="1">
      <c r="A30" s="1713" t="s">
        <v>2488</v>
      </c>
      <c r="B30" s="1728"/>
      <c r="C30" s="1756">
        <v>12724.589778739028</v>
      </c>
      <c r="D30" s="1720">
        <v>13313.827425026169</v>
      </c>
      <c r="E30" s="1756">
        <v>13906.790372377538</v>
      </c>
      <c r="F30" s="1720">
        <v>14579.196248113234</v>
      </c>
      <c r="G30" s="1756">
        <v>15012.911023160248</v>
      </c>
      <c r="H30" s="1720">
        <v>15480.114638957686</v>
      </c>
      <c r="I30" s="1756">
        <v>15863.011402045904</v>
      </c>
      <c r="J30" s="1720">
        <v>16615.285493466428</v>
      </c>
      <c r="K30" s="1756">
        <v>17154.695212968756</v>
      </c>
      <c r="L30" s="1720">
        <v>16878.150987015477</v>
      </c>
      <c r="M30" s="1756">
        <v>17218.578970896924</v>
      </c>
      <c r="N30" s="1720">
        <v>17950.217333559493</v>
      </c>
      <c r="O30" s="1756">
        <v>17794.889129784067</v>
      </c>
      <c r="P30" s="1720">
        <v>18385.877665555956</v>
      </c>
      <c r="Q30" s="1756">
        <v>19151.788976409454</v>
      </c>
      <c r="R30" s="1720">
        <v>19679.904994780929</v>
      </c>
      <c r="S30" s="1756">
        <v>20566.799999999996</v>
      </c>
      <c r="T30" s="1720" t="s">
        <v>153</v>
      </c>
      <c r="V30" s="1739"/>
      <c r="W30" s="1748"/>
      <c r="X30" s="1748"/>
      <c r="Y30" s="1748"/>
      <c r="Z30" s="1710"/>
      <c r="AA30" s="1710"/>
      <c r="AB30" s="1712"/>
      <c r="AC30" s="1710"/>
    </row>
    <row r="31" spans="1:30" ht="13.25" customHeight="1" thickBot="1">
      <c r="A31" s="1705"/>
      <c r="B31" s="1706"/>
      <c r="C31" s="1707"/>
      <c r="D31" s="1707"/>
      <c r="E31" s="1707"/>
      <c r="F31" s="1707"/>
      <c r="G31" s="1707"/>
      <c r="H31" s="1707"/>
      <c r="I31" s="1707"/>
      <c r="J31" s="1707"/>
      <c r="K31" s="1707"/>
      <c r="L31" s="1707"/>
      <c r="M31" s="1707"/>
      <c r="N31" s="1707"/>
      <c r="O31" s="1708"/>
      <c r="P31" s="1707"/>
      <c r="Q31" s="1708"/>
      <c r="R31" s="1707"/>
      <c r="S31" s="1708"/>
      <c r="T31" s="1707"/>
      <c r="V31" s="1748"/>
      <c r="W31" s="1724"/>
      <c r="X31" s="1733"/>
      <c r="Y31" s="1724"/>
      <c r="Z31" s="1680"/>
      <c r="AA31" s="1672"/>
      <c r="AB31" s="1712"/>
      <c r="AC31" s="1683"/>
      <c r="AD31" s="1684"/>
    </row>
    <row r="32" spans="1:30" ht="18" customHeight="1" thickBot="1">
      <c r="A32" s="1713" t="s">
        <v>2489</v>
      </c>
      <c r="B32" s="1714"/>
      <c r="C32" s="1707"/>
      <c r="D32" s="1707"/>
      <c r="E32" s="1707"/>
      <c r="F32" s="1707"/>
      <c r="G32" s="1707"/>
      <c r="H32" s="1707"/>
      <c r="I32" s="1707"/>
      <c r="J32" s="1707"/>
      <c r="K32" s="1707"/>
      <c r="L32" s="1707"/>
      <c r="M32" s="1707"/>
      <c r="N32" s="1707"/>
      <c r="O32" s="1708"/>
      <c r="P32" s="1707"/>
      <c r="Q32" s="1708"/>
      <c r="R32" s="1707"/>
      <c r="S32" s="1708"/>
      <c r="T32" s="1707"/>
      <c r="V32" s="1748"/>
      <c r="W32" s="1724"/>
      <c r="X32" s="1733"/>
      <c r="Y32" s="1724"/>
      <c r="Z32" s="1680"/>
      <c r="AA32" s="1672"/>
      <c r="AB32" s="1712"/>
      <c r="AC32" s="1683"/>
      <c r="AD32" s="1684"/>
    </row>
    <row r="33" spans="1:31" ht="9" customHeight="1" thickBot="1">
      <c r="A33" s="1705"/>
      <c r="B33" s="1706"/>
      <c r="C33" s="1707"/>
      <c r="D33" s="1707"/>
      <c r="E33" s="1707"/>
      <c r="F33" s="1707"/>
      <c r="G33" s="1707"/>
      <c r="H33" s="1707"/>
      <c r="I33" s="1707"/>
      <c r="J33" s="1707"/>
      <c r="K33" s="1707"/>
      <c r="L33" s="1707"/>
      <c r="M33" s="1707"/>
      <c r="N33" s="1707"/>
      <c r="O33" s="1708"/>
      <c r="P33" s="1707"/>
      <c r="Q33" s="1708"/>
      <c r="R33" s="1707"/>
      <c r="S33" s="1708"/>
      <c r="T33" s="1707"/>
      <c r="V33" s="1748"/>
      <c r="W33" s="1724"/>
      <c r="X33" s="1733"/>
      <c r="Y33" s="1724"/>
      <c r="Z33" s="1680"/>
      <c r="AA33" s="1672"/>
      <c r="AB33" s="1712"/>
      <c r="AC33" s="1683"/>
      <c r="AD33" s="1684"/>
    </row>
    <row r="34" spans="1:31" s="1668" customFormat="1" ht="18" customHeight="1" thickBot="1">
      <c r="A34" s="1757" t="s">
        <v>2490</v>
      </c>
      <c r="B34" s="1727"/>
      <c r="C34" s="1750">
        <v>16013.063153744108</v>
      </c>
      <c r="D34" s="1751">
        <v>16937.3</v>
      </c>
      <c r="E34" s="1750">
        <v>17695.3</v>
      </c>
      <c r="F34" s="1758">
        <v>17814.400000000001</v>
      </c>
      <c r="G34" s="1759">
        <v>18507</v>
      </c>
      <c r="H34" s="1758">
        <v>19132.150000000001</v>
      </c>
      <c r="I34" s="1759">
        <v>20686.975043999999</v>
      </c>
      <c r="J34" s="1758">
        <v>22048.513701</v>
      </c>
      <c r="K34" s="1759">
        <v>23360.39678399</v>
      </c>
      <c r="L34" s="1758">
        <v>23865.649597220003</v>
      </c>
      <c r="M34" s="1759">
        <v>24817.983544449999</v>
      </c>
      <c r="N34" s="1758">
        <v>25247.301839669999</v>
      </c>
      <c r="O34" s="1759">
        <v>25543.38584368</v>
      </c>
      <c r="P34" s="1758">
        <v>25752.822451619999</v>
      </c>
      <c r="Q34" s="1759">
        <v>27979.759926830004</v>
      </c>
      <c r="R34" s="1758">
        <v>29826.624212180002</v>
      </c>
      <c r="S34" s="1759">
        <v>30725.588059700007</v>
      </c>
      <c r="T34" s="1758">
        <v>31387.717785000001</v>
      </c>
      <c r="V34" s="1760"/>
      <c r="W34" s="1761"/>
      <c r="X34" s="1762"/>
      <c r="Y34" s="1761"/>
      <c r="Z34" s="1763"/>
      <c r="AA34" s="1763"/>
      <c r="AB34" s="1764"/>
      <c r="AC34" s="1763"/>
    </row>
    <row r="35" spans="1:31" ht="15" customHeight="1" thickBot="1">
      <c r="A35" s="1728"/>
      <c r="B35" s="1753" t="s">
        <v>2491</v>
      </c>
      <c r="C35" s="1765">
        <v>11035.2</v>
      </c>
      <c r="D35" s="1766">
        <v>11924.8</v>
      </c>
      <c r="E35" s="1765">
        <v>12604.2</v>
      </c>
      <c r="F35" s="1766">
        <v>12949.5</v>
      </c>
      <c r="G35" s="1765">
        <v>13346.7</v>
      </c>
      <c r="H35" s="1766">
        <v>13954.7</v>
      </c>
      <c r="I35" s="1765">
        <v>15296.16</v>
      </c>
      <c r="J35" s="1766">
        <v>16759.707467</v>
      </c>
      <c r="K35" s="1765">
        <v>17979.586842000001</v>
      </c>
      <c r="L35" s="1766">
        <v>18442.676721830001</v>
      </c>
      <c r="M35" s="1765">
        <v>19234.85838514</v>
      </c>
      <c r="N35" s="1766">
        <v>19629.610287169999</v>
      </c>
      <c r="O35" s="1765">
        <v>19621.43996068</v>
      </c>
      <c r="P35" s="1766">
        <v>20057.64279962</v>
      </c>
      <c r="Q35" s="1765">
        <v>21955.717553830003</v>
      </c>
      <c r="R35" s="1766">
        <v>23513.73191518</v>
      </c>
      <c r="S35" s="1765" vm="553">
        <v>24303.676293700006</v>
      </c>
      <c r="T35" s="1766">
        <v>24871.730144999998</v>
      </c>
      <c r="V35" s="1671"/>
      <c r="W35" s="1732"/>
      <c r="X35" s="1748"/>
      <c r="Y35" s="1732"/>
      <c r="Z35" s="1672"/>
      <c r="AA35" s="1672"/>
      <c r="AB35" s="1767"/>
      <c r="AC35" s="1768"/>
    </row>
    <row r="36" spans="1:31" ht="14.25" customHeight="1" thickBot="1">
      <c r="A36" s="1728"/>
      <c r="B36" s="1753" t="s">
        <v>2492</v>
      </c>
      <c r="C36" s="1765">
        <v>4337.5</v>
      </c>
      <c r="D36" s="1766">
        <v>4410.6000000000004</v>
      </c>
      <c r="E36" s="1765">
        <v>4453.3</v>
      </c>
      <c r="F36" s="1766">
        <v>3766.7</v>
      </c>
      <c r="G36" s="1765">
        <v>2917.4</v>
      </c>
      <c r="H36" s="1766">
        <v>1986.99</v>
      </c>
      <c r="I36" s="1765">
        <v>1958.4404729999999</v>
      </c>
      <c r="J36" s="1766">
        <v>1882.6076640000001</v>
      </c>
      <c r="K36" s="1765">
        <v>1358.7895999899999</v>
      </c>
      <c r="L36" s="1766">
        <v>1397.6693543900001</v>
      </c>
      <c r="M36" s="1765">
        <v>1384.0624223099999</v>
      </c>
      <c r="N36" s="1766">
        <v>1410.6232075</v>
      </c>
      <c r="O36" s="1765">
        <v>1412.4505677400002</v>
      </c>
      <c r="P36" s="1769">
        <v>1381.60592514</v>
      </c>
      <c r="Q36" s="1765">
        <v>1442.6310089400001</v>
      </c>
      <c r="R36" s="1769">
        <v>1273.43894946</v>
      </c>
      <c r="S36" s="1765" vm="555">
        <v>1409.6364930300003</v>
      </c>
      <c r="T36" s="1769">
        <v>978.17932146999976</v>
      </c>
      <c r="V36" s="1671"/>
      <c r="W36" s="1732"/>
      <c r="X36" s="1732"/>
      <c r="Y36" s="1732"/>
      <c r="Z36" s="1672"/>
      <c r="AA36" s="1672"/>
      <c r="AB36" s="1767"/>
      <c r="AC36" s="1672"/>
    </row>
    <row r="37" spans="1:31" ht="15" customHeight="1" thickBot="1">
      <c r="A37" s="1728"/>
      <c r="B37" s="1753" t="s">
        <v>2493</v>
      </c>
      <c r="C37" s="1765">
        <v>640.36315374410731</v>
      </c>
      <c r="D37" s="1766">
        <v>601.9</v>
      </c>
      <c r="E37" s="1765">
        <v>637.79999999999995</v>
      </c>
      <c r="F37" s="1766">
        <v>1098.2</v>
      </c>
      <c r="G37" s="1765">
        <v>2242.9</v>
      </c>
      <c r="H37" s="1766">
        <v>3190.46</v>
      </c>
      <c r="I37" s="1765">
        <v>3432.3745709999994</v>
      </c>
      <c r="J37" s="1766">
        <v>3406.1985699999996</v>
      </c>
      <c r="K37" s="1765">
        <v>4022.0203419999989</v>
      </c>
      <c r="L37" s="1766">
        <v>4025.3035210000007</v>
      </c>
      <c r="M37" s="1765">
        <v>4199.0627370000002</v>
      </c>
      <c r="N37" s="1766">
        <v>4207.0683449999997</v>
      </c>
      <c r="O37" s="1765">
        <v>4509.4953152600001</v>
      </c>
      <c r="P37" s="1769">
        <v>4313.5737268599996</v>
      </c>
      <c r="Q37" s="1765">
        <v>4581.4113640599999</v>
      </c>
      <c r="R37" s="1769">
        <v>5039.4533475400003</v>
      </c>
      <c r="S37" s="1765">
        <v>5012.2752729699996</v>
      </c>
      <c r="T37" s="1769">
        <v>5537.8083185300002</v>
      </c>
      <c r="V37" s="1671"/>
      <c r="W37" s="1732"/>
      <c r="X37" s="1732"/>
      <c r="Y37" s="1732"/>
      <c r="Z37" s="1672"/>
      <c r="AA37" s="1672"/>
      <c r="AB37" s="1767"/>
      <c r="AC37" s="1672"/>
    </row>
    <row r="38" spans="1:31" ht="11.25" customHeight="1" thickBot="1">
      <c r="A38" s="1728"/>
      <c r="B38" s="1728"/>
      <c r="C38" s="1754"/>
      <c r="D38" s="1755"/>
      <c r="E38" s="1754"/>
      <c r="F38" s="1755"/>
      <c r="G38" s="1754"/>
      <c r="H38" s="1755"/>
      <c r="I38" s="1754"/>
      <c r="J38" s="1755"/>
      <c r="K38" s="1754"/>
      <c r="L38" s="1755"/>
      <c r="M38" s="1754"/>
      <c r="N38" s="1755"/>
      <c r="O38" s="1754"/>
      <c r="P38" s="1755"/>
      <c r="Q38" s="1754"/>
      <c r="R38" s="1755"/>
      <c r="S38" s="1754"/>
      <c r="T38" s="1755"/>
      <c r="V38" s="1732"/>
      <c r="W38" s="1732"/>
      <c r="X38" s="1732"/>
      <c r="Y38" s="1732"/>
      <c r="Z38" s="1672"/>
      <c r="AA38" s="1672"/>
      <c r="AB38" s="1725"/>
      <c r="AC38" s="1672"/>
    </row>
    <row r="39" spans="1:31" s="1668" customFormat="1" ht="18" customHeight="1" thickBot="1">
      <c r="A39" s="1757" t="s">
        <v>2494</v>
      </c>
      <c r="B39" s="1727"/>
      <c r="C39" s="1750">
        <v>15102.804354694834</v>
      </c>
      <c r="D39" s="1751">
        <v>15124.699999999999</v>
      </c>
      <c r="E39" s="1750">
        <v>15686.5</v>
      </c>
      <c r="F39" s="1758">
        <v>15981.6</v>
      </c>
      <c r="G39" s="1759">
        <v>16973.2</v>
      </c>
      <c r="H39" s="1758">
        <v>17916.27</v>
      </c>
      <c r="I39" s="1759">
        <v>18410.553496</v>
      </c>
      <c r="J39" s="1758">
        <v>19050.633227000002</v>
      </c>
      <c r="K39" s="1759">
        <v>20102.942228620002</v>
      </c>
      <c r="L39" s="1758">
        <v>21309.873442980002</v>
      </c>
      <c r="M39" s="1759">
        <v>21538.251839210003</v>
      </c>
      <c r="N39" s="1758">
        <v>22631.527031209996</v>
      </c>
      <c r="O39" s="1759">
        <v>23800.904075779996</v>
      </c>
      <c r="P39" s="1758">
        <v>24661.917405919998</v>
      </c>
      <c r="Q39" s="1759">
        <v>25369.419981530002</v>
      </c>
      <c r="R39" s="1758">
        <v>26006.848310950001</v>
      </c>
      <c r="S39" s="1759">
        <v>26227.790702449998</v>
      </c>
      <c r="T39" s="1758">
        <v>28277.30150288</v>
      </c>
      <c r="V39" s="1760"/>
      <c r="W39" s="1761"/>
      <c r="X39" s="1762"/>
      <c r="Y39" s="1761"/>
      <c r="Z39" s="1763"/>
      <c r="AA39" s="1763"/>
      <c r="AB39" s="1764"/>
      <c r="AC39" s="1763"/>
    </row>
    <row r="40" spans="1:31" ht="15" customHeight="1" thickBot="1">
      <c r="A40" s="1728"/>
      <c r="B40" s="1753" t="s">
        <v>2491</v>
      </c>
      <c r="C40" s="1765">
        <v>10780.5</v>
      </c>
      <c r="D40" s="1766">
        <v>11360.5</v>
      </c>
      <c r="E40" s="1765">
        <v>11926.9</v>
      </c>
      <c r="F40" s="1766">
        <v>12430.6</v>
      </c>
      <c r="G40" s="1765">
        <v>13190.3</v>
      </c>
      <c r="H40" s="1766">
        <v>13986.27</v>
      </c>
      <c r="I40" s="1765">
        <v>14592.75</v>
      </c>
      <c r="J40" s="1766">
        <v>15335.619704000001</v>
      </c>
      <c r="K40" s="1765">
        <v>16307.508545000001</v>
      </c>
      <c r="L40" s="1766">
        <v>17352.720037080002</v>
      </c>
      <c r="M40" s="1765">
        <v>17563.915602790003</v>
      </c>
      <c r="N40" s="1766">
        <v>18423.621994609999</v>
      </c>
      <c r="O40" s="1765">
        <v>19431.457254779998</v>
      </c>
      <c r="P40" s="1766">
        <v>20273.850593919997</v>
      </c>
      <c r="Q40" s="1765">
        <v>20883.74693053</v>
      </c>
      <c r="R40" s="1766">
        <v>21356.405837950002</v>
      </c>
      <c r="S40" s="1765">
        <v>22195.991088449999</v>
      </c>
      <c r="T40" s="1766">
        <v>24031.42223688</v>
      </c>
      <c r="V40" s="1671"/>
      <c r="W40" s="1732"/>
      <c r="X40" s="1748"/>
      <c r="Y40" s="1732"/>
      <c r="Z40" s="1672"/>
      <c r="AA40" s="1672"/>
      <c r="AB40" s="1767"/>
      <c r="AC40" s="1768"/>
    </row>
    <row r="41" spans="1:31" ht="14.25" customHeight="1" thickBot="1">
      <c r="A41" s="1728"/>
      <c r="B41" s="1753" t="s">
        <v>2492</v>
      </c>
      <c r="C41" s="1765">
        <v>3809.6285714248806</v>
      </c>
      <c r="D41" s="1766">
        <v>3288.3</v>
      </c>
      <c r="E41" s="1765">
        <v>3299.5</v>
      </c>
      <c r="F41" s="1766">
        <v>2787.1</v>
      </c>
      <c r="G41" s="1765">
        <v>2199.1</v>
      </c>
      <c r="H41" s="1766">
        <v>1576.7</v>
      </c>
      <c r="I41" s="1765">
        <v>1422.34175</v>
      </c>
      <c r="J41" s="1766">
        <v>1354.5729260000001</v>
      </c>
      <c r="K41" s="1765">
        <v>1040.45917962</v>
      </c>
      <c r="L41" s="1766">
        <v>1144.4166189</v>
      </c>
      <c r="M41" s="1765">
        <v>1083.2765844199998</v>
      </c>
      <c r="N41" s="1766">
        <v>1170.1273056000002</v>
      </c>
      <c r="O41" s="1765">
        <v>1241.37670198</v>
      </c>
      <c r="P41" s="1769">
        <v>1229.2542896300001</v>
      </c>
      <c r="Q41" s="1765">
        <v>1281.58085265</v>
      </c>
      <c r="R41" s="1769">
        <v>979.24089520000007</v>
      </c>
      <c r="S41" s="1765" vm="554">
        <v>1078.0633512200002</v>
      </c>
      <c r="T41" s="1769">
        <v>850.15512042999978</v>
      </c>
      <c r="V41" s="1671"/>
      <c r="W41" s="1732"/>
      <c r="X41" s="1732"/>
      <c r="Y41" s="1732"/>
      <c r="Z41" s="1672"/>
      <c r="AA41" s="1672"/>
      <c r="AB41" s="1767"/>
      <c r="AC41" s="1672"/>
    </row>
    <row r="42" spans="1:31" ht="15" customHeight="1" thickBot="1">
      <c r="A42" s="1728"/>
      <c r="B42" s="1753" t="s">
        <v>2493</v>
      </c>
      <c r="C42" s="1765">
        <v>512.67578326995283</v>
      </c>
      <c r="D42" s="1766">
        <v>475.9</v>
      </c>
      <c r="E42" s="1765">
        <v>460.1</v>
      </c>
      <c r="F42" s="1766">
        <v>763.9</v>
      </c>
      <c r="G42" s="1765">
        <v>1583.8</v>
      </c>
      <c r="H42" s="1766">
        <v>2353.3000000000002</v>
      </c>
      <c r="I42" s="1765">
        <v>2395.4617459999999</v>
      </c>
      <c r="J42" s="1766">
        <v>2360.4405969999998</v>
      </c>
      <c r="K42" s="1765">
        <v>2754.9745040000003</v>
      </c>
      <c r="L42" s="1766">
        <v>2812.7367870000003</v>
      </c>
      <c r="M42" s="1765">
        <v>2891.0596519999999</v>
      </c>
      <c r="N42" s="1766">
        <v>3037.7777310000001</v>
      </c>
      <c r="O42" s="1765">
        <v>3128.0701190199998</v>
      </c>
      <c r="P42" s="1769">
        <v>3158.8125223699999</v>
      </c>
      <c r="Q42" s="1765">
        <v>3204.0921983499998</v>
      </c>
      <c r="R42" s="1769">
        <v>3671.2015778</v>
      </c>
      <c r="S42" s="1765">
        <v>2953.7362627799998</v>
      </c>
      <c r="T42" s="1769">
        <v>3395.72414557</v>
      </c>
      <c r="V42" s="1671"/>
      <c r="W42" s="1732"/>
      <c r="X42" s="1732"/>
      <c r="Y42" s="1732"/>
      <c r="Z42" s="1672"/>
      <c r="AA42" s="1672"/>
      <c r="AB42" s="1767"/>
      <c r="AC42" s="1672"/>
    </row>
    <row r="43" spans="1:31" ht="11.25" customHeight="1" thickBot="1">
      <c r="A43" s="1728"/>
      <c r="B43" s="1728"/>
      <c r="C43" s="1754"/>
      <c r="D43" s="1755"/>
      <c r="E43" s="1754"/>
      <c r="F43" s="1755"/>
      <c r="G43" s="1754"/>
      <c r="H43" s="1755"/>
      <c r="I43" s="1754"/>
      <c r="J43" s="1755"/>
      <c r="K43" s="1754"/>
      <c r="L43" s="1755"/>
      <c r="M43" s="1754"/>
      <c r="N43" s="1755"/>
      <c r="O43" s="1754"/>
      <c r="P43" s="1755"/>
      <c r="Q43" s="1754"/>
      <c r="R43" s="1755"/>
      <c r="S43" s="1754"/>
      <c r="T43" s="1755"/>
      <c r="V43" s="1732"/>
      <c r="W43" s="1732"/>
      <c r="X43" s="1732"/>
      <c r="Y43" s="1732"/>
      <c r="Z43" s="1672"/>
      <c r="AA43" s="1672"/>
      <c r="AB43" s="1725"/>
      <c r="AC43" s="1672"/>
    </row>
    <row r="44" spans="1:31" s="1668" customFormat="1" ht="18" customHeight="1" thickBot="1">
      <c r="A44" s="1757" t="s">
        <v>2495</v>
      </c>
      <c r="B44" s="1727"/>
      <c r="C44" s="1750">
        <v>1770.8</v>
      </c>
      <c r="D44" s="1751">
        <v>1884.4</v>
      </c>
      <c r="E44" s="1750">
        <v>2155</v>
      </c>
      <c r="F44" s="1758">
        <v>2249.6</v>
      </c>
      <c r="G44" s="1759">
        <v>2343.1</v>
      </c>
      <c r="H44" s="1758">
        <v>2428.2489999999998</v>
      </c>
      <c r="I44" s="1759">
        <v>2541</v>
      </c>
      <c r="J44" s="1758">
        <v>2627.5</v>
      </c>
      <c r="K44" s="1759">
        <v>2868.2000000000003</v>
      </c>
      <c r="L44" s="1758">
        <v>3031.6779155400004</v>
      </c>
      <c r="M44" s="1759">
        <v>3081.5039062299998</v>
      </c>
      <c r="N44" s="1758">
        <v>3200.9812532199999</v>
      </c>
      <c r="O44" s="1759">
        <v>3337.6332843099999</v>
      </c>
      <c r="P44" s="1758">
        <v>3425.9949799299998</v>
      </c>
      <c r="Q44" s="1759">
        <v>3450.5142391200002</v>
      </c>
      <c r="R44" s="1758">
        <v>3613.0134475700002</v>
      </c>
      <c r="S44" s="1759">
        <v>3756.1376600299991</v>
      </c>
      <c r="T44" s="1758">
        <v>3941.9821329500001</v>
      </c>
      <c r="V44" s="1760"/>
      <c r="W44" s="1770"/>
      <c r="X44" s="1762"/>
      <c r="Y44" s="1770"/>
      <c r="Z44" s="1763"/>
      <c r="AA44" s="1763"/>
      <c r="AB44" s="1764"/>
      <c r="AC44" s="1763"/>
      <c r="AE44" s="1667"/>
    </row>
    <row r="45" spans="1:31" ht="13.5" customHeight="1" thickBot="1">
      <c r="A45" s="1728"/>
      <c r="B45" s="1753" t="s">
        <v>2496</v>
      </c>
      <c r="C45" s="1771">
        <v>1678.5</v>
      </c>
      <c r="D45" s="1772">
        <v>1778</v>
      </c>
      <c r="E45" s="1771">
        <v>2097.1999999999998</v>
      </c>
      <c r="F45" s="1772">
        <v>2189.9</v>
      </c>
      <c r="G45" s="1771">
        <v>2288</v>
      </c>
      <c r="H45" s="1772">
        <v>2400.1889999999999</v>
      </c>
      <c r="I45" s="1771">
        <v>2502.83</v>
      </c>
      <c r="J45" s="1772">
        <v>2588.5</v>
      </c>
      <c r="K45" s="1771">
        <v>2832.3</v>
      </c>
      <c r="L45" s="1772">
        <v>2994.9866096700002</v>
      </c>
      <c r="M45" s="1771">
        <v>3038.7113187199998</v>
      </c>
      <c r="N45" s="1772">
        <v>3155.0668707</v>
      </c>
      <c r="O45" s="1771">
        <v>3290.4542289599999</v>
      </c>
      <c r="P45" s="1773">
        <v>3382.4718481499999</v>
      </c>
      <c r="Q45" s="1771">
        <v>3408.7146446100001</v>
      </c>
      <c r="R45" s="1773">
        <v>3575.1042570200002</v>
      </c>
      <c r="S45" s="1771">
        <v>3705.2372038999993</v>
      </c>
      <c r="T45" s="1773">
        <v>3895.0676720400002</v>
      </c>
      <c r="V45" s="1671"/>
      <c r="W45" s="1732"/>
      <c r="X45" s="1732"/>
      <c r="Y45" s="1732"/>
      <c r="Z45" s="1672"/>
      <c r="AA45" s="1672"/>
      <c r="AB45" s="1774"/>
      <c r="AC45" s="1768"/>
      <c r="AD45" s="1671"/>
      <c r="AE45" s="1775"/>
    </row>
    <row r="46" spans="1:31" ht="13.5" customHeight="1" thickBot="1">
      <c r="A46" s="1728"/>
      <c r="B46" s="1753" t="s">
        <v>2497</v>
      </c>
      <c r="C46" s="1771">
        <v>92.3</v>
      </c>
      <c r="D46" s="1772">
        <v>106.4</v>
      </c>
      <c r="E46" s="1771">
        <v>57.8</v>
      </c>
      <c r="F46" s="1772">
        <v>59.7</v>
      </c>
      <c r="G46" s="1771">
        <v>55.1</v>
      </c>
      <c r="H46" s="1772">
        <v>28.06</v>
      </c>
      <c r="I46" s="1771">
        <v>38.17</v>
      </c>
      <c r="J46" s="1772">
        <v>39</v>
      </c>
      <c r="K46" s="1771">
        <v>35.9</v>
      </c>
      <c r="L46" s="1772">
        <v>36.691305870000001</v>
      </c>
      <c r="M46" s="1771">
        <v>42.792587509999997</v>
      </c>
      <c r="N46" s="1772">
        <v>45.914382520000004</v>
      </c>
      <c r="O46" s="1771">
        <v>47.179055349999999</v>
      </c>
      <c r="P46" s="1773">
        <v>43.52313178</v>
      </c>
      <c r="Q46" s="1771">
        <v>41.799594509999999</v>
      </c>
      <c r="R46" s="1773">
        <v>37.909190549999998</v>
      </c>
      <c r="S46" s="1771" vm="556">
        <v>50.900456129999995</v>
      </c>
      <c r="T46" s="1773">
        <v>46.914460910000003</v>
      </c>
      <c r="V46" s="1671"/>
      <c r="W46" s="1732"/>
      <c r="X46" s="1732"/>
      <c r="Y46" s="1732"/>
      <c r="Z46" s="1672"/>
      <c r="AA46" s="1672"/>
      <c r="AB46" s="1774"/>
      <c r="AC46" s="1768"/>
      <c r="AD46" s="1671"/>
      <c r="AE46" s="1775"/>
    </row>
    <row r="47" spans="1:31" ht="11.25" customHeight="1" thickBot="1">
      <c r="A47" s="1728"/>
      <c r="B47" s="1728"/>
      <c r="C47" s="1754"/>
      <c r="D47" s="1755"/>
      <c r="E47" s="1754"/>
      <c r="F47" s="1755"/>
      <c r="G47" s="1754"/>
      <c r="H47" s="1755"/>
      <c r="I47" s="1754"/>
      <c r="J47" s="1755"/>
      <c r="K47" s="1754"/>
      <c r="L47" s="1755"/>
      <c r="M47" s="1754"/>
      <c r="N47" s="1755"/>
      <c r="O47" s="1754"/>
      <c r="P47" s="1755"/>
      <c r="Q47" s="1754"/>
      <c r="R47" s="1755"/>
      <c r="S47" s="1754"/>
      <c r="T47" s="1755"/>
      <c r="V47" s="1732"/>
      <c r="W47" s="1732"/>
      <c r="X47" s="1732"/>
      <c r="Y47" s="1732"/>
      <c r="Z47" s="1672"/>
      <c r="AA47" s="1672"/>
      <c r="AB47" s="1725"/>
      <c r="AC47" s="1672"/>
      <c r="AD47" s="1671"/>
      <c r="AE47" s="1671"/>
    </row>
    <row r="48" spans="1:31" s="1668" customFormat="1" ht="18" customHeight="1" thickBot="1">
      <c r="A48" s="1757" t="s">
        <v>2498</v>
      </c>
      <c r="B48" s="1727"/>
      <c r="C48" s="1750">
        <v>16360.92857142488</v>
      </c>
      <c r="D48" s="1751">
        <v>16533.2</v>
      </c>
      <c r="E48" s="1750">
        <v>17381.399999999998</v>
      </c>
      <c r="F48" s="1758">
        <v>17467.3</v>
      </c>
      <c r="G48" s="1759">
        <v>17732.5</v>
      </c>
      <c r="H48" s="1758">
        <v>17991.218999999997</v>
      </c>
      <c r="I48" s="1759">
        <v>18556.091750000003</v>
      </c>
      <c r="J48" s="1758">
        <v>19317.692630000001</v>
      </c>
      <c r="K48" s="1759">
        <v>20216.167724620002</v>
      </c>
      <c r="L48" s="1758">
        <v>21528.814571520001</v>
      </c>
      <c r="M48" s="1759">
        <v>21728.696093440005</v>
      </c>
      <c r="N48" s="1758">
        <v>22794.730553429999</v>
      </c>
      <c r="O48" s="1759">
        <v>24010.467241069997</v>
      </c>
      <c r="P48" s="1758">
        <v>24929.099863479994</v>
      </c>
      <c r="Q48" s="1759">
        <v>25615.842022300003</v>
      </c>
      <c r="R48" s="1758">
        <v>25948.660180720002</v>
      </c>
      <c r="S48" s="1759">
        <v>27030.192099699998</v>
      </c>
      <c r="T48" s="1758">
        <v>28823.559490259999</v>
      </c>
      <c r="V48" s="1760"/>
      <c r="W48" s="1761"/>
      <c r="X48" s="1762"/>
      <c r="Y48" s="1761"/>
      <c r="Z48" s="1763"/>
      <c r="AA48" s="1763"/>
      <c r="AB48" s="1764"/>
      <c r="AC48" s="1763"/>
      <c r="AD48" s="1667"/>
      <c r="AE48" s="1667"/>
    </row>
    <row r="49" spans="1:32" ht="15" customHeight="1" thickBot="1">
      <c r="A49" s="1728"/>
      <c r="B49" s="1753" t="s">
        <v>2491</v>
      </c>
      <c r="C49" s="1771">
        <v>12459</v>
      </c>
      <c r="D49" s="1772">
        <v>13138.5</v>
      </c>
      <c r="E49" s="1771">
        <v>14024.099999999999</v>
      </c>
      <c r="F49" s="1772">
        <v>14620.5</v>
      </c>
      <c r="G49" s="1771">
        <v>15478.3</v>
      </c>
      <c r="H49" s="1772">
        <v>16386.458999999999</v>
      </c>
      <c r="I49" s="1771">
        <v>17095.580000000002</v>
      </c>
      <c r="J49" s="1772">
        <v>17924.119704000001</v>
      </c>
      <c r="K49" s="1771">
        <v>19139.808545</v>
      </c>
      <c r="L49" s="1772">
        <v>20347.706646750001</v>
      </c>
      <c r="M49" s="1771">
        <v>20602.626921510004</v>
      </c>
      <c r="N49" s="1772">
        <v>21578.68886531</v>
      </c>
      <c r="O49" s="1771">
        <v>22721.911483739997</v>
      </c>
      <c r="P49" s="1773">
        <v>23656.322442069995</v>
      </c>
      <c r="Q49" s="1771">
        <v>24292.461575140002</v>
      </c>
      <c r="R49" s="1773">
        <v>24931.510094970003</v>
      </c>
      <c r="S49" s="1771">
        <v>25901.228292349999</v>
      </c>
      <c r="T49" s="1773">
        <v>27926.489908920001</v>
      </c>
      <c r="V49" s="1739"/>
      <c r="W49" s="1732"/>
      <c r="X49" s="1748"/>
      <c r="Y49" s="1732"/>
      <c r="Z49" s="1672"/>
      <c r="AA49" s="1672"/>
      <c r="AB49" s="1767"/>
      <c r="AC49" s="1768"/>
      <c r="AD49" s="1671"/>
      <c r="AE49" s="1671"/>
    </row>
    <row r="50" spans="1:32" ht="14.25" customHeight="1" thickBot="1">
      <c r="A50" s="1728"/>
      <c r="B50" s="1753" t="s">
        <v>2492</v>
      </c>
      <c r="C50" s="1771">
        <v>3901.9285714248808</v>
      </c>
      <c r="D50" s="1772">
        <v>3394.7000000000003</v>
      </c>
      <c r="E50" s="1771">
        <v>3357.3</v>
      </c>
      <c r="F50" s="1772">
        <v>2846.7999999999997</v>
      </c>
      <c r="G50" s="1771">
        <v>2254.1999999999998</v>
      </c>
      <c r="H50" s="1772">
        <v>1604.76</v>
      </c>
      <c r="I50" s="1771">
        <v>1460.5117500000001</v>
      </c>
      <c r="J50" s="1772">
        <v>1393.5729260000001</v>
      </c>
      <c r="K50" s="1771">
        <v>1076.3591796200001</v>
      </c>
      <c r="L50" s="1772">
        <v>1181.10792477</v>
      </c>
      <c r="M50" s="1771">
        <v>1126.0691719299998</v>
      </c>
      <c r="N50" s="1772">
        <v>1216.0416881200003</v>
      </c>
      <c r="O50" s="1771">
        <v>1288.55575733</v>
      </c>
      <c r="P50" s="1773">
        <v>1272.7774214100002</v>
      </c>
      <c r="Q50" s="1771">
        <v>1323.3804471599999</v>
      </c>
      <c r="R50" s="1773">
        <v>1017.15008575</v>
      </c>
      <c r="S50" s="1771">
        <v>1128.9638073500003</v>
      </c>
      <c r="T50" s="1773">
        <v>897.06958133999979</v>
      </c>
      <c r="V50" s="1739"/>
      <c r="W50" s="1732"/>
      <c r="X50" s="1732"/>
      <c r="Y50" s="1732"/>
      <c r="Z50" s="1672"/>
      <c r="AA50" s="1672"/>
      <c r="AB50" s="1767"/>
      <c r="AC50" s="1672"/>
      <c r="AD50" s="1671"/>
      <c r="AE50" s="1671"/>
    </row>
    <row r="51" spans="1:32" ht="15.75" customHeight="1" thickBot="1">
      <c r="A51" s="1740"/>
      <c r="B51" s="1728"/>
      <c r="C51" s="1776"/>
      <c r="D51" s="1777"/>
      <c r="E51" s="1776"/>
      <c r="F51" s="1747"/>
      <c r="G51" s="1746"/>
      <c r="H51" s="1747"/>
      <c r="I51" s="1746"/>
      <c r="J51" s="1747"/>
      <c r="K51" s="1746"/>
      <c r="L51" s="1747"/>
      <c r="M51" s="1746"/>
      <c r="N51" s="1747"/>
      <c r="O51" s="1778"/>
      <c r="P51" s="1747"/>
      <c r="Q51" s="1778"/>
      <c r="R51" s="1747"/>
      <c r="S51" s="1778"/>
      <c r="T51" s="1747"/>
      <c r="V51" s="1732"/>
      <c r="W51" s="1732"/>
      <c r="X51" s="1732"/>
      <c r="Y51" s="1732"/>
      <c r="Z51" s="1672"/>
      <c r="AA51" s="1672"/>
      <c r="AB51" s="1752"/>
      <c r="AC51" s="1768"/>
      <c r="AD51" s="1671"/>
      <c r="AE51" s="1667"/>
      <c r="AF51" s="1667"/>
    </row>
    <row r="52" spans="1:32" s="1781" customFormat="1" ht="16.5" customHeight="1" thickBot="1">
      <c r="A52" s="1757" t="s">
        <v>2499</v>
      </c>
      <c r="B52" s="1727"/>
      <c r="C52" s="1779">
        <v>1815.57</v>
      </c>
      <c r="D52" s="1780">
        <v>2087.14</v>
      </c>
      <c r="E52" s="1779">
        <v>2263.1999999999998</v>
      </c>
      <c r="F52" s="1780">
        <v>2476.6</v>
      </c>
      <c r="G52" s="1779">
        <v>2532.8000000000002</v>
      </c>
      <c r="H52" s="1780">
        <v>2671.6</v>
      </c>
      <c r="I52" s="1779">
        <v>2848.4</v>
      </c>
      <c r="J52" s="1780">
        <v>2961.1</v>
      </c>
      <c r="K52" s="1779">
        <v>3025.3</v>
      </c>
      <c r="L52" s="1780">
        <v>3119.6250399999999</v>
      </c>
      <c r="M52" s="1779">
        <v>3230.0145429999998</v>
      </c>
      <c r="N52" s="1780">
        <v>3432.1861340000005</v>
      </c>
      <c r="O52" s="1779">
        <v>3398.253929</v>
      </c>
      <c r="P52" s="1780">
        <v>3542.4140867700003</v>
      </c>
      <c r="Q52" s="1779">
        <v>3979.8429310299998</v>
      </c>
      <c r="R52" s="1780">
        <v>4070.3476851999999</v>
      </c>
      <c r="S52" s="1779">
        <v>3967.7031699399995</v>
      </c>
      <c r="T52" s="1780">
        <v>4014.7222994999988</v>
      </c>
      <c r="V52" s="1667"/>
      <c r="W52" s="1762"/>
      <c r="X52" s="1762"/>
      <c r="Y52" s="1782"/>
      <c r="Z52" s="1783"/>
      <c r="AA52" s="1783"/>
      <c r="AB52" s="1764"/>
      <c r="AC52" s="1783"/>
      <c r="AD52" s="1760"/>
      <c r="AE52" s="1760"/>
    </row>
    <row r="53" spans="1:32" ht="16.5" customHeight="1" thickBot="1">
      <c r="A53" s="1784"/>
      <c r="B53" s="1785"/>
      <c r="C53" s="1786"/>
      <c r="D53" s="1787"/>
      <c r="E53" s="1786"/>
      <c r="F53" s="1787"/>
      <c r="G53" s="1786"/>
      <c r="H53" s="1787"/>
      <c r="I53" s="1786"/>
      <c r="J53" s="1787"/>
      <c r="K53" s="1786"/>
      <c r="L53" s="1787"/>
      <c r="M53" s="1786"/>
      <c r="N53" s="1787"/>
      <c r="O53" s="1788"/>
      <c r="P53" s="1787"/>
      <c r="Q53" s="1788"/>
      <c r="R53" s="1787"/>
      <c r="S53" s="1788"/>
      <c r="T53" s="1787"/>
      <c r="V53" s="1732"/>
      <c r="W53" s="1732"/>
      <c r="X53" s="1733"/>
      <c r="Y53" s="1732"/>
      <c r="Z53" s="1672"/>
      <c r="AA53" s="1672"/>
      <c r="AB53" s="1712"/>
      <c r="AC53" s="1672"/>
      <c r="AD53" s="1671"/>
      <c r="AE53" s="1671"/>
    </row>
    <row r="54" spans="1:32" ht="13.25" customHeight="1">
      <c r="A54" s="1674"/>
      <c r="B54" s="1704"/>
      <c r="C54" s="1789"/>
      <c r="D54" s="1789"/>
      <c r="E54" s="1789"/>
      <c r="F54" s="1789"/>
      <c r="G54" s="1789"/>
      <c r="H54" s="1789"/>
      <c r="I54" s="1789"/>
      <c r="J54" s="1789"/>
      <c r="K54" s="1789"/>
      <c r="L54" s="1789"/>
      <c r="M54" s="1789"/>
      <c r="N54" s="1789"/>
      <c r="O54" s="1790"/>
      <c r="P54" s="1789"/>
      <c r="Q54" s="1790"/>
      <c r="R54" s="1789"/>
      <c r="S54" s="1790"/>
      <c r="T54" s="1789"/>
      <c r="V54" s="1748"/>
      <c r="W54" s="1724"/>
      <c r="X54" s="1733"/>
      <c r="Y54" s="1724"/>
      <c r="Z54" s="1680"/>
      <c r="AA54" s="1672"/>
      <c r="AB54" s="1712"/>
      <c r="AC54" s="1683"/>
      <c r="AD54" s="1791"/>
      <c r="AE54" s="1671"/>
    </row>
    <row r="55" spans="1:32" ht="11.5" customHeight="1" thickBot="1">
      <c r="A55" s="1792"/>
      <c r="B55" s="1793"/>
      <c r="C55" s="1794"/>
      <c r="D55" s="1795"/>
      <c r="E55" s="1794"/>
      <c r="F55" s="1796"/>
      <c r="G55" s="1797"/>
      <c r="H55" s="1796"/>
      <c r="I55" s="1797"/>
      <c r="J55" s="1796"/>
      <c r="K55" s="1797"/>
      <c r="L55" s="1796"/>
      <c r="M55" s="1797"/>
      <c r="N55" s="1796"/>
      <c r="O55" s="1798"/>
      <c r="P55" s="1796"/>
      <c r="Q55" s="1798"/>
      <c r="R55" s="1796"/>
      <c r="S55" s="1798"/>
      <c r="T55" s="1796"/>
      <c r="V55" s="1732"/>
      <c r="W55" s="1732"/>
      <c r="X55" s="1732"/>
      <c r="Y55" s="1732"/>
      <c r="Z55" s="1672"/>
      <c r="AA55" s="1672"/>
      <c r="AB55" s="1752"/>
      <c r="AC55" s="1768"/>
      <c r="AD55" s="1671"/>
      <c r="AE55" s="1667"/>
      <c r="AF55" s="1667"/>
    </row>
    <row r="56" spans="1:32" ht="17.25" customHeight="1" thickBot="1">
      <c r="A56" s="1740" t="s">
        <v>2500</v>
      </c>
      <c r="B56" s="1728"/>
      <c r="C56" s="1741">
        <v>5273.2258587145679</v>
      </c>
      <c r="D56" s="1742">
        <v>5371.4148132973496</v>
      </c>
      <c r="E56" s="1741">
        <v>5582.675033421332</v>
      </c>
      <c r="F56" s="1742">
        <v>5735.4478095920094</v>
      </c>
      <c r="G56" s="1741">
        <v>5942.9441459536711</v>
      </c>
      <c r="H56" s="1742">
        <v>6276.9577355721549</v>
      </c>
      <c r="I56" s="1741">
        <v>6449.3898810983646</v>
      </c>
      <c r="J56" s="1742">
        <v>6652.9131741119318</v>
      </c>
      <c r="K56" s="1741">
        <v>6842.8964671900767</v>
      </c>
      <c r="L56" s="1742">
        <v>6937.9111736214763</v>
      </c>
      <c r="M56" s="1741">
        <v>6982.8098875825708</v>
      </c>
      <c r="N56" s="1742">
        <v>7247.3882809995739</v>
      </c>
      <c r="O56" s="1741">
        <v>7576.9197972189631</v>
      </c>
      <c r="P56" s="1745">
        <v>7816.764740928912</v>
      </c>
      <c r="Q56" s="1741">
        <v>7933.272379127915</v>
      </c>
      <c r="R56" s="1745">
        <v>8160.0796010037166</v>
      </c>
      <c r="S56" s="1741">
        <v>8501.1106232808106</v>
      </c>
      <c r="T56" s="1742" t="s">
        <v>153</v>
      </c>
      <c r="V56" s="1732"/>
      <c r="W56" s="1732"/>
      <c r="X56" s="1733"/>
      <c r="Y56" s="1732"/>
      <c r="Z56" s="1672"/>
      <c r="AA56" s="1672"/>
      <c r="AB56" s="1712"/>
      <c r="AC56" s="1672"/>
      <c r="AD56" s="1671"/>
      <c r="AE56" s="1671"/>
    </row>
    <row r="57" spans="1:32" ht="11.5" customHeight="1" thickBot="1">
      <c r="A57" s="1740"/>
      <c r="B57" s="1728"/>
      <c r="C57" s="1776"/>
      <c r="D57" s="1777"/>
      <c r="E57" s="1776"/>
      <c r="F57" s="1747"/>
      <c r="G57" s="1746"/>
      <c r="H57" s="1747"/>
      <c r="I57" s="1746"/>
      <c r="J57" s="1747"/>
      <c r="K57" s="1746"/>
      <c r="L57" s="1747"/>
      <c r="M57" s="1746"/>
      <c r="N57" s="1747"/>
      <c r="O57" s="1778"/>
      <c r="P57" s="1747"/>
      <c r="Q57" s="1778"/>
      <c r="R57" s="1747"/>
      <c r="S57" s="1778"/>
      <c r="T57" s="1747"/>
      <c r="V57" s="1732"/>
      <c r="W57" s="1732"/>
      <c r="X57" s="1732"/>
      <c r="Y57" s="1732"/>
      <c r="Z57" s="1672"/>
      <c r="AA57" s="1672"/>
      <c r="AB57" s="1752"/>
      <c r="AC57" s="1768"/>
      <c r="AD57" s="1671"/>
      <c r="AE57" s="1667"/>
      <c r="AF57" s="1667"/>
    </row>
    <row r="58" spans="1:32" ht="17.25" customHeight="1" thickBot="1">
      <c r="A58" s="1740" t="s">
        <v>2501</v>
      </c>
      <c r="B58" s="1728"/>
      <c r="C58" s="1741">
        <v>1538.9393456106855</v>
      </c>
      <c r="D58" s="1742">
        <v>1663.8889491853145</v>
      </c>
      <c r="E58" s="1741">
        <v>1753.683394842503</v>
      </c>
      <c r="F58" s="1742">
        <v>1792.6969718267821</v>
      </c>
      <c r="G58" s="1741">
        <v>1850.1645719756871</v>
      </c>
      <c r="H58" s="1742">
        <v>1917.1642434992227</v>
      </c>
      <c r="I58" s="1741">
        <v>2090.6486849170938</v>
      </c>
      <c r="J58" s="1742">
        <v>2281.464868725081</v>
      </c>
      <c r="K58" s="1741">
        <v>2441.8668834361247</v>
      </c>
      <c r="L58" s="1742">
        <v>2487.4603849935415</v>
      </c>
      <c r="M58" s="1741">
        <v>2582.7207564451369</v>
      </c>
      <c r="N58" s="1742">
        <v>2612.1277928402606</v>
      </c>
      <c r="O58" s="1741">
        <v>2585.7925929424223</v>
      </c>
      <c r="P58" s="1742">
        <v>2610.6051067988465</v>
      </c>
      <c r="Q58" s="1741">
        <v>2834.4985299573032</v>
      </c>
      <c r="R58" s="1742">
        <v>3005.4532786500799</v>
      </c>
      <c r="S58" s="1741">
        <v>3075.2296739515696</v>
      </c>
      <c r="T58" s="1742">
        <v>3105.21310073222</v>
      </c>
      <c r="V58" s="1732"/>
      <c r="W58" s="1732"/>
      <c r="X58" s="1733"/>
      <c r="Y58" s="1732"/>
      <c r="Z58" s="1672"/>
      <c r="AA58" s="1672"/>
      <c r="AB58" s="1712"/>
      <c r="AC58" s="1672"/>
      <c r="AD58" s="1671"/>
      <c r="AE58" s="1671"/>
    </row>
    <row r="59" spans="1:32" ht="9.5" customHeight="1" thickBot="1">
      <c r="A59" s="1784"/>
      <c r="B59" s="1785"/>
      <c r="C59" s="1786"/>
      <c r="D59" s="1787"/>
      <c r="E59" s="1786"/>
      <c r="F59" s="1787"/>
      <c r="G59" s="1786"/>
      <c r="H59" s="1787"/>
      <c r="I59" s="1786"/>
      <c r="J59" s="1787"/>
      <c r="K59" s="1786"/>
      <c r="L59" s="1787"/>
      <c r="M59" s="1786"/>
      <c r="N59" s="1787"/>
      <c r="O59" s="1788"/>
      <c r="P59" s="1787"/>
      <c r="Q59" s="1788"/>
      <c r="R59" s="1787"/>
      <c r="S59" s="1788"/>
      <c r="T59" s="1787"/>
      <c r="V59" s="1732"/>
      <c r="W59" s="1732"/>
      <c r="X59" s="1733"/>
      <c r="Y59" s="1732"/>
      <c r="Z59" s="1672"/>
      <c r="AA59" s="1672"/>
      <c r="AB59" s="1712"/>
      <c r="AC59" s="1672"/>
    </row>
    <row r="60" spans="1:32" ht="13.5" customHeight="1">
      <c r="A60" s="1799" t="s">
        <v>2460</v>
      </c>
      <c r="B60" s="1799"/>
      <c r="C60" s="1800"/>
      <c r="D60" s="1800"/>
      <c r="E60" s="1800"/>
      <c r="F60" s="1800"/>
      <c r="G60" s="1800"/>
      <c r="H60" s="1800"/>
      <c r="I60" s="1800"/>
      <c r="J60" s="1800"/>
      <c r="K60" s="1800"/>
      <c r="M60" s="1800"/>
      <c r="O60" s="1800"/>
      <c r="Q60" s="1800"/>
      <c r="R60" s="1800"/>
      <c r="S60" s="1800"/>
      <c r="T60" s="1800"/>
    </row>
    <row r="61" spans="1:32" ht="13.25" customHeight="1">
      <c r="A61" s="1801"/>
      <c r="B61" s="1802"/>
      <c r="U61" s="1803"/>
      <c r="V61" s="1803"/>
      <c r="W61" s="1803"/>
      <c r="Z61" s="1804"/>
    </row>
    <row r="62" spans="1:32" ht="14.25" customHeight="1">
      <c r="A62" s="1805" t="s">
        <v>2502</v>
      </c>
      <c r="B62" s="1802"/>
      <c r="Q62" s="1671"/>
      <c r="S62" s="1671"/>
      <c r="U62" s="1803"/>
      <c r="V62" s="1803"/>
      <c r="W62" s="1803"/>
      <c r="Z62" s="1804"/>
    </row>
    <row r="63" spans="1:32" ht="14.25" customHeight="1">
      <c r="A63" s="1805" t="s">
        <v>2503</v>
      </c>
      <c r="B63" s="1802"/>
      <c r="Q63" s="1671"/>
      <c r="S63" s="1671"/>
      <c r="U63" s="1803"/>
      <c r="V63" s="1803"/>
      <c r="W63" s="1803"/>
      <c r="Z63" s="1804"/>
    </row>
    <row r="64" spans="1:32" s="1801" customFormat="1" ht="12.75" customHeight="1">
      <c r="A64" s="1806" t="s">
        <v>2457</v>
      </c>
      <c r="B64" s="1807"/>
      <c r="C64" s="1807"/>
      <c r="D64" s="1807"/>
      <c r="E64" s="1807"/>
      <c r="F64" s="1807"/>
      <c r="G64" s="1807"/>
      <c r="H64" s="1807"/>
      <c r="I64" s="1807"/>
    </row>
    <row r="65" spans="1:26" s="1801" customFormat="1" ht="12.75" customHeight="1">
      <c r="A65" s="1806" t="s">
        <v>2458</v>
      </c>
      <c r="B65" s="1807"/>
      <c r="C65" s="1807"/>
      <c r="D65" s="1807"/>
      <c r="E65" s="1807"/>
      <c r="F65" s="1807"/>
      <c r="G65" s="1807"/>
      <c r="H65" s="1807"/>
      <c r="I65" s="1807"/>
    </row>
    <row r="66" spans="1:26" ht="14.25" customHeight="1">
      <c r="A66" s="1805" t="s">
        <v>2504</v>
      </c>
      <c r="B66" s="1802"/>
      <c r="Q66" s="1671"/>
      <c r="S66" s="1671"/>
      <c r="U66" s="1803"/>
      <c r="V66" s="1803"/>
      <c r="W66" s="1803"/>
      <c r="Z66" s="1804"/>
    </row>
    <row r="67" spans="1:26" s="1801" customFormat="1" ht="12.75" customHeight="1">
      <c r="A67" s="1806" t="s">
        <v>2505</v>
      </c>
      <c r="B67" s="1807"/>
      <c r="C67" s="1807"/>
      <c r="D67" s="1807"/>
      <c r="E67" s="1807"/>
      <c r="F67" s="1807"/>
      <c r="G67" s="1807"/>
      <c r="H67" s="1807"/>
      <c r="I67" s="1807"/>
    </row>
    <row r="68" spans="1:26" s="1801" customFormat="1" ht="12.75" customHeight="1">
      <c r="A68" s="1808" t="s">
        <v>2506</v>
      </c>
      <c r="B68" s="1807"/>
      <c r="C68" s="1807"/>
      <c r="D68" s="1807"/>
      <c r="E68" s="1807"/>
      <c r="F68" s="1807"/>
      <c r="G68" s="1807"/>
      <c r="H68" s="1807"/>
      <c r="I68" s="1807"/>
    </row>
    <row r="69" spans="1:26" s="1801" customFormat="1" ht="12.75" customHeight="1">
      <c r="A69" s="1808" t="s">
        <v>2507</v>
      </c>
      <c r="B69" s="1807"/>
      <c r="C69" s="1807"/>
      <c r="D69" s="1807"/>
      <c r="E69" s="1807"/>
      <c r="F69" s="1807"/>
      <c r="G69" s="1807"/>
      <c r="H69" s="1807"/>
      <c r="I69" s="1807"/>
    </row>
    <row r="70" spans="1:26" ht="14.25" customHeight="1">
      <c r="A70" s="1805" t="s">
        <v>2508</v>
      </c>
      <c r="B70" s="1802"/>
      <c r="Q70" s="1671"/>
      <c r="S70" s="1671"/>
      <c r="U70" s="1803"/>
      <c r="V70" s="1803"/>
      <c r="W70" s="1803"/>
      <c r="Z70" s="1804"/>
    </row>
    <row r="71" spans="1:26" ht="13.25" customHeight="1">
      <c r="A71" s="1805" t="s">
        <v>2509</v>
      </c>
      <c r="B71" s="1802"/>
      <c r="U71" s="1803"/>
      <c r="V71" s="1803"/>
      <c r="W71" s="1803"/>
      <c r="Z71" s="1804"/>
    </row>
    <row r="72" spans="1:26" ht="13.25" customHeight="1">
      <c r="A72" s="1805" t="s">
        <v>2510</v>
      </c>
      <c r="B72" s="1802"/>
      <c r="U72" s="1803"/>
      <c r="V72" s="1803"/>
      <c r="W72" s="1803"/>
      <c r="Z72" s="1804"/>
    </row>
    <row r="73" spans="1:26" ht="13.25" customHeight="1">
      <c r="A73" s="1805" t="s">
        <v>2585</v>
      </c>
      <c r="B73" s="1802"/>
      <c r="U73" s="1803"/>
      <c r="V73" s="1803"/>
      <c r="W73" s="1803"/>
      <c r="Z73" s="1804"/>
    </row>
    <row r="74" spans="1:26" ht="13.25" customHeight="1">
      <c r="A74" s="1805" t="s">
        <v>2511</v>
      </c>
      <c r="B74" s="1802"/>
      <c r="U74" s="1803"/>
      <c r="V74" s="1803"/>
      <c r="W74" s="1803"/>
      <c r="Z74" s="1804"/>
    </row>
    <row r="75" spans="1:26" ht="14.25" customHeight="1">
      <c r="A75" s="1805" t="s">
        <v>2512</v>
      </c>
      <c r="B75" s="1802"/>
      <c r="Q75" s="1671"/>
      <c r="S75" s="1671"/>
      <c r="U75" s="1803"/>
      <c r="V75" s="1803"/>
      <c r="W75" s="1803"/>
      <c r="Z75" s="1804"/>
    </row>
    <row r="76" spans="1:26" ht="14.25" customHeight="1">
      <c r="A76" s="1805" t="s">
        <v>2513</v>
      </c>
      <c r="B76" s="1802"/>
      <c r="Q76" s="1671"/>
      <c r="S76" s="1671"/>
      <c r="U76" s="1803"/>
      <c r="V76" s="1803"/>
      <c r="W76" s="1803"/>
      <c r="Z76" s="1804"/>
    </row>
    <row r="77" spans="1:26" ht="14.25" customHeight="1">
      <c r="A77" s="1805" t="s">
        <v>2514</v>
      </c>
      <c r="B77" s="1802"/>
      <c r="Q77" s="1671"/>
      <c r="S77" s="1671"/>
      <c r="U77" s="1803"/>
      <c r="V77" s="1803"/>
      <c r="W77" s="1803"/>
      <c r="Z77" s="1804"/>
    </row>
    <row r="78" spans="1:26" ht="14.25" customHeight="1">
      <c r="A78" s="1806" t="s">
        <v>2515</v>
      </c>
      <c r="B78" s="1802"/>
      <c r="Q78" s="1671"/>
      <c r="S78" s="1671"/>
      <c r="U78" s="1803"/>
      <c r="V78" s="1803"/>
      <c r="W78" s="1803"/>
      <c r="Z78" s="1804"/>
    </row>
    <row r="79" spans="1:26" ht="14.25" customHeight="1">
      <c r="A79" s="1809" t="s">
        <v>2516</v>
      </c>
      <c r="B79" s="1802"/>
      <c r="Q79" s="1671"/>
      <c r="S79" s="1671"/>
      <c r="U79" s="1803"/>
      <c r="V79" s="1803"/>
      <c r="W79" s="1803"/>
      <c r="Z79" s="1804"/>
    </row>
    <row r="80" spans="1:26" ht="14.25" customHeight="1">
      <c r="A80" s="1809" t="s">
        <v>2517</v>
      </c>
      <c r="B80" s="1802"/>
      <c r="Q80" s="1671"/>
      <c r="S80" s="1671"/>
      <c r="U80" s="1803"/>
      <c r="V80" s="1803"/>
      <c r="W80" s="1803"/>
      <c r="Z80" s="1804"/>
    </row>
    <row r="81" spans="1:26" ht="14.25" customHeight="1">
      <c r="A81" s="1801"/>
      <c r="B81" s="1802"/>
      <c r="Q81" s="1671"/>
      <c r="S81" s="1671"/>
      <c r="U81" s="1803"/>
      <c r="V81" s="1803"/>
      <c r="W81" s="1803"/>
      <c r="Z81" s="1804"/>
    </row>
    <row r="82" spans="1:26" ht="14.25" customHeight="1">
      <c r="A82" s="1809" t="s">
        <v>2518</v>
      </c>
      <c r="B82" s="1802"/>
      <c r="Q82" s="1671"/>
      <c r="S82" s="1671"/>
      <c r="U82" s="1803"/>
      <c r="V82" s="1803"/>
      <c r="W82" s="1803"/>
      <c r="Z82" s="1804"/>
    </row>
    <row r="83" spans="1:26" ht="14.25" customHeight="1">
      <c r="A83" s="1801"/>
      <c r="B83" s="1802"/>
      <c r="Q83" s="1671"/>
      <c r="S83" s="1671"/>
      <c r="U83" s="1803"/>
      <c r="V83" s="1803"/>
      <c r="W83" s="1803"/>
      <c r="Z83" s="1804"/>
    </row>
    <row r="84" spans="1:26">
      <c r="A84" s="1800"/>
      <c r="B84" s="1800"/>
    </row>
    <row r="85" spans="1:26">
      <c r="A85" s="1802" t="s">
        <v>302</v>
      </c>
      <c r="B85" s="1800"/>
      <c r="C85" s="1803"/>
      <c r="D85" s="1803"/>
      <c r="E85" s="1803"/>
      <c r="F85" s="1803"/>
      <c r="G85" s="1803"/>
    </row>
    <row r="86" spans="1:26">
      <c r="A86" s="1800"/>
      <c r="B86" s="1810"/>
      <c r="C86" s="1803"/>
      <c r="D86" s="1803"/>
      <c r="E86" s="1803"/>
      <c r="F86" s="1803"/>
      <c r="G86" s="1803"/>
    </row>
    <row r="87" spans="1:26">
      <c r="B87" s="1811"/>
      <c r="C87" s="1803"/>
      <c r="D87" s="1803"/>
      <c r="E87" s="1803"/>
      <c r="F87" s="1803"/>
      <c r="G87" s="1803"/>
    </row>
    <row r="88" spans="1:26">
      <c r="A88" s="1800"/>
      <c r="B88" s="1812"/>
      <c r="P88" s="1671"/>
      <c r="Q88" s="1671"/>
      <c r="R88" s="1671"/>
      <c r="S88" s="1671"/>
      <c r="T88" s="1671"/>
      <c r="U88" s="1671"/>
      <c r="V88" s="1671"/>
      <c r="W88" s="1671"/>
      <c r="X88" s="1671"/>
      <c r="Y88" s="1671"/>
      <c r="Z88" s="1813"/>
    </row>
    <row r="89" spans="1:26">
      <c r="A89" s="1732"/>
      <c r="B89" s="1814"/>
      <c r="C89" s="1671"/>
      <c r="D89" s="1809"/>
      <c r="E89" s="1671"/>
      <c r="F89" s="1671"/>
      <c r="G89" s="1671"/>
      <c r="H89" s="1671"/>
      <c r="I89" s="1671"/>
      <c r="J89" s="1671"/>
      <c r="K89" s="1671"/>
      <c r="L89" s="1671"/>
      <c r="M89" s="1671"/>
      <c r="N89" s="1671"/>
      <c r="O89" s="1671"/>
      <c r="P89" s="1671"/>
      <c r="Q89" s="1671"/>
      <c r="R89" s="1671"/>
      <c r="S89" s="1671"/>
      <c r="T89" s="1671"/>
      <c r="U89" s="1671"/>
      <c r="V89" s="1671"/>
      <c r="W89" s="1671"/>
      <c r="X89" s="1671"/>
      <c r="Y89" s="1671"/>
      <c r="Z89" s="1813"/>
    </row>
    <row r="90" spans="1:26" ht="14">
      <c r="A90" s="1815"/>
      <c r="B90" s="1816"/>
      <c r="C90" s="1816"/>
      <c r="D90" s="1816"/>
      <c r="E90" s="1816"/>
      <c r="F90" s="1816"/>
      <c r="G90" s="1816"/>
      <c r="H90" s="1805"/>
      <c r="I90" s="1805"/>
      <c r="J90" s="1805"/>
      <c r="K90" s="1671"/>
      <c r="L90" s="1671"/>
      <c r="M90" s="1671"/>
      <c r="N90" s="1817"/>
      <c r="O90" s="1671"/>
      <c r="P90" s="1671"/>
      <c r="Q90" s="1671"/>
      <c r="R90" s="1671"/>
      <c r="S90" s="1671"/>
      <c r="T90" s="1671"/>
      <c r="U90" s="1671"/>
      <c r="V90" s="1671"/>
      <c r="W90" s="1671"/>
      <c r="X90" s="1671"/>
      <c r="Y90" s="1671"/>
      <c r="Z90" s="1671"/>
    </row>
    <row r="91" spans="1:26">
      <c r="A91" s="1671"/>
      <c r="B91" s="1671"/>
      <c r="C91" s="1671"/>
      <c r="D91" s="1671"/>
      <c r="E91" s="1671"/>
      <c r="F91" s="1671"/>
      <c r="G91" s="1671"/>
      <c r="H91" s="1671"/>
      <c r="I91" s="1671"/>
      <c r="J91" s="1671"/>
      <c r="K91" s="1671"/>
      <c r="L91" s="1671"/>
      <c r="M91" s="1671"/>
      <c r="N91" s="1671"/>
      <c r="O91" s="1671"/>
      <c r="P91" s="1671"/>
      <c r="Q91" s="1671"/>
      <c r="R91" s="1671"/>
      <c r="S91" s="1671"/>
      <c r="T91" s="1671"/>
      <c r="U91" s="1671"/>
      <c r="V91" s="1671"/>
      <c r="W91" s="1671"/>
      <c r="X91" s="1671"/>
      <c r="Y91" s="1671"/>
      <c r="Z91" s="1813"/>
    </row>
    <row r="92" spans="1:26">
      <c r="A92" s="1671"/>
      <c r="B92" s="1761"/>
      <c r="C92" s="1671"/>
      <c r="D92" s="1671"/>
      <c r="E92" s="1671"/>
      <c r="F92" s="1671"/>
      <c r="G92" s="1818"/>
      <c r="H92" s="1671"/>
      <c r="I92" s="1671"/>
      <c r="J92" s="1671"/>
      <c r="K92" s="1671"/>
      <c r="L92" s="1671"/>
      <c r="M92" s="1671"/>
      <c r="N92" s="1671"/>
      <c r="O92" s="1671"/>
    </row>
    <row r="93" spans="1:26" ht="16">
      <c r="A93" s="1671"/>
      <c r="B93" s="1671"/>
      <c r="C93" s="1671"/>
      <c r="D93" s="1671"/>
      <c r="E93" s="1671"/>
      <c r="F93" s="1671"/>
      <c r="G93" s="1818"/>
      <c r="H93" s="1671"/>
      <c r="I93" s="1819"/>
      <c r="J93" s="1820"/>
      <c r="K93" s="1671"/>
      <c r="L93" s="1671"/>
      <c r="M93" s="1671"/>
      <c r="N93" s="1671"/>
      <c r="O93" s="1671"/>
      <c r="Z93" s="1665"/>
    </row>
    <row r="94" spans="1:26" ht="16">
      <c r="A94" s="1671"/>
      <c r="B94" s="1732"/>
      <c r="C94" s="1671"/>
      <c r="D94" s="1671"/>
      <c r="E94" s="1671"/>
      <c r="F94" s="1671"/>
      <c r="G94" s="1821"/>
      <c r="H94" s="1822"/>
      <c r="I94" s="1823"/>
      <c r="J94" s="1820"/>
      <c r="K94" s="1671"/>
      <c r="L94" s="1671"/>
      <c r="M94" s="1671"/>
      <c r="N94" s="1671"/>
      <c r="O94" s="1671"/>
      <c r="V94" s="1803"/>
      <c r="Z94" s="1665"/>
    </row>
    <row r="95" spans="1:26" ht="14">
      <c r="A95" s="1671"/>
      <c r="B95" s="1732"/>
      <c r="C95" s="1671"/>
      <c r="D95" s="1671"/>
      <c r="E95" s="1671"/>
      <c r="F95" s="1671"/>
      <c r="G95" s="1821"/>
      <c r="H95" s="1822"/>
      <c r="I95" s="1823"/>
      <c r="J95" s="1671"/>
      <c r="K95" s="1671"/>
      <c r="L95" s="1671"/>
      <c r="M95" s="1671"/>
      <c r="N95" s="1671"/>
      <c r="O95" s="1671"/>
      <c r="P95" s="1671"/>
      <c r="Q95" s="1671"/>
      <c r="R95" s="1671"/>
      <c r="S95" s="1671"/>
      <c r="T95" s="1671"/>
      <c r="Z95" s="1665"/>
    </row>
    <row r="96" spans="1:26">
      <c r="A96" s="1671"/>
      <c r="B96" s="1732"/>
      <c r="C96" s="1667"/>
      <c r="D96" s="1667"/>
      <c r="E96" s="1667"/>
      <c r="F96" s="1667"/>
      <c r="G96" s="1667"/>
      <c r="H96" s="1667"/>
      <c r="I96" s="1667"/>
      <c r="J96" s="1824"/>
      <c r="K96" s="1667"/>
      <c r="L96" s="1667"/>
      <c r="M96" s="1667"/>
      <c r="N96" s="1667"/>
      <c r="O96" s="1667"/>
      <c r="P96" s="1667"/>
      <c r="Q96" s="1667"/>
      <c r="R96" s="1667"/>
      <c r="S96" s="1667"/>
      <c r="T96" s="1667"/>
      <c r="Z96" s="1665"/>
    </row>
    <row r="97" spans="1:26" ht="14">
      <c r="A97" s="1671"/>
      <c r="B97" s="1825"/>
      <c r="C97" s="1671"/>
      <c r="D97" s="1671"/>
      <c r="E97" s="1671"/>
      <c r="F97" s="1826"/>
      <c r="G97" s="1821"/>
      <c r="H97" s="1827"/>
      <c r="I97" s="1828"/>
      <c r="J97" s="1671"/>
      <c r="K97" s="1671"/>
      <c r="L97" s="1671"/>
      <c r="M97" s="1671"/>
      <c r="N97" s="1671"/>
      <c r="O97" s="1671"/>
      <c r="P97" s="1671"/>
      <c r="Q97" s="1671"/>
      <c r="R97" s="1671"/>
      <c r="S97" s="1671"/>
      <c r="T97" s="1671"/>
      <c r="Z97" s="1665"/>
    </row>
    <row r="98" spans="1:26">
      <c r="A98" s="1671"/>
      <c r="B98" s="1829"/>
      <c r="C98" s="1826"/>
      <c r="D98" s="1826"/>
      <c r="E98" s="1826"/>
      <c r="F98" s="1826"/>
      <c r="G98" s="1826"/>
      <c r="H98" s="1826"/>
      <c r="I98" s="1826"/>
      <c r="J98" s="1826"/>
      <c r="K98" s="1826"/>
      <c r="L98" s="1826"/>
      <c r="M98" s="1826"/>
      <c r="N98" s="1826"/>
      <c r="O98" s="1826"/>
      <c r="P98" s="1826"/>
      <c r="Q98" s="1826"/>
      <c r="R98" s="1830"/>
      <c r="S98" s="1826"/>
      <c r="T98" s="1830"/>
      <c r="U98" s="1831"/>
      <c r="V98" s="1831"/>
      <c r="W98" s="1831"/>
      <c r="Z98" s="1665"/>
    </row>
    <row r="99" spans="1:26">
      <c r="A99" s="1671"/>
      <c r="B99" s="1732"/>
      <c r="C99" s="1832"/>
      <c r="D99" s="1832"/>
      <c r="E99" s="1832"/>
      <c r="F99" s="1832"/>
      <c r="G99" s="1832"/>
      <c r="H99" s="1832"/>
      <c r="I99" s="1832"/>
      <c r="J99" s="1832"/>
      <c r="K99" s="1832"/>
      <c r="L99" s="1832"/>
      <c r="M99" s="1832"/>
      <c r="N99" s="1832"/>
      <c r="O99" s="1832"/>
      <c r="P99" s="1832"/>
      <c r="Q99" s="1832"/>
      <c r="R99" s="1791"/>
      <c r="S99" s="1832"/>
      <c r="T99" s="1791"/>
      <c r="Z99" s="1665"/>
    </row>
    <row r="100" spans="1:26" ht="14">
      <c r="A100" s="1671"/>
      <c r="B100" s="1732"/>
      <c r="C100" s="1671"/>
      <c r="D100" s="1671"/>
      <c r="E100" s="1671"/>
      <c r="F100" s="1671"/>
      <c r="G100" s="1821"/>
      <c r="H100" s="1822"/>
      <c r="I100" s="1823"/>
      <c r="J100" s="1671"/>
      <c r="K100" s="1671"/>
      <c r="L100" s="1667"/>
      <c r="M100" s="1667"/>
      <c r="N100" s="1667"/>
      <c r="O100" s="1667"/>
      <c r="P100" s="1667"/>
      <c r="Q100" s="1667"/>
      <c r="R100" s="1667"/>
      <c r="S100" s="1667"/>
      <c r="T100" s="1667"/>
      <c r="U100" s="1671"/>
      <c r="Z100" s="1665"/>
    </row>
    <row r="101" spans="1:26">
      <c r="A101" s="1671"/>
      <c r="B101" s="1732"/>
      <c r="C101" s="1667"/>
      <c r="D101" s="1667"/>
      <c r="E101" s="1667"/>
      <c r="F101" s="1667"/>
      <c r="G101" s="1667"/>
      <c r="H101" s="1667"/>
      <c r="I101" s="1667"/>
      <c r="J101" s="1824"/>
      <c r="K101" s="1667"/>
      <c r="L101" s="1667"/>
      <c r="M101" s="1667"/>
      <c r="N101" s="1667"/>
      <c r="O101" s="1667"/>
      <c r="P101" s="1667"/>
      <c r="Q101" s="1667"/>
      <c r="R101" s="1667"/>
      <c r="S101" s="1667"/>
      <c r="T101" s="1667"/>
      <c r="Z101" s="1665"/>
    </row>
    <row r="102" spans="1:26" ht="14">
      <c r="A102" s="1671"/>
      <c r="B102" s="1732"/>
      <c r="C102" s="1833"/>
      <c r="D102" s="1833"/>
      <c r="E102" s="1833"/>
      <c r="F102" s="1833"/>
      <c r="G102" s="1833"/>
      <c r="H102" s="1834"/>
      <c r="I102" s="1833"/>
      <c r="J102" s="1833"/>
      <c r="K102" s="1833"/>
      <c r="L102" s="1833"/>
      <c r="M102" s="1833"/>
      <c r="N102" s="1833"/>
      <c r="O102" s="1833"/>
      <c r="P102" s="1833"/>
      <c r="Q102" s="1833"/>
      <c r="R102" s="1833"/>
      <c r="S102" s="1833"/>
      <c r="T102" s="1833"/>
      <c r="Z102" s="1665"/>
    </row>
    <row r="103" spans="1:26">
      <c r="A103" s="1671"/>
      <c r="B103" s="1732"/>
      <c r="C103" s="1671"/>
      <c r="D103" s="1671"/>
      <c r="E103" s="1671"/>
      <c r="F103" s="1671"/>
      <c r="G103" s="1821"/>
      <c r="H103" s="1805"/>
      <c r="I103" s="1667"/>
      <c r="J103" s="1671"/>
      <c r="K103" s="1671"/>
      <c r="L103" s="1671"/>
      <c r="M103" s="1671"/>
      <c r="N103" s="1671"/>
      <c r="O103" s="1671"/>
      <c r="Z103" s="1665"/>
    </row>
    <row r="104" spans="1:26">
      <c r="A104" s="1671"/>
      <c r="B104" s="1732"/>
    </row>
    <row r="105" spans="1:26" ht="16">
      <c r="A105" s="1835"/>
      <c r="B105" s="1732"/>
      <c r="C105" s="1671"/>
      <c r="D105" s="1671"/>
      <c r="E105" s="1671"/>
      <c r="F105" s="1671"/>
      <c r="G105" s="1836"/>
      <c r="H105" s="1837"/>
      <c r="I105" s="1671"/>
      <c r="J105" s="1671"/>
      <c r="K105" s="1671"/>
      <c r="L105" s="1671"/>
      <c r="M105" s="1671"/>
      <c r="N105" s="1671"/>
      <c r="O105" s="1671"/>
    </row>
    <row r="106" spans="1:26">
      <c r="A106" s="1732"/>
      <c r="B106" s="1732"/>
      <c r="C106" s="1671"/>
      <c r="D106" s="1671"/>
      <c r="E106" s="1671"/>
      <c r="F106" s="1671"/>
      <c r="G106" s="1671"/>
      <c r="H106" s="1671"/>
      <c r="I106" s="1671"/>
      <c r="J106" s="1671"/>
      <c r="K106" s="1671"/>
      <c r="L106" s="1671"/>
      <c r="M106" s="1671"/>
      <c r="N106" s="1671"/>
      <c r="O106" s="1671"/>
    </row>
    <row r="107" spans="1:26">
      <c r="A107" s="1732"/>
      <c r="B107" s="1732"/>
      <c r="C107" s="1671"/>
      <c r="D107" s="1671"/>
      <c r="E107" s="1671"/>
      <c r="F107" s="1671"/>
      <c r="G107" s="1671"/>
      <c r="H107" s="1671"/>
      <c r="I107" s="1671"/>
      <c r="J107" s="1671"/>
      <c r="K107" s="1671"/>
      <c r="L107" s="1671"/>
      <c r="M107" s="1671"/>
      <c r="N107" s="1671"/>
      <c r="O107" s="1671"/>
    </row>
    <row r="108" spans="1:26">
      <c r="A108" s="1732"/>
      <c r="B108" s="1732"/>
      <c r="C108" s="1671"/>
      <c r="D108" s="1671"/>
      <c r="E108" s="1671"/>
      <c r="F108" s="1671"/>
      <c r="G108" s="1671"/>
      <c r="H108" s="1671"/>
      <c r="I108" s="1671"/>
      <c r="J108" s="1671"/>
      <c r="K108" s="1671"/>
      <c r="L108" s="1671"/>
      <c r="M108" s="1671"/>
      <c r="N108" s="1671"/>
      <c r="O108" s="1671"/>
    </row>
    <row r="109" spans="1:26">
      <c r="A109" s="1732"/>
      <c r="B109" s="1732"/>
      <c r="C109" s="1671"/>
      <c r="D109" s="1671"/>
      <c r="E109" s="1671"/>
      <c r="F109" s="1671"/>
      <c r="G109" s="1671"/>
      <c r="H109" s="1671"/>
      <c r="I109" s="1671"/>
      <c r="J109" s="1671"/>
      <c r="K109" s="1671"/>
      <c r="L109" s="1671"/>
      <c r="M109" s="1671"/>
      <c r="N109" s="1671"/>
      <c r="O109" s="1671"/>
    </row>
    <row r="110" spans="1:26">
      <c r="A110" s="1732"/>
      <c r="B110" s="1808"/>
      <c r="C110" s="1671"/>
      <c r="D110" s="1671"/>
      <c r="E110" s="1671"/>
      <c r="F110" s="1671"/>
      <c r="G110" s="1671"/>
      <c r="H110" s="1671"/>
      <c r="I110" s="1671"/>
      <c r="J110" s="1671"/>
      <c r="K110" s="1671"/>
      <c r="L110" s="1671"/>
      <c r="M110" s="1671"/>
      <c r="N110" s="1671"/>
      <c r="O110" s="1671"/>
    </row>
    <row r="111" spans="1:26">
      <c r="A111" s="1732"/>
      <c r="B111" s="1808"/>
      <c r="C111" s="1671"/>
      <c r="D111" s="1671"/>
      <c r="E111" s="1671"/>
      <c r="F111" s="1671"/>
      <c r="G111" s="1671"/>
      <c r="H111" s="1671"/>
      <c r="I111" s="1671"/>
      <c r="J111" s="1671"/>
      <c r="K111" s="1671"/>
      <c r="L111" s="1671"/>
      <c r="M111" s="1671"/>
      <c r="N111" s="1671"/>
      <c r="O111" s="1671"/>
    </row>
    <row r="112" spans="1:26">
      <c r="A112" s="1732"/>
      <c r="B112" s="1808"/>
      <c r="C112" s="1671"/>
      <c r="D112" s="1671"/>
      <c r="E112" s="1671"/>
      <c r="F112" s="1671"/>
      <c r="G112" s="1671"/>
      <c r="H112" s="1671"/>
      <c r="I112" s="1671"/>
      <c r="J112" s="1671"/>
      <c r="K112" s="1671"/>
      <c r="L112" s="1671"/>
      <c r="M112" s="1671"/>
      <c r="N112" s="1671"/>
      <c r="O112" s="1671"/>
    </row>
    <row r="113" spans="1:15">
      <c r="A113" s="1732"/>
      <c r="B113" s="1732"/>
      <c r="C113" s="1671"/>
      <c r="D113" s="1671"/>
      <c r="E113" s="1671"/>
      <c r="F113" s="1671"/>
      <c r="G113" s="1671"/>
      <c r="H113" s="1671"/>
      <c r="I113" s="1671"/>
      <c r="J113" s="1671"/>
      <c r="K113" s="1671"/>
      <c r="L113" s="1671"/>
      <c r="M113" s="1671"/>
      <c r="N113" s="1671"/>
      <c r="O113" s="1671"/>
    </row>
    <row r="114" spans="1:15">
      <c r="A114" s="1732"/>
      <c r="B114" s="1732"/>
      <c r="C114" s="1671"/>
      <c r="D114" s="1671"/>
      <c r="E114" s="1671"/>
      <c r="F114" s="1671"/>
      <c r="G114" s="1671"/>
      <c r="H114" s="1671"/>
      <c r="I114" s="1671"/>
      <c r="J114" s="1671"/>
      <c r="K114" s="1671"/>
      <c r="L114" s="1671"/>
      <c r="M114" s="1671"/>
      <c r="N114" s="1671"/>
      <c r="O114" s="1671"/>
    </row>
    <row r="115" spans="1:15">
      <c r="A115" s="1671"/>
      <c r="B115" s="1732"/>
      <c r="C115" s="1671"/>
      <c r="D115" s="1671"/>
      <c r="E115" s="1671"/>
      <c r="F115" s="1671"/>
      <c r="G115" s="1671"/>
      <c r="H115" s="1671"/>
      <c r="I115" s="1671"/>
      <c r="J115" s="1671"/>
      <c r="K115" s="1671"/>
      <c r="L115" s="1671"/>
      <c r="M115" s="1671"/>
      <c r="N115" s="1671"/>
      <c r="O115" s="1671"/>
    </row>
    <row r="116" spans="1:15">
      <c r="A116" s="1732"/>
      <c r="B116" s="1732"/>
      <c r="C116" s="1671"/>
      <c r="D116" s="1671"/>
      <c r="E116" s="1671"/>
      <c r="F116" s="1671"/>
      <c r="G116" s="1671"/>
      <c r="H116" s="1671"/>
      <c r="I116" s="1671"/>
      <c r="J116" s="1671"/>
      <c r="K116" s="1671"/>
      <c r="L116" s="1671"/>
      <c r="M116" s="1671"/>
      <c r="N116" s="1671"/>
      <c r="O116" s="1671"/>
    </row>
    <row r="117" spans="1:15">
      <c r="A117" s="1732"/>
      <c r="B117" s="1732"/>
      <c r="C117" s="1671"/>
      <c r="D117" s="1671"/>
      <c r="E117" s="1671"/>
      <c r="F117" s="1671"/>
      <c r="G117" s="1671"/>
      <c r="H117" s="1671"/>
      <c r="I117" s="1671"/>
      <c r="J117" s="1671"/>
      <c r="K117" s="1671"/>
      <c r="L117" s="1671"/>
      <c r="M117" s="1671"/>
      <c r="N117" s="1671"/>
      <c r="O117" s="1671"/>
    </row>
    <row r="118" spans="1:15">
      <c r="A118" s="1732"/>
      <c r="B118" s="1732"/>
      <c r="C118" s="1671"/>
      <c r="D118" s="1671"/>
      <c r="E118" s="1671"/>
      <c r="F118" s="1671"/>
      <c r="G118" s="1671"/>
      <c r="H118" s="1671"/>
      <c r="I118" s="1671"/>
      <c r="J118" s="1671"/>
      <c r="K118" s="1671"/>
      <c r="L118" s="1671"/>
      <c r="M118" s="1671"/>
      <c r="N118" s="1671"/>
      <c r="O118" s="1671"/>
    </row>
    <row r="119" spans="1:15">
      <c r="A119" s="1732"/>
      <c r="B119" s="1732"/>
      <c r="C119" s="1671"/>
      <c r="D119" s="1671"/>
      <c r="E119" s="1671"/>
      <c r="F119" s="1671"/>
      <c r="G119" s="1671"/>
      <c r="H119" s="1671"/>
      <c r="I119" s="1671"/>
      <c r="J119" s="1671"/>
      <c r="K119" s="1671"/>
      <c r="L119" s="1671"/>
      <c r="M119" s="1671"/>
      <c r="N119" s="1671"/>
      <c r="O119" s="1671"/>
    </row>
    <row r="120" spans="1:15">
      <c r="A120" s="1732"/>
      <c r="B120" s="1732"/>
      <c r="C120" s="1671"/>
      <c r="D120" s="1671"/>
      <c r="E120" s="1671"/>
      <c r="F120" s="1671"/>
      <c r="G120" s="1671"/>
      <c r="H120" s="1671"/>
      <c r="I120" s="1671"/>
      <c r="J120" s="1671"/>
      <c r="K120" s="1671"/>
      <c r="L120" s="1671"/>
      <c r="M120" s="1671"/>
      <c r="N120" s="1671"/>
      <c r="O120" s="1671"/>
    </row>
    <row r="121" spans="1:15">
      <c r="A121" s="1800"/>
      <c r="B121" s="1800"/>
    </row>
    <row r="122" spans="1:15">
      <c r="A122" s="1800"/>
      <c r="B122" s="1800"/>
    </row>
    <row r="127" spans="1:15">
      <c r="B127" s="1800"/>
    </row>
    <row r="128" spans="1:15">
      <c r="B128" s="1800"/>
    </row>
    <row r="129" spans="1:15">
      <c r="A129" s="1800"/>
      <c r="B129" s="1800"/>
    </row>
    <row r="130" spans="1:15">
      <c r="A130" s="1800"/>
      <c r="B130" s="1800"/>
    </row>
    <row r="131" spans="1:15">
      <c r="A131" s="1800"/>
      <c r="B131" s="1800"/>
    </row>
    <row r="132" spans="1:15">
      <c r="A132" s="1800"/>
      <c r="B132" s="1800"/>
    </row>
    <row r="133" spans="1:15">
      <c r="A133" s="1800"/>
      <c r="B133" s="1800"/>
    </row>
    <row r="134" spans="1:15">
      <c r="A134" s="1800"/>
      <c r="B134" s="1800"/>
    </row>
    <row r="135" spans="1:15" ht="16">
      <c r="A135" s="1838"/>
      <c r="B135" s="1800"/>
    </row>
    <row r="136" spans="1:15">
      <c r="A136" s="1800"/>
      <c r="B136" s="1800"/>
    </row>
    <row r="137" spans="1:15">
      <c r="A137" s="1671"/>
      <c r="B137" s="1732"/>
      <c r="C137" s="1671"/>
      <c r="D137" s="1671"/>
      <c r="E137" s="1671"/>
      <c r="F137" s="1671"/>
      <c r="G137" s="1671"/>
      <c r="H137" s="1671"/>
      <c r="I137" s="1671"/>
      <c r="J137" s="1671"/>
      <c r="K137" s="1671"/>
      <c r="L137" s="1671"/>
      <c r="M137" s="1671"/>
      <c r="N137" s="1671"/>
      <c r="O137" s="1671"/>
    </row>
    <row r="138" spans="1:15">
      <c r="A138" s="1732"/>
      <c r="B138" s="1761"/>
      <c r="C138" s="1671"/>
      <c r="D138" s="1671"/>
      <c r="E138" s="1671"/>
      <c r="F138" s="1671"/>
      <c r="G138" s="1818"/>
      <c r="H138" s="1671"/>
      <c r="I138" s="1671"/>
      <c r="J138" s="1671"/>
      <c r="K138" s="1671"/>
      <c r="L138" s="1671"/>
      <c r="M138" s="1671"/>
      <c r="N138" s="1671"/>
      <c r="O138" s="1671"/>
    </row>
    <row r="139" spans="1:15">
      <c r="A139" s="1671"/>
      <c r="B139" s="1671"/>
      <c r="C139" s="1671"/>
      <c r="D139" s="1671"/>
      <c r="E139" s="1671"/>
      <c r="F139" s="1671"/>
      <c r="G139" s="1818"/>
      <c r="H139" s="1671"/>
      <c r="I139" s="1819"/>
      <c r="J139" s="1671"/>
      <c r="K139" s="1671"/>
      <c r="L139" s="1671"/>
      <c r="M139" s="1671"/>
      <c r="N139" s="1671"/>
      <c r="O139" s="1671"/>
    </row>
    <row r="140" spans="1:15" ht="14">
      <c r="A140" s="1671"/>
      <c r="B140" s="1732"/>
      <c r="C140" s="1671"/>
      <c r="D140" s="1671"/>
      <c r="E140" s="1671"/>
      <c r="F140" s="1671"/>
      <c r="G140" s="1821"/>
      <c r="H140" s="1822"/>
      <c r="I140" s="1823"/>
      <c r="J140" s="1671"/>
      <c r="K140" s="1671"/>
      <c r="L140" s="1671"/>
      <c r="M140" s="1671"/>
      <c r="N140" s="1671"/>
      <c r="O140" s="1671"/>
    </row>
    <row r="141" spans="1:15" ht="16">
      <c r="A141" s="1671"/>
      <c r="B141" s="1732"/>
      <c r="C141" s="1671"/>
      <c r="D141" s="1671"/>
      <c r="E141" s="1671"/>
      <c r="F141" s="1671"/>
      <c r="G141" s="1821"/>
      <c r="H141" s="1822"/>
      <c r="I141" s="1823"/>
      <c r="J141" s="1671"/>
      <c r="K141" s="1671"/>
      <c r="L141" s="1820"/>
      <c r="M141" s="1671"/>
      <c r="N141" s="1671"/>
      <c r="O141" s="1671"/>
    </row>
    <row r="142" spans="1:15" ht="16">
      <c r="A142" s="1671"/>
      <c r="B142" s="1732"/>
      <c r="C142" s="1671"/>
      <c r="D142" s="1671"/>
      <c r="E142" s="1671"/>
      <c r="F142" s="1671"/>
      <c r="G142" s="1821"/>
      <c r="H142" s="1822"/>
      <c r="I142" s="1823"/>
      <c r="J142" s="1671"/>
      <c r="K142" s="1671"/>
      <c r="L142" s="1820"/>
      <c r="M142" s="1671"/>
      <c r="N142" s="1671"/>
      <c r="O142" s="1671"/>
    </row>
    <row r="143" spans="1:15" ht="14">
      <c r="A143" s="1671"/>
      <c r="B143" s="1732"/>
      <c r="C143" s="1671"/>
      <c r="D143" s="1671"/>
      <c r="E143" s="1671"/>
      <c r="F143" s="1671"/>
      <c r="G143" s="1821"/>
      <c r="H143" s="1822"/>
      <c r="I143" s="1823"/>
      <c r="J143" s="1671"/>
      <c r="K143" s="1671"/>
      <c r="L143" s="1671"/>
      <c r="M143" s="1671"/>
      <c r="N143" s="1671"/>
      <c r="O143" s="1671"/>
    </row>
    <row r="144" spans="1:15" ht="14">
      <c r="A144" s="1671"/>
      <c r="B144" s="1732"/>
      <c r="C144" s="1671"/>
      <c r="D144" s="1671"/>
      <c r="E144" s="1671"/>
      <c r="F144" s="1671"/>
      <c r="G144" s="1821"/>
      <c r="H144" s="1822"/>
      <c r="I144" s="1823"/>
      <c r="J144" s="1671"/>
      <c r="K144" s="1671"/>
      <c r="L144" s="1671"/>
      <c r="M144" s="1671"/>
      <c r="N144" s="1671"/>
      <c r="O144" s="1671"/>
    </row>
    <row r="145" spans="1:15" ht="14">
      <c r="A145" s="1671"/>
      <c r="B145" s="1732"/>
      <c r="C145" s="1671"/>
      <c r="D145" s="1671"/>
      <c r="E145" s="1671"/>
      <c r="F145" s="1671"/>
      <c r="G145" s="1821"/>
      <c r="H145" s="1822"/>
      <c r="I145" s="1823"/>
      <c r="J145" s="1671"/>
      <c r="K145" s="1671"/>
      <c r="L145" s="1671"/>
      <c r="M145" s="1671"/>
      <c r="N145" s="1671"/>
      <c r="O145" s="1671"/>
    </row>
    <row r="146" spans="1:15" ht="14">
      <c r="A146" s="1671"/>
      <c r="B146" s="1732"/>
      <c r="C146" s="1671"/>
      <c r="D146" s="1671"/>
      <c r="E146" s="1671"/>
      <c r="F146" s="1671"/>
      <c r="G146" s="1821"/>
      <c r="H146" s="1822"/>
      <c r="I146" s="1823"/>
      <c r="J146" s="1671"/>
      <c r="K146" s="1671"/>
      <c r="L146" s="1671"/>
      <c r="M146" s="1671"/>
      <c r="N146" s="1671"/>
      <c r="O146" s="1671"/>
    </row>
    <row r="147" spans="1:15" ht="14">
      <c r="A147" s="1671"/>
      <c r="B147" s="1732"/>
      <c r="C147" s="1671"/>
      <c r="D147" s="1671"/>
      <c r="E147" s="1671"/>
      <c r="F147" s="1671"/>
      <c r="G147" s="1821"/>
      <c r="H147" s="1822"/>
      <c r="I147" s="1823"/>
      <c r="J147" s="1671"/>
      <c r="K147" s="1671"/>
      <c r="L147" s="1671"/>
      <c r="M147" s="1671"/>
      <c r="N147" s="1671"/>
      <c r="O147" s="1671"/>
    </row>
    <row r="148" spans="1:15" ht="14">
      <c r="A148" s="1671"/>
      <c r="B148" s="1732"/>
      <c r="C148" s="1671"/>
      <c r="D148" s="1671"/>
      <c r="E148" s="1671"/>
      <c r="F148" s="1671"/>
      <c r="G148" s="1821"/>
      <c r="H148" s="1822"/>
      <c r="I148" s="1823"/>
      <c r="J148" s="1671"/>
      <c r="K148" s="1671"/>
      <c r="L148" s="1671"/>
      <c r="M148" s="1671"/>
      <c r="N148" s="1671"/>
      <c r="O148" s="1671"/>
    </row>
    <row r="149" spans="1:15" ht="14">
      <c r="A149" s="1671"/>
      <c r="B149" s="1732"/>
      <c r="C149" s="1671"/>
      <c r="D149" s="1671"/>
      <c r="E149" s="1671"/>
      <c r="F149" s="1671"/>
      <c r="G149" s="1821"/>
      <c r="H149" s="1822"/>
      <c r="I149" s="1823"/>
      <c r="J149" s="1671"/>
      <c r="K149" s="1671"/>
      <c r="L149" s="1671"/>
      <c r="M149" s="1671"/>
      <c r="N149" s="1671"/>
      <c r="O149" s="1671"/>
    </row>
    <row r="150" spans="1:15">
      <c r="A150" s="1671"/>
      <c r="B150" s="1732"/>
      <c r="C150" s="1671"/>
      <c r="D150" s="1671"/>
      <c r="E150" s="1671"/>
      <c r="F150" s="1671"/>
      <c r="G150" s="1821"/>
      <c r="H150" s="1805"/>
      <c r="I150" s="1667"/>
      <c r="J150" s="1671"/>
      <c r="K150" s="1671"/>
      <c r="L150" s="1671"/>
      <c r="M150" s="1671"/>
      <c r="N150" s="1671"/>
      <c r="O150" s="1671"/>
    </row>
    <row r="151" spans="1:15" ht="14">
      <c r="A151" s="1671"/>
      <c r="B151" s="1732"/>
      <c r="C151" s="1671"/>
      <c r="D151" s="1671"/>
      <c r="E151" s="1671"/>
      <c r="F151" s="1671"/>
      <c r="G151" s="1826"/>
      <c r="H151" s="1822"/>
      <c r="I151" s="1671"/>
      <c r="J151" s="1671"/>
      <c r="K151" s="1671"/>
      <c r="L151" s="1671"/>
      <c r="M151" s="1671"/>
      <c r="N151" s="1671"/>
      <c r="O151" s="1671"/>
    </row>
    <row r="152" spans="1:15" ht="16">
      <c r="A152" s="1835"/>
      <c r="B152" s="1732"/>
      <c r="C152" s="1671"/>
      <c r="D152" s="1671"/>
      <c r="E152" s="1671"/>
      <c r="F152" s="1671"/>
      <c r="G152" s="1836"/>
      <c r="H152" s="1837"/>
      <c r="I152" s="1671"/>
      <c r="J152" s="1671"/>
      <c r="K152" s="1671"/>
      <c r="L152" s="1671"/>
      <c r="M152" s="1671"/>
      <c r="N152" s="1671"/>
      <c r="O152" s="1671"/>
    </row>
    <row r="153" spans="1:15">
      <c r="A153" s="1671"/>
      <c r="B153" s="1671"/>
      <c r="C153" s="1671"/>
      <c r="D153" s="1671"/>
      <c r="E153" s="1671"/>
      <c r="F153" s="1671"/>
      <c r="G153" s="1671"/>
      <c r="H153" s="1671"/>
      <c r="I153" s="1671"/>
      <c r="J153" s="1671"/>
      <c r="K153" s="1671"/>
      <c r="L153" s="1671"/>
      <c r="M153" s="1671"/>
      <c r="N153" s="1671"/>
      <c r="O153" s="1671"/>
    </row>
    <row r="156" spans="1:15">
      <c r="B156" s="1831"/>
    </row>
    <row r="157" spans="1:15">
      <c r="B157" s="1831"/>
    </row>
    <row r="158" spans="1:15">
      <c r="B158" s="1831"/>
    </row>
    <row r="159" spans="1:15">
      <c r="B159" s="1831"/>
    </row>
    <row r="160" spans="1:15">
      <c r="B160" s="1831"/>
    </row>
    <row r="161" spans="2:2">
      <c r="B161" s="1831"/>
    </row>
    <row r="162" spans="2:2">
      <c r="B162" s="1831"/>
    </row>
    <row r="163" spans="2:2">
      <c r="B163" s="1831"/>
    </row>
    <row r="164" spans="2:2">
      <c r="B164" s="1831"/>
    </row>
    <row r="165" spans="2:2">
      <c r="B165" s="1831"/>
    </row>
    <row r="166" spans="2:2">
      <c r="B166" s="1831"/>
    </row>
    <row r="167" spans="2:2">
      <c r="B167" s="1831"/>
    </row>
    <row r="168" spans="2:2">
      <c r="B168" s="1831"/>
    </row>
    <row r="169" spans="2:2">
      <c r="B169" s="1831"/>
    </row>
    <row r="170" spans="2:2">
      <c r="B170" s="1831"/>
    </row>
    <row r="171" spans="2:2">
      <c r="B171" s="1831"/>
    </row>
    <row r="172" spans="2:2">
      <c r="B172" s="1831"/>
    </row>
    <row r="173" spans="2:2">
      <c r="B173" s="1831"/>
    </row>
    <row r="174" spans="2:2">
      <c r="B174" s="1831"/>
    </row>
    <row r="175" spans="2:2">
      <c r="B175" s="1831"/>
    </row>
    <row r="176" spans="2:2">
      <c r="B176" s="1831"/>
    </row>
    <row r="177" spans="2:2">
      <c r="B177" s="1831"/>
    </row>
    <row r="178" spans="2:2">
      <c r="B178" s="1831"/>
    </row>
    <row r="179" spans="2:2">
      <c r="B179" s="1831"/>
    </row>
    <row r="180" spans="2:2">
      <c r="B180" s="1831"/>
    </row>
    <row r="181" spans="2:2">
      <c r="B181" s="1831"/>
    </row>
    <row r="182" spans="2:2">
      <c r="B182" s="1831"/>
    </row>
    <row r="183" spans="2:2">
      <c r="B183" s="1831"/>
    </row>
    <row r="184" spans="2:2">
      <c r="B184" s="1831"/>
    </row>
    <row r="185" spans="2:2">
      <c r="B185" s="1831"/>
    </row>
  </sheetData>
  <pageMargins left="0.51181102362204722" right="0.39370078740157483" top="0.35433070866141736" bottom="0.27559055118110237" header="0.19685039370078741" footer="0.15748031496062992"/>
  <pageSetup paperSize="9" scale="56" fitToHeight="2" orientation="landscape" cellComments="asDisplayed"/>
  <headerFooter alignWithMargins="0">
    <oddFooter>&amp;R&amp;P/&amp;N</oddFooter>
  </headerFooter>
  <rowBreaks count="1" manualBreakCount="1">
    <brk id="61" max="16383" man="1"/>
  </rowBreak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C6FF4-EA0B-E44B-B594-75A7A0F62DA6}">
  <sheetPr>
    <pageSetUpPr fitToPage="1"/>
  </sheetPr>
  <dimension ref="A1:B10"/>
  <sheetViews>
    <sheetView zoomScale="115" zoomScaleNormal="115" workbookViewId="0">
      <selection activeCell="A2" sqref="A2"/>
    </sheetView>
  </sheetViews>
  <sheetFormatPr baseColWidth="10" defaultColWidth="11.59765625" defaultRowHeight="13"/>
  <cols>
    <col min="1" max="1" width="5.59765625" style="393" customWidth="1"/>
    <col min="2" max="16384" width="11.59765625" style="393"/>
  </cols>
  <sheetData>
    <row r="1" spans="1:2" ht="16">
      <c r="A1" s="394" t="s">
        <v>1924</v>
      </c>
    </row>
    <row r="2" spans="1:2" ht="16">
      <c r="A2" s="394"/>
    </row>
    <row r="3" spans="1:2" s="1308" customFormat="1">
      <c r="A3" s="1307" t="s">
        <v>223</v>
      </c>
      <c r="B3" s="537" t="s">
        <v>1925</v>
      </c>
    </row>
    <row r="4" spans="1:2" s="1308" customFormat="1">
      <c r="A4" s="1307" t="s">
        <v>225</v>
      </c>
      <c r="B4" s="537" t="s">
        <v>1926</v>
      </c>
    </row>
    <row r="5" spans="1:2">
      <c r="A5" s="1307" t="s">
        <v>226</v>
      </c>
      <c r="B5" s="537" t="s">
        <v>1927</v>
      </c>
    </row>
    <row r="6" spans="1:2">
      <c r="A6" s="1307" t="s">
        <v>227</v>
      </c>
      <c r="B6" s="537" t="s">
        <v>1928</v>
      </c>
    </row>
    <row r="7" spans="1:2" s="1308" customFormat="1">
      <c r="A7" s="1307" t="s">
        <v>229</v>
      </c>
      <c r="B7" s="537" t="s">
        <v>1929</v>
      </c>
    </row>
    <row r="8" spans="1:2" ht="18.75" customHeight="1"/>
    <row r="10" spans="1:2">
      <c r="A10" s="402" t="s">
        <v>302</v>
      </c>
    </row>
  </sheetData>
  <pageMargins left="0.46" right="0.35" top="0.88" bottom="0.984251969" header="0.4921259845" footer="0.4921259845"/>
  <pageSetup paperSize="9" orientation="portrait"/>
  <headerFooter alignWithMargins="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F485B-45AB-044B-AA89-0D2154272867}">
  <dimension ref="A1:K33"/>
  <sheetViews>
    <sheetView zoomScaleNormal="100" workbookViewId="0"/>
  </sheetViews>
  <sheetFormatPr baseColWidth="10" defaultColWidth="11.3984375" defaultRowHeight="13"/>
  <cols>
    <col min="1" max="1" width="21.796875" style="3" customWidth="1"/>
    <col min="2" max="3" width="13.3984375" style="3" customWidth="1"/>
    <col min="4" max="4" width="13.59765625" style="3" customWidth="1"/>
    <col min="5" max="6" width="13.3984375" style="3" customWidth="1"/>
    <col min="7" max="7" width="13.59765625" style="3" customWidth="1"/>
    <col min="8" max="16384" width="11.3984375" style="3"/>
  </cols>
  <sheetData>
    <row r="1" spans="1:11" s="1" customFormat="1" ht="14" customHeight="1"/>
    <row r="2" spans="1:11" s="1" customFormat="1" ht="21.5" customHeight="1">
      <c r="A2" s="223" t="s">
        <v>1930</v>
      </c>
      <c r="G2" s="361"/>
    </row>
    <row r="3" spans="1:11" ht="24" customHeight="1">
      <c r="A3" s="224" t="s">
        <v>1931</v>
      </c>
      <c r="B3" s="267" t="s">
        <v>1505</v>
      </c>
      <c r="C3" s="268" t="s">
        <v>721</v>
      </c>
      <c r="D3" s="267" t="s">
        <v>1505</v>
      </c>
      <c r="E3" s="268" t="s">
        <v>721</v>
      </c>
      <c r="F3" s="267" t="s">
        <v>381</v>
      </c>
      <c r="G3" s="305" t="s">
        <v>475</v>
      </c>
    </row>
    <row r="4" spans="1:11" ht="15" customHeight="1">
      <c r="A4" s="269" t="s">
        <v>1932</v>
      </c>
      <c r="B4" s="270" t="s">
        <v>1933</v>
      </c>
      <c r="C4" s="271" t="s">
        <v>1144</v>
      </c>
      <c r="D4" s="270" t="s">
        <v>1934</v>
      </c>
      <c r="E4" s="271" t="s">
        <v>1144</v>
      </c>
      <c r="F4" s="270"/>
      <c r="G4" s="306" t="s">
        <v>476</v>
      </c>
    </row>
    <row r="5" spans="1:11" ht="15" customHeight="1">
      <c r="A5" s="269"/>
      <c r="B5" s="270"/>
      <c r="C5" s="271" t="s">
        <v>648</v>
      </c>
      <c r="D5" s="270"/>
      <c r="E5" s="271" t="s">
        <v>648</v>
      </c>
      <c r="F5" s="270"/>
      <c r="G5" s="306" t="s">
        <v>477</v>
      </c>
    </row>
    <row r="6" spans="1:11" ht="14.25" customHeight="1">
      <c r="A6" s="273"/>
      <c r="B6" s="274"/>
      <c r="C6" s="275"/>
      <c r="D6" s="274"/>
      <c r="E6" s="275"/>
      <c r="F6" s="274"/>
      <c r="G6" s="307"/>
    </row>
    <row r="7" spans="1:11" ht="21.5" customHeight="1" thickBot="1">
      <c r="A7" s="277">
        <v>1996</v>
      </c>
      <c r="B7" s="370">
        <v>82</v>
      </c>
      <c r="C7" s="318">
        <v>0.56551724137931036</v>
      </c>
      <c r="D7" s="287">
        <v>63</v>
      </c>
      <c r="E7" s="318">
        <v>0.43448275862068964</v>
      </c>
      <c r="F7" s="287">
        <v>145</v>
      </c>
      <c r="G7" s="308" t="s">
        <v>153</v>
      </c>
      <c r="I7" s="8"/>
      <c r="J7" s="8"/>
      <c r="K7" s="8"/>
    </row>
    <row r="8" spans="1:11" ht="18.5" customHeight="1" thickBot="1">
      <c r="A8" s="280">
        <v>1997</v>
      </c>
      <c r="B8" s="349">
        <v>60</v>
      </c>
      <c r="C8" s="741">
        <v>0.46511627906976744</v>
      </c>
      <c r="D8" s="289">
        <v>69</v>
      </c>
      <c r="E8" s="741">
        <v>0.53488372093023251</v>
      </c>
      <c r="F8" s="289">
        <v>129</v>
      </c>
      <c r="G8" s="1309">
        <v>-0.1103448275862069</v>
      </c>
    </row>
    <row r="9" spans="1:11" ht="18.5" customHeight="1" thickBot="1">
      <c r="A9" s="280">
        <v>1998</v>
      </c>
      <c r="B9" s="349">
        <v>62</v>
      </c>
      <c r="C9" s="741">
        <v>0.52542372881355937</v>
      </c>
      <c r="D9" s="289">
        <v>56</v>
      </c>
      <c r="E9" s="741">
        <v>0.47457627118644069</v>
      </c>
      <c r="F9" s="289">
        <v>118</v>
      </c>
      <c r="G9" s="1309">
        <v>-8.5271317829457363E-2</v>
      </c>
    </row>
    <row r="10" spans="1:11" ht="20" customHeight="1" thickBot="1">
      <c r="A10" s="280">
        <v>1999</v>
      </c>
      <c r="B10" s="349">
        <v>59</v>
      </c>
      <c r="C10" s="741">
        <v>0.54128440366972475</v>
      </c>
      <c r="D10" s="289">
        <v>50</v>
      </c>
      <c r="E10" s="741">
        <v>0.45871559633027525</v>
      </c>
      <c r="F10" s="289">
        <v>109</v>
      </c>
      <c r="G10" s="1309">
        <v>-7.6271186440677971E-2</v>
      </c>
    </row>
    <row r="11" spans="1:11" ht="19.5" customHeight="1" thickBot="1">
      <c r="A11" s="280">
        <v>2000</v>
      </c>
      <c r="B11" s="349">
        <v>59</v>
      </c>
      <c r="C11" s="741">
        <v>0.58415841584158412</v>
      </c>
      <c r="D11" s="289">
        <v>42</v>
      </c>
      <c r="E11" s="741">
        <v>0.41584158415841582</v>
      </c>
      <c r="F11" s="289">
        <v>101</v>
      </c>
      <c r="G11" s="1309">
        <v>-7.3394495412844041E-2</v>
      </c>
    </row>
    <row r="12" spans="1:11" ht="20" customHeight="1" thickBot="1">
      <c r="A12" s="280">
        <v>2001</v>
      </c>
      <c r="B12" s="349">
        <v>64</v>
      </c>
      <c r="C12" s="741">
        <v>0.64646464646464652</v>
      </c>
      <c r="D12" s="289">
        <v>35</v>
      </c>
      <c r="E12" s="741">
        <v>0.35353535353535354</v>
      </c>
      <c r="F12" s="289">
        <v>99</v>
      </c>
      <c r="G12" s="1309">
        <v>-1.9801980198019802E-2</v>
      </c>
    </row>
    <row r="13" spans="1:11" ht="20" customHeight="1" thickBot="1">
      <c r="A13" s="280">
        <v>2002</v>
      </c>
      <c r="B13" s="349">
        <v>68</v>
      </c>
      <c r="C13" s="741">
        <v>0.73118279569892475</v>
      </c>
      <c r="D13" s="289">
        <v>25</v>
      </c>
      <c r="E13" s="741">
        <v>0.26881720430107525</v>
      </c>
      <c r="F13" s="289">
        <v>93</v>
      </c>
      <c r="G13" s="1309">
        <v>-6.0606060606060608E-2</v>
      </c>
    </row>
    <row r="14" spans="1:11" ht="20" customHeight="1" thickBot="1">
      <c r="A14" s="280">
        <v>2003</v>
      </c>
      <c r="B14" s="349">
        <v>70</v>
      </c>
      <c r="C14" s="741">
        <v>0.75268817204301075</v>
      </c>
      <c r="D14" s="289">
        <v>23</v>
      </c>
      <c r="E14" s="741">
        <v>0.24731182795698925</v>
      </c>
      <c r="F14" s="289">
        <v>93</v>
      </c>
      <c r="G14" s="1309">
        <v>0</v>
      </c>
    </row>
    <row r="15" spans="1:11" ht="20" customHeight="1" thickBot="1">
      <c r="A15" s="280">
        <v>2004</v>
      </c>
      <c r="B15" s="349">
        <v>72</v>
      </c>
      <c r="C15" s="741">
        <v>0.77419354838709675</v>
      </c>
      <c r="D15" s="289">
        <v>21</v>
      </c>
      <c r="E15" s="741">
        <v>0.22580645161290322</v>
      </c>
      <c r="F15" s="289">
        <v>93</v>
      </c>
      <c r="G15" s="1309">
        <v>0</v>
      </c>
    </row>
    <row r="16" spans="1:11" ht="20" customHeight="1" thickBot="1">
      <c r="A16" s="280">
        <v>2005</v>
      </c>
      <c r="B16" s="349">
        <v>65</v>
      </c>
      <c r="C16" s="741">
        <v>0.76470588235294112</v>
      </c>
      <c r="D16" s="289">
        <v>20</v>
      </c>
      <c r="E16" s="741">
        <v>0.23529411764705882</v>
      </c>
      <c r="F16" s="289">
        <v>85</v>
      </c>
      <c r="G16" s="1309">
        <v>-8.6021505376344093E-2</v>
      </c>
    </row>
    <row r="17" spans="1:7" ht="20" customHeight="1" thickBot="1">
      <c r="A17" s="280">
        <v>2006</v>
      </c>
      <c r="B17" s="349">
        <v>66</v>
      </c>
      <c r="C17" s="741">
        <v>0.75862068965517238</v>
      </c>
      <c r="D17" s="289">
        <v>21</v>
      </c>
      <c r="E17" s="741">
        <v>0.2413793103448276</v>
      </c>
      <c r="F17" s="289">
        <v>87</v>
      </c>
      <c r="G17" s="1309">
        <v>2.3529411764705882E-2</v>
      </c>
    </row>
    <row r="18" spans="1:7" ht="20" customHeight="1" thickBot="1">
      <c r="A18" s="280">
        <v>2007</v>
      </c>
      <c r="B18" s="349">
        <v>66</v>
      </c>
      <c r="C18" s="741">
        <v>0.75862068965517238</v>
      </c>
      <c r="D18" s="289">
        <v>21</v>
      </c>
      <c r="E18" s="741">
        <v>0.2413793103448276</v>
      </c>
      <c r="F18" s="289">
        <v>87</v>
      </c>
      <c r="G18" s="1309">
        <v>0</v>
      </c>
    </row>
    <row r="19" spans="1:7" ht="20" customHeight="1" thickBot="1">
      <c r="A19" s="280">
        <v>2008</v>
      </c>
      <c r="B19" s="349">
        <v>63</v>
      </c>
      <c r="C19" s="741">
        <v>0.73255813953488369</v>
      </c>
      <c r="D19" s="289">
        <v>23</v>
      </c>
      <c r="E19" s="741">
        <v>0.26744186046511625</v>
      </c>
      <c r="F19" s="289">
        <v>86</v>
      </c>
      <c r="G19" s="1309">
        <v>-1.1494252873563204E-2</v>
      </c>
    </row>
    <row r="20" spans="1:7" ht="20" customHeight="1" thickBot="1">
      <c r="A20" s="280">
        <v>2009</v>
      </c>
      <c r="B20" s="349">
        <v>59</v>
      </c>
      <c r="C20" s="741">
        <v>0.71951219512195119</v>
      </c>
      <c r="D20" s="289">
        <v>23</v>
      </c>
      <c r="E20" s="741">
        <v>0.28048780487804881</v>
      </c>
      <c r="F20" s="289">
        <v>82</v>
      </c>
      <c r="G20" s="1309">
        <v>-4.6511627906976716E-2</v>
      </c>
    </row>
    <row r="21" spans="1:7" ht="20" customHeight="1" thickBot="1">
      <c r="A21" s="280">
        <v>2010</v>
      </c>
      <c r="B21" s="349">
        <v>55</v>
      </c>
      <c r="C21" s="741">
        <v>0.67901234567901236</v>
      </c>
      <c r="D21" s="289">
        <v>26</v>
      </c>
      <c r="E21" s="741">
        <v>0.32098765432098764</v>
      </c>
      <c r="F21" s="289">
        <v>81</v>
      </c>
      <c r="G21" s="1309">
        <v>-1.2195121951219523E-2</v>
      </c>
    </row>
    <row r="22" spans="1:7" ht="20" customHeight="1" thickBot="1">
      <c r="A22" s="280">
        <v>2011</v>
      </c>
      <c r="B22" s="349">
        <v>38</v>
      </c>
      <c r="C22" s="741">
        <v>0.60317460317460314</v>
      </c>
      <c r="D22" s="289">
        <v>25</v>
      </c>
      <c r="E22" s="741">
        <v>0.3968253968253968</v>
      </c>
      <c r="F22" s="289">
        <v>63</v>
      </c>
      <c r="G22" s="1309">
        <v>-0.22222222222222221</v>
      </c>
    </row>
    <row r="23" spans="1:7" ht="20" customHeight="1" thickBot="1">
      <c r="A23" s="280">
        <v>2012</v>
      </c>
      <c r="B23" s="349">
        <v>36</v>
      </c>
      <c r="C23" s="741">
        <v>0.5901639344262295</v>
      </c>
      <c r="D23" s="289">
        <v>25</v>
      </c>
      <c r="E23" s="741">
        <v>0.4098360655737705</v>
      </c>
      <c r="F23" s="289">
        <v>61</v>
      </c>
      <c r="G23" s="1309">
        <v>-3.1746031746031744E-2</v>
      </c>
    </row>
    <row r="24" spans="1:7" ht="24.75" customHeight="1" thickBot="1">
      <c r="A24" s="391">
        <v>2013</v>
      </c>
      <c r="B24" s="372">
        <v>35</v>
      </c>
      <c r="C24" s="1310">
        <v>0.58333333333333337</v>
      </c>
      <c r="D24" s="363">
        <v>25</v>
      </c>
      <c r="E24" s="1310">
        <v>0.41666666666666669</v>
      </c>
      <c r="F24" s="363">
        <v>60</v>
      </c>
      <c r="G24" s="310">
        <v>-1.6393442622950838E-2</v>
      </c>
    </row>
    <row r="25" spans="1:7" ht="16.75" customHeight="1">
      <c r="A25" s="189" t="s">
        <v>1938</v>
      </c>
      <c r="B25" s="189"/>
      <c r="C25" s="189"/>
      <c r="D25" s="189"/>
      <c r="E25" s="189"/>
      <c r="F25" s="189"/>
      <c r="G25" s="189"/>
    </row>
    <row r="26" spans="1:7">
      <c r="A26" s="219"/>
      <c r="B26" s="219"/>
      <c r="C26" s="219"/>
      <c r="D26" s="219"/>
      <c r="E26" s="219"/>
      <c r="F26" s="219"/>
      <c r="G26" s="219"/>
    </row>
    <row r="27" spans="1:7">
      <c r="A27" s="219" t="s">
        <v>1935</v>
      </c>
      <c r="B27" s="219"/>
      <c r="C27" s="219"/>
      <c r="D27" s="219"/>
      <c r="E27" s="219"/>
      <c r="F27" s="219"/>
      <c r="G27" s="219"/>
    </row>
    <row r="28" spans="1:7">
      <c r="A28" s="219"/>
      <c r="B28" s="219"/>
      <c r="C28" s="219"/>
      <c r="D28" s="219"/>
      <c r="E28" s="219"/>
      <c r="F28" s="219"/>
      <c r="G28" s="219"/>
    </row>
    <row r="29" spans="1:7">
      <c r="A29" s="3" t="s">
        <v>1936</v>
      </c>
    </row>
    <row r="30" spans="1:7">
      <c r="A30" s="3" t="s">
        <v>1937</v>
      </c>
    </row>
    <row r="33" spans="1:1">
      <c r="A33" s="219" t="s">
        <v>302</v>
      </c>
    </row>
  </sheetData>
  <pageMargins left="0.55118110236220474" right="0.55118110236220474" top="0.82677165354330717" bottom="0.47244094488188981" header="0.47244094488188981" footer="0.51181102362204722"/>
  <pageSetup paperSize="9" scale="80" orientation="portrait" horizontalDpi="1200" verticalDpi="1200"/>
  <headerFooter alignWithMargins="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42529-2F91-B44C-B12A-FADC37F86CC5}">
  <sheetPr>
    <pageSetUpPr fitToPage="1"/>
  </sheetPr>
  <dimension ref="A1:O38"/>
  <sheetViews>
    <sheetView topLeftCell="A14" zoomScaleNormal="100" workbookViewId="0">
      <selection activeCell="J31" sqref="J31"/>
    </sheetView>
  </sheetViews>
  <sheetFormatPr baseColWidth="10" defaultColWidth="11.3984375" defaultRowHeight="13"/>
  <cols>
    <col min="1" max="1" width="18" style="3" customWidth="1"/>
    <col min="2" max="7" width="14.3984375" style="3" customWidth="1"/>
    <col min="8" max="8" width="15.19921875" style="3" customWidth="1"/>
    <col min="9" max="11" width="14.3984375" style="3" customWidth="1"/>
    <col min="12" max="16384" width="11.3984375" style="3"/>
  </cols>
  <sheetData>
    <row r="1" spans="1:15" s="1" customFormat="1" ht="14" customHeight="1"/>
    <row r="2" spans="1:15" s="1" customFormat="1" ht="24" customHeight="1">
      <c r="A2" s="125" t="s">
        <v>1985</v>
      </c>
      <c r="B2" s="360"/>
      <c r="C2" s="360"/>
      <c r="D2" s="360"/>
      <c r="E2" s="360"/>
      <c r="F2" s="360"/>
      <c r="G2" s="361"/>
      <c r="H2" s="360"/>
      <c r="I2" s="361"/>
    </row>
    <row r="3" spans="1:15" ht="27" customHeight="1">
      <c r="A3" s="224" t="s">
        <v>1931</v>
      </c>
      <c r="B3" s="1332" t="s">
        <v>1986</v>
      </c>
      <c r="C3" s="1333"/>
      <c r="D3" s="1333"/>
      <c r="E3" s="1333"/>
      <c r="F3" s="1333"/>
      <c r="G3" s="1333"/>
      <c r="H3" s="1333"/>
      <c r="I3" s="1333"/>
      <c r="J3" s="1334" t="s">
        <v>1987</v>
      </c>
      <c r="K3" s="1335"/>
    </row>
    <row r="4" spans="1:15" ht="19.75" customHeight="1">
      <c r="A4" s="269" t="s">
        <v>1932</v>
      </c>
      <c r="B4" s="270" t="s">
        <v>1988</v>
      </c>
      <c r="C4" s="306" t="s">
        <v>475</v>
      </c>
      <c r="D4" s="270" t="s">
        <v>1988</v>
      </c>
      <c r="E4" s="306" t="s">
        <v>475</v>
      </c>
      <c r="F4" s="270"/>
      <c r="G4" s="306" t="s">
        <v>475</v>
      </c>
      <c r="H4" s="270" t="s">
        <v>1989</v>
      </c>
      <c r="I4" s="306" t="s">
        <v>475</v>
      </c>
      <c r="J4" s="270" t="s">
        <v>1989</v>
      </c>
      <c r="K4" s="306" t="s">
        <v>475</v>
      </c>
    </row>
    <row r="5" spans="1:15" ht="18" customHeight="1">
      <c r="A5" s="269"/>
      <c r="B5" s="494" t="s">
        <v>1990</v>
      </c>
      <c r="C5" s="1130" t="s">
        <v>476</v>
      </c>
      <c r="D5" s="494" t="s">
        <v>1991</v>
      </c>
      <c r="E5" s="1130" t="s">
        <v>476</v>
      </c>
      <c r="F5" s="494" t="s">
        <v>1992</v>
      </c>
      <c r="G5" s="1130" t="s">
        <v>476</v>
      </c>
      <c r="H5" s="494" t="s">
        <v>1993</v>
      </c>
      <c r="I5" s="1130" t="s">
        <v>476</v>
      </c>
      <c r="J5" s="494" t="s">
        <v>1994</v>
      </c>
      <c r="K5" s="1130" t="s">
        <v>476</v>
      </c>
    </row>
    <row r="6" spans="1:15" ht="24" customHeight="1">
      <c r="A6" s="273"/>
      <c r="B6" s="274"/>
      <c r="C6" s="307" t="s">
        <v>477</v>
      </c>
      <c r="D6" s="274"/>
      <c r="E6" s="307" t="s">
        <v>1995</v>
      </c>
      <c r="F6" s="274"/>
      <c r="G6" s="307" t="s">
        <v>1995</v>
      </c>
      <c r="H6" s="274"/>
      <c r="I6" s="307" t="s">
        <v>1995</v>
      </c>
      <c r="J6" s="274"/>
      <c r="K6" s="307" t="s">
        <v>1995</v>
      </c>
    </row>
    <row r="7" spans="1:15" ht="22.75" customHeight="1" thickBot="1">
      <c r="A7" s="277">
        <v>1996</v>
      </c>
      <c r="B7" s="287">
        <v>913.21658500000001</v>
      </c>
      <c r="C7" s="308" t="s">
        <v>153</v>
      </c>
      <c r="D7" s="287">
        <v>2674.048675</v>
      </c>
      <c r="E7" s="1336" t="s">
        <v>153</v>
      </c>
      <c r="F7" s="287" t="s">
        <v>153</v>
      </c>
      <c r="G7" s="1336" t="s">
        <v>153</v>
      </c>
      <c r="H7" s="287">
        <v>2700.0837871538001</v>
      </c>
      <c r="I7" s="1336" t="s">
        <v>153</v>
      </c>
      <c r="J7" s="287">
        <v>530</v>
      </c>
      <c r="K7" s="308" t="s">
        <v>153</v>
      </c>
      <c r="M7" s="8"/>
      <c r="N7" s="8"/>
      <c r="O7" s="8"/>
    </row>
    <row r="8" spans="1:15" ht="17.5" customHeight="1" thickBot="1">
      <c r="A8" s="280">
        <v>1997</v>
      </c>
      <c r="B8" s="289">
        <v>951.20448216581099</v>
      </c>
      <c r="C8" s="309">
        <v>4.1597905458332182E-2</v>
      </c>
      <c r="D8" s="289">
        <v>2894.7924399622598</v>
      </c>
      <c r="E8" s="309">
        <v>8.2550391481658339E-2</v>
      </c>
      <c r="F8" s="289" t="s">
        <v>153</v>
      </c>
      <c r="G8" s="309" t="s">
        <v>153</v>
      </c>
      <c r="H8" s="289">
        <v>2920.9762776999996</v>
      </c>
      <c r="I8" s="309">
        <v>8.1809494800546792E-2</v>
      </c>
      <c r="J8" s="289">
        <v>532</v>
      </c>
      <c r="K8" s="309">
        <v>3.7735849056603774E-3</v>
      </c>
    </row>
    <row r="9" spans="1:15" ht="19.25" customHeight="1" thickBot="1">
      <c r="A9" s="280">
        <v>1998</v>
      </c>
      <c r="B9" s="289">
        <v>1005.42211</v>
      </c>
      <c r="C9" s="309">
        <v>5.6998919633704945E-2</v>
      </c>
      <c r="D9" s="289">
        <v>3172.9022279999999</v>
      </c>
      <c r="E9" s="309">
        <v>9.6072445194504488E-2</v>
      </c>
      <c r="F9" s="289" t="s">
        <v>153</v>
      </c>
      <c r="G9" s="309" t="s">
        <v>153</v>
      </c>
      <c r="H9" s="289">
        <v>3195.8409717</v>
      </c>
      <c r="I9" s="309">
        <v>9.410028287406394E-2</v>
      </c>
      <c r="J9" s="289">
        <v>609.28660000000002</v>
      </c>
      <c r="K9" s="309">
        <v>0.14527556390977447</v>
      </c>
    </row>
    <row r="10" spans="1:15" ht="20" customHeight="1" thickBot="1">
      <c r="A10" s="280">
        <v>1999</v>
      </c>
      <c r="B10" s="289">
        <v>1043.283537</v>
      </c>
      <c r="C10" s="309">
        <v>3.7657245273828376E-2</v>
      </c>
      <c r="D10" s="289">
        <v>3340.3853559999998</v>
      </c>
      <c r="E10" s="309">
        <v>5.2785467677512014E-2</v>
      </c>
      <c r="F10" s="289" t="s">
        <v>153</v>
      </c>
      <c r="G10" s="309" t="s">
        <v>153</v>
      </c>
      <c r="H10" s="289">
        <v>3366.2303517</v>
      </c>
      <c r="I10" s="309">
        <v>5.3315975828848242E-2</v>
      </c>
      <c r="J10" s="289">
        <v>659.60795700000006</v>
      </c>
      <c r="K10" s="309">
        <v>8.2590618273896119E-2</v>
      </c>
    </row>
    <row r="11" spans="1:15" ht="20.25" customHeight="1" thickBot="1">
      <c r="A11" s="280">
        <v>2000</v>
      </c>
      <c r="B11" s="289">
        <v>1090.4996369999999</v>
      </c>
      <c r="C11" s="309">
        <v>4.5257207964549594E-2</v>
      </c>
      <c r="D11" s="289">
        <v>3554.1311930000002</v>
      </c>
      <c r="E11" s="309">
        <v>6.3988376854805129E-2</v>
      </c>
      <c r="F11" s="289" t="s">
        <v>153</v>
      </c>
      <c r="G11" s="309" t="s">
        <v>153</v>
      </c>
      <c r="H11" s="289">
        <v>3574.6433511999999</v>
      </c>
      <c r="I11" s="309">
        <v>6.1912875152690588E-2</v>
      </c>
      <c r="J11" s="289">
        <v>732.09943699999997</v>
      </c>
      <c r="K11" s="309">
        <v>0.10990085736640061</v>
      </c>
    </row>
    <row r="12" spans="1:15" ht="20" customHeight="1" thickBot="1">
      <c r="A12" s="280">
        <v>2001</v>
      </c>
      <c r="B12" s="289">
        <v>1148.4065562125586</v>
      </c>
      <c r="C12" s="309">
        <v>5.3101273258432738E-2</v>
      </c>
      <c r="D12" s="289">
        <v>3804.1073437743612</v>
      </c>
      <c r="E12" s="309">
        <v>7.0333968331472624E-2</v>
      </c>
      <c r="F12" s="289" t="s">
        <v>153</v>
      </c>
      <c r="G12" s="309" t="s">
        <v>153</v>
      </c>
      <c r="H12" s="289">
        <v>3823.6874216000001</v>
      </c>
      <c r="I12" s="309">
        <v>6.9669627409513935E-2</v>
      </c>
      <c r="J12" s="289">
        <v>844.73803099999998</v>
      </c>
      <c r="K12" s="309">
        <v>0.15385696028065654</v>
      </c>
    </row>
    <row r="13" spans="1:15" ht="20" customHeight="1" thickBot="1">
      <c r="A13" s="280">
        <v>2002</v>
      </c>
      <c r="B13" s="289">
        <v>1176.9857406315903</v>
      </c>
      <c r="C13" s="309">
        <v>2.4885946761994921E-2</v>
      </c>
      <c r="D13" s="289">
        <v>3992.1493332093432</v>
      </c>
      <c r="E13" s="309">
        <v>4.9431304756087785E-2</v>
      </c>
      <c r="F13" s="289" t="s">
        <v>153</v>
      </c>
      <c r="G13" s="309" t="s">
        <v>153</v>
      </c>
      <c r="H13" s="289">
        <v>4008.1321854000003</v>
      </c>
      <c r="I13" s="309">
        <v>4.8237406320943539E-2</v>
      </c>
      <c r="J13" s="289">
        <v>928.34341900000004</v>
      </c>
      <c r="K13" s="309">
        <v>9.8971971110414073E-2</v>
      </c>
    </row>
    <row r="14" spans="1:15" ht="20" customHeight="1" thickBot="1">
      <c r="A14" s="280">
        <v>2003</v>
      </c>
      <c r="B14" s="289">
        <v>1165.5985248499421</v>
      </c>
      <c r="C14" s="309">
        <v>-9.6748969749944191E-3</v>
      </c>
      <c r="D14" s="289">
        <v>4231.4747261964076</v>
      </c>
      <c r="E14" s="309">
        <v>5.9949008168656705E-2</v>
      </c>
      <c r="F14" s="289" t="s">
        <v>153</v>
      </c>
      <c r="G14" s="309" t="s">
        <v>153</v>
      </c>
      <c r="H14" s="289">
        <v>4250.4137197999999</v>
      </c>
      <c r="I14" s="309">
        <v>6.0447491048956158E-2</v>
      </c>
      <c r="J14" s="289">
        <v>1008.669965</v>
      </c>
      <c r="K14" s="309">
        <v>8.652675761576116E-2</v>
      </c>
    </row>
    <row r="15" spans="1:15" ht="20" customHeight="1" thickBot="1">
      <c r="A15" s="280">
        <v>2004</v>
      </c>
      <c r="B15" s="289">
        <v>1233.4256947047143</v>
      </c>
      <c r="C15" s="309">
        <v>5.8190850802169757E-2</v>
      </c>
      <c r="D15" s="289">
        <v>4554.5751523643485</v>
      </c>
      <c r="E15" s="309">
        <v>7.6356458935622609E-2</v>
      </c>
      <c r="F15" s="289" t="s">
        <v>153</v>
      </c>
      <c r="G15" s="309" t="s">
        <v>153</v>
      </c>
      <c r="H15" s="289">
        <v>4567.5769311000004</v>
      </c>
      <c r="I15" s="309">
        <v>7.461937406764356E-2</v>
      </c>
      <c r="J15" s="289">
        <v>1102.909758</v>
      </c>
      <c r="K15" s="309">
        <v>9.3429760248685462E-2</v>
      </c>
    </row>
    <row r="16" spans="1:15" ht="20" customHeight="1" thickBot="1">
      <c r="A16" s="280">
        <v>2005</v>
      </c>
      <c r="B16" s="289">
        <v>1249.2878390447622</v>
      </c>
      <c r="C16" s="309">
        <v>1.286023504143507E-2</v>
      </c>
      <c r="D16" s="289">
        <v>4844.6728040822618</v>
      </c>
      <c r="E16" s="309">
        <v>6.3693679874251119E-2</v>
      </c>
      <c r="F16" s="289" t="s">
        <v>153</v>
      </c>
      <c r="G16" s="309" t="s">
        <v>153</v>
      </c>
      <c r="H16" s="289">
        <v>4864.8994010479901</v>
      </c>
      <c r="I16" s="309">
        <v>6.5094135125248156E-2</v>
      </c>
      <c r="J16" s="289">
        <v>1201.552809</v>
      </c>
      <c r="K16" s="309">
        <v>8.9438914004059442E-2</v>
      </c>
    </row>
    <row r="17" spans="1:11" ht="20" customHeight="1" thickBot="1">
      <c r="A17" s="280">
        <v>2006</v>
      </c>
      <c r="B17" s="289">
        <v>1280.5357003449858</v>
      </c>
      <c r="C17" s="309">
        <v>2.5012539403342388E-2</v>
      </c>
      <c r="D17" s="289">
        <v>4994.7882609152675</v>
      </c>
      <c r="E17" s="309">
        <v>3.0985674967876901E-2</v>
      </c>
      <c r="F17" s="289" t="s">
        <v>153</v>
      </c>
      <c r="G17" s="309" t="s">
        <v>153</v>
      </c>
      <c r="H17" s="289">
        <v>5017.5943470699103</v>
      </c>
      <c r="I17" s="309">
        <v>3.1387071639965861E-2</v>
      </c>
      <c r="J17" s="289">
        <v>1236.2073047456083</v>
      </c>
      <c r="K17" s="309">
        <v>2.884142543385149E-2</v>
      </c>
    </row>
    <row r="18" spans="1:11" ht="20" customHeight="1" thickBot="1">
      <c r="A18" s="280">
        <v>2007</v>
      </c>
      <c r="B18" s="289">
        <v>1328.2484532036312</v>
      </c>
      <c r="C18" s="309">
        <v>3.7259994270984614E-2</v>
      </c>
      <c r="D18" s="289">
        <v>5286.2111265764588</v>
      </c>
      <c r="E18" s="309">
        <v>5.8345389321426341E-2</v>
      </c>
      <c r="F18" s="289" t="s">
        <v>153</v>
      </c>
      <c r="G18" s="309" t="s">
        <v>153</v>
      </c>
      <c r="H18" s="289">
        <v>5314.2624448377801</v>
      </c>
      <c r="I18" s="309">
        <v>5.9125564413375298E-2</v>
      </c>
      <c r="J18" s="289">
        <v>1323.229456</v>
      </c>
      <c r="K18" s="309">
        <v>7.0394464520899647E-2</v>
      </c>
    </row>
    <row r="19" spans="1:11" ht="20" customHeight="1" thickBot="1">
      <c r="A19" s="280">
        <v>2008</v>
      </c>
      <c r="B19" s="289">
        <v>1413.6658153593723</v>
      </c>
      <c r="C19" s="309">
        <v>6.4308271505772119E-2</v>
      </c>
      <c r="D19" s="289">
        <v>5584.9685713290592</v>
      </c>
      <c r="E19" s="309">
        <v>5.6516366372617144E-2</v>
      </c>
      <c r="F19" s="289" t="s">
        <v>153</v>
      </c>
      <c r="G19" s="309" t="s">
        <v>153</v>
      </c>
      <c r="H19" s="289">
        <v>5616.6313242319802</v>
      </c>
      <c r="I19" s="309">
        <v>5.6897618913781312E-2</v>
      </c>
      <c r="J19" s="289">
        <v>1444.5191400000001</v>
      </c>
      <c r="K19" s="309">
        <v>9.1661868204360841E-2</v>
      </c>
    </row>
    <row r="20" spans="1:11" ht="20" customHeight="1" thickBot="1">
      <c r="A20" s="280">
        <v>2009</v>
      </c>
      <c r="B20" s="289">
        <v>1466.6020914374751</v>
      </c>
      <c r="C20" s="309">
        <v>3.744610324657649E-2</v>
      </c>
      <c r="D20" s="289">
        <v>5832.6763857591932</v>
      </c>
      <c r="E20" s="309">
        <v>4.4352588786580549E-2</v>
      </c>
      <c r="F20" s="289" t="s">
        <v>153</v>
      </c>
      <c r="G20" s="309" t="s">
        <v>153</v>
      </c>
      <c r="H20" s="289">
        <v>5872.0143444789601</v>
      </c>
      <c r="I20" s="309">
        <v>4.5469073098170831E-2</v>
      </c>
      <c r="J20" s="289">
        <v>1561.012176</v>
      </c>
      <c r="K20" s="309">
        <v>8.0644854591542359E-2</v>
      </c>
    </row>
    <row r="21" spans="1:11" ht="20" customHeight="1" thickBot="1">
      <c r="A21" s="280">
        <v>2010</v>
      </c>
      <c r="B21" s="289">
        <v>1484.1461971649883</v>
      </c>
      <c r="C21" s="309">
        <v>1.1962416956815769E-2</v>
      </c>
      <c r="D21" s="289">
        <v>5995.9585199097392</v>
      </c>
      <c r="E21" s="309">
        <v>2.7994375712187436E-2</v>
      </c>
      <c r="F21" s="289" t="s">
        <v>153</v>
      </c>
      <c r="G21" s="309" t="s">
        <v>153</v>
      </c>
      <c r="H21" s="289">
        <v>6040.5789144503296</v>
      </c>
      <c r="I21" s="309">
        <v>2.8706430209908929E-2</v>
      </c>
      <c r="J21" s="289">
        <v>1545.7138600000001</v>
      </c>
      <c r="K21" s="309">
        <v>-9.8002541140972399E-3</v>
      </c>
    </row>
    <row r="22" spans="1:11" ht="20" customHeight="1" thickBot="1">
      <c r="A22" s="280">
        <v>2011</v>
      </c>
      <c r="B22" s="289">
        <v>1497.262430776653</v>
      </c>
      <c r="C22" s="309">
        <v>8.8375617150919794E-3</v>
      </c>
      <c r="D22" s="289">
        <v>6104.6428431117456</v>
      </c>
      <c r="E22" s="309">
        <v>1.8126263355744854E-2</v>
      </c>
      <c r="F22" s="289" t="s">
        <v>153</v>
      </c>
      <c r="G22" s="309" t="s">
        <v>153</v>
      </c>
      <c r="H22" s="289">
        <v>6153.0139991454898</v>
      </c>
      <c r="I22" s="309">
        <v>1.8613296223345843E-2</v>
      </c>
      <c r="J22" s="289">
        <v>1497.322009</v>
      </c>
      <c r="K22" s="309">
        <v>-3.1307121099373503E-2</v>
      </c>
    </row>
    <row r="23" spans="1:11" ht="20" customHeight="1" thickBot="1">
      <c r="A23" s="280">
        <v>2012</v>
      </c>
      <c r="B23" s="289">
        <v>1492.5121436756388</v>
      </c>
      <c r="C23" s="309">
        <v>-3.1726482968988945E-3</v>
      </c>
      <c r="D23" s="289">
        <v>6081.1312675938352</v>
      </c>
      <c r="E23" s="309">
        <v>-3.8514252384871384E-3</v>
      </c>
      <c r="F23" s="289">
        <v>5078.731074639798</v>
      </c>
      <c r="G23" s="309" t="s">
        <v>153</v>
      </c>
      <c r="H23" s="289">
        <v>7153.3901980000001</v>
      </c>
      <c r="I23" s="309">
        <v>0.16258311763851663</v>
      </c>
      <c r="J23" s="289">
        <v>1564.3890551745117</v>
      </c>
      <c r="K23" s="309">
        <v>4.4791331304415261E-2</v>
      </c>
    </row>
    <row r="24" spans="1:11" ht="24" customHeight="1" thickBot="1">
      <c r="A24" s="391">
        <v>2013</v>
      </c>
      <c r="B24" s="363">
        <v>1535.5737507415508</v>
      </c>
      <c r="C24" s="310">
        <v>2.8851763282718323E-2</v>
      </c>
      <c r="D24" s="363">
        <v>6295.2768465843346</v>
      </c>
      <c r="E24" s="310">
        <v>3.5214760143671642E-2</v>
      </c>
      <c r="F24" s="363">
        <v>5277.726233728974</v>
      </c>
      <c r="G24" s="310">
        <v>3.9182062638213111E-2</v>
      </c>
      <c r="H24" s="363">
        <v>7382.1485899999998</v>
      </c>
      <c r="I24" s="310">
        <v>3.1979017733991144E-2</v>
      </c>
      <c r="J24" s="1887">
        <v>1590.2123026612592</v>
      </c>
      <c r="K24" s="310">
        <v>1.6792132787069258E-2</v>
      </c>
    </row>
    <row r="25" spans="1:11" ht="15.5" customHeight="1">
      <c r="A25" s="189" t="s">
        <v>1938</v>
      </c>
      <c r="B25" s="189"/>
      <c r="C25" s="189"/>
      <c r="D25" s="189"/>
      <c r="E25" s="189"/>
      <c r="F25" s="189"/>
      <c r="G25" s="189"/>
      <c r="H25" s="189"/>
      <c r="I25" s="189"/>
      <c r="J25" s="189"/>
      <c r="K25" s="189"/>
    </row>
    <row r="26" spans="1:11">
      <c r="A26" s="219"/>
      <c r="B26" s="219"/>
      <c r="C26" s="219"/>
      <c r="D26" s="219"/>
      <c r="E26" s="219"/>
      <c r="F26" s="219"/>
      <c r="G26" s="219"/>
      <c r="H26" s="219"/>
      <c r="I26" s="219"/>
    </row>
    <row r="27" spans="1:11">
      <c r="A27" s="219" t="s">
        <v>1935</v>
      </c>
      <c r="B27" s="219"/>
      <c r="C27" s="219"/>
      <c r="D27" s="219"/>
      <c r="E27" s="219"/>
      <c r="F27" s="219"/>
      <c r="G27" s="219"/>
      <c r="H27" s="219"/>
      <c r="I27" s="219"/>
    </row>
    <row r="28" spans="1:11">
      <c r="A28" s="219"/>
      <c r="B28" s="219"/>
      <c r="C28" s="219"/>
      <c r="D28" s="219"/>
      <c r="E28" s="219"/>
      <c r="F28" s="219"/>
      <c r="G28" s="219"/>
      <c r="H28" s="219"/>
      <c r="I28" s="219"/>
    </row>
    <row r="29" spans="1:11">
      <c r="A29" s="219" t="s">
        <v>1996</v>
      </c>
    </row>
    <row r="30" spans="1:11">
      <c r="A30" s="80" t="s">
        <v>1997</v>
      </c>
    </row>
    <row r="31" spans="1:11">
      <c r="A31" s="219" t="s">
        <v>1998</v>
      </c>
    </row>
    <row r="32" spans="1:11">
      <c r="A32" s="80" t="s">
        <v>1999</v>
      </c>
    </row>
    <row r="33" spans="1:1">
      <c r="A33" s="80" t="s">
        <v>2000</v>
      </c>
    </row>
    <row r="34" spans="1:1">
      <c r="A34" s="80" t="s">
        <v>2001</v>
      </c>
    </row>
    <row r="35" spans="1:1">
      <c r="A35" s="80" t="s">
        <v>2002</v>
      </c>
    </row>
    <row r="38" spans="1:1">
      <c r="A38" s="219" t="s">
        <v>302</v>
      </c>
    </row>
  </sheetData>
  <pageMargins left="0.39370078740157483" right="0.39370078740157483" top="0.51181102362204722" bottom="0.47244094488188981" header="0.51181102362204722" footer="0.51181102362204722"/>
  <pageSetup paperSize="9" scale="81" orientation="landscape" horizontalDpi="1200" verticalDpi="1200"/>
  <headerFooter alignWithMargins="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BE153-DA1D-9040-A17E-DF96A9DC3D38}">
  <sheetPr>
    <pageSetUpPr fitToPage="1"/>
  </sheetPr>
  <dimension ref="A1:J35"/>
  <sheetViews>
    <sheetView zoomScaleNormal="100" workbookViewId="0"/>
  </sheetViews>
  <sheetFormatPr baseColWidth="10" defaultColWidth="11.3984375" defaultRowHeight="13"/>
  <cols>
    <col min="1" max="1" width="14.796875" style="3" customWidth="1"/>
    <col min="2" max="2" width="16.59765625" style="369" customWidth="1"/>
    <col min="3" max="3" width="16.19921875" style="201" customWidth="1"/>
    <col min="4" max="4" width="16.19921875" style="369" customWidth="1"/>
    <col min="5" max="5" width="16.19921875" style="201" customWidth="1"/>
    <col min="6" max="6" width="16.19921875" style="369" customWidth="1"/>
    <col min="7" max="7" width="16.19921875" style="201" customWidth="1"/>
    <col min="8" max="8" width="7.59765625" style="3" customWidth="1"/>
    <col min="9" max="9" width="6.3984375" style="3" customWidth="1"/>
    <col min="10" max="10" width="8.59765625" style="3" customWidth="1"/>
    <col min="11" max="16384" width="11.3984375" style="3"/>
  </cols>
  <sheetData>
    <row r="1" spans="1:10" s="1" customFormat="1" ht="18.75" customHeight="1">
      <c r="A1" s="631"/>
      <c r="B1" s="632"/>
      <c r="C1" s="1321"/>
      <c r="D1" s="1322"/>
      <c r="E1" s="1321"/>
      <c r="F1" s="1322"/>
      <c r="G1" s="1321"/>
    </row>
    <row r="2" spans="1:10" s="1" customFormat="1" ht="40.5" customHeight="1">
      <c r="A2" s="2033" t="s">
        <v>1960</v>
      </c>
      <c r="B2" s="2011"/>
      <c r="C2" s="2011"/>
      <c r="D2" s="2011"/>
      <c r="E2" s="2011"/>
      <c r="F2" s="2011"/>
      <c r="G2" s="361">
        <v>2013</v>
      </c>
    </row>
    <row r="3" spans="1:10" ht="27" customHeight="1">
      <c r="A3" s="224" t="s">
        <v>1049</v>
      </c>
      <c r="B3" s="781" t="s">
        <v>1050</v>
      </c>
      <c r="C3" s="268" t="s">
        <v>1961</v>
      </c>
      <c r="D3" s="781" t="s">
        <v>1051</v>
      </c>
      <c r="E3" s="268" t="s">
        <v>1961</v>
      </c>
      <c r="F3" s="781" t="s">
        <v>461</v>
      </c>
      <c r="G3" s="268" t="s">
        <v>1961</v>
      </c>
    </row>
    <row r="4" spans="1:10" ht="15" customHeight="1">
      <c r="A4" s="306"/>
      <c r="B4" s="614"/>
      <c r="C4" s="271" t="s">
        <v>1962</v>
      </c>
      <c r="D4" s="614"/>
      <c r="E4" s="271" t="s">
        <v>1962</v>
      </c>
      <c r="F4" s="614" t="s">
        <v>638</v>
      </c>
      <c r="G4" s="271" t="s">
        <v>1962</v>
      </c>
    </row>
    <row r="5" spans="1:10" ht="15" customHeight="1">
      <c r="A5" s="306"/>
      <c r="B5" s="614"/>
      <c r="C5" s="271" t="s">
        <v>477</v>
      </c>
      <c r="D5" s="614"/>
      <c r="E5" s="271" t="s">
        <v>477</v>
      </c>
      <c r="F5" s="614"/>
      <c r="G5" s="271" t="s">
        <v>477</v>
      </c>
    </row>
    <row r="6" spans="1:10" ht="23" customHeight="1">
      <c r="A6" s="307"/>
      <c r="B6" s="362"/>
      <c r="C6" s="275"/>
      <c r="D6" s="362"/>
      <c r="E6" s="275"/>
      <c r="F6" s="362"/>
      <c r="G6" s="275"/>
    </row>
    <row r="7" spans="1:10" ht="30" customHeight="1" thickBot="1">
      <c r="A7" s="334" t="s">
        <v>1963</v>
      </c>
      <c r="B7" s="287">
        <v>0</v>
      </c>
      <c r="C7" s="318" t="s">
        <v>153</v>
      </c>
      <c r="D7" s="287">
        <v>0</v>
      </c>
      <c r="E7" s="318" t="s">
        <v>153</v>
      </c>
      <c r="F7" s="287">
        <v>0</v>
      </c>
      <c r="G7" s="318" t="s">
        <v>153</v>
      </c>
      <c r="H7" s="1323"/>
      <c r="I7" s="1323"/>
      <c r="J7" s="1323"/>
    </row>
    <row r="8" spans="1:10" ht="20" customHeight="1" thickBot="1">
      <c r="A8" s="339" t="s">
        <v>1964</v>
      </c>
      <c r="B8" s="1324">
        <v>-199.23018069742045</v>
      </c>
      <c r="C8" s="1325">
        <v>-3.4585459134062262</v>
      </c>
      <c r="D8" s="781">
        <v>-155.73234343061691</v>
      </c>
      <c r="E8" s="1325">
        <v>-1.7296087116949934</v>
      </c>
      <c r="F8" s="781">
        <v>-177.46101748720707</v>
      </c>
      <c r="G8" s="1325">
        <v>-2.6006103754971264</v>
      </c>
      <c r="H8" s="1323"/>
      <c r="I8" s="1323"/>
      <c r="J8" s="1323"/>
    </row>
    <row r="9" spans="1:10" ht="20" customHeight="1" thickBot="1">
      <c r="A9" s="339" t="s">
        <v>1965</v>
      </c>
      <c r="B9" s="1326">
        <v>-197.74995322083257</v>
      </c>
      <c r="C9" s="1327">
        <v>-4.5436809152071476</v>
      </c>
      <c r="D9" s="1326">
        <v>-107.21367713976878</v>
      </c>
      <c r="E9" s="1327">
        <v>-2.0586176666695479</v>
      </c>
      <c r="F9" s="1326">
        <v>-152.84525019532265</v>
      </c>
      <c r="G9" s="1327">
        <v>-3.310249939342242</v>
      </c>
      <c r="H9" s="1323"/>
      <c r="I9" s="1323"/>
      <c r="J9" s="1323"/>
    </row>
    <row r="10" spans="1:10" ht="20" customHeight="1" thickBot="1">
      <c r="A10" s="339" t="s">
        <v>1966</v>
      </c>
      <c r="B10" s="1326">
        <v>-185.0165637845719</v>
      </c>
      <c r="C10" s="1327">
        <v>-2.7705841265390632</v>
      </c>
      <c r="D10" s="1326">
        <v>-75.867631842941407</v>
      </c>
      <c r="E10" s="1327">
        <v>-0.57041521169340115</v>
      </c>
      <c r="F10" s="1326">
        <v>-130.88017532532396</v>
      </c>
      <c r="G10" s="1327">
        <v>-1.648877361854602</v>
      </c>
      <c r="H10" s="1323"/>
      <c r="I10" s="1323"/>
      <c r="J10" s="1323"/>
    </row>
    <row r="11" spans="1:10" ht="20" customHeight="1" thickBot="1">
      <c r="A11" s="339" t="s">
        <v>1967</v>
      </c>
      <c r="B11" s="1326">
        <v>-168.65702032758739</v>
      </c>
      <c r="C11" s="1327">
        <v>-4.0373826386770304</v>
      </c>
      <c r="D11" s="1326">
        <v>-86.963787155237597</v>
      </c>
      <c r="E11" s="1327">
        <v>-2.2484874836419948</v>
      </c>
      <c r="F11" s="1326">
        <v>-128.04344368011158</v>
      </c>
      <c r="G11" s="1327">
        <v>-3.123750893387637</v>
      </c>
      <c r="H11" s="1323"/>
      <c r="I11" s="1323"/>
      <c r="J11" s="1323"/>
    </row>
    <row r="12" spans="1:10" ht="20" customHeight="1" thickBot="1">
      <c r="A12" s="339" t="s">
        <v>1968</v>
      </c>
      <c r="B12" s="1326">
        <v>-148.52897630152833</v>
      </c>
      <c r="C12" s="1327">
        <v>-3.6959640897219117</v>
      </c>
      <c r="D12" s="1326">
        <v>-92.990708925471182</v>
      </c>
      <c r="E12" s="1327">
        <v>-0.8347269264243522</v>
      </c>
      <c r="F12" s="1326">
        <v>-120.92379364711083</v>
      </c>
      <c r="G12" s="1327">
        <v>-2.2596852224629487</v>
      </c>
      <c r="H12" s="1323"/>
      <c r="I12" s="1323"/>
      <c r="J12" s="1323"/>
    </row>
    <row r="13" spans="1:10" ht="20" customHeight="1" thickBot="1">
      <c r="A13" s="339" t="s">
        <v>1969</v>
      </c>
      <c r="B13" s="1326">
        <v>-118.38036703855983</v>
      </c>
      <c r="C13" s="1327">
        <v>-2.9119554548272646</v>
      </c>
      <c r="D13" s="1326">
        <v>-65.895234252371367</v>
      </c>
      <c r="E13" s="1327">
        <v>0.56627521129752267</v>
      </c>
      <c r="F13" s="1326">
        <v>-92.484774175516122</v>
      </c>
      <c r="G13" s="1327">
        <v>-1.1087155332444922</v>
      </c>
      <c r="H13" s="1323"/>
      <c r="I13" s="1323"/>
      <c r="J13" s="1323"/>
    </row>
    <row r="14" spans="1:10" ht="20" customHeight="1" thickBot="1">
      <c r="A14" s="339" t="s">
        <v>1970</v>
      </c>
      <c r="B14" s="1326">
        <v>-76.51162378142638</v>
      </c>
      <c r="C14" s="1327">
        <v>-2.1813271017926752</v>
      </c>
      <c r="D14" s="1326">
        <v>-32.495042017644373</v>
      </c>
      <c r="E14" s="1327">
        <v>-5.1719154396280942E-2</v>
      </c>
      <c r="F14" s="1326">
        <v>-54.738824527007218</v>
      </c>
      <c r="G14" s="1327">
        <v>-1.0849446422793321</v>
      </c>
      <c r="H14" s="1323"/>
      <c r="I14" s="1323"/>
      <c r="J14" s="1323"/>
    </row>
    <row r="15" spans="1:10" ht="20" customHeight="1" thickBot="1">
      <c r="A15" s="339" t="s">
        <v>1971</v>
      </c>
      <c r="B15" s="1326">
        <v>-13.753268632919776</v>
      </c>
      <c r="C15" s="1327">
        <v>2.2781082754786297E-2</v>
      </c>
      <c r="D15" s="1326">
        <v>6.3788079673000482</v>
      </c>
      <c r="E15" s="1327">
        <v>-0.84047048274818348</v>
      </c>
      <c r="F15" s="1326">
        <v>-3.7429108375185942</v>
      </c>
      <c r="G15" s="1327">
        <v>-0.41709813306637145</v>
      </c>
      <c r="H15" s="1323"/>
      <c r="I15" s="1323"/>
      <c r="J15" s="1323"/>
    </row>
    <row r="16" spans="1:10" ht="20" customHeight="1" thickBot="1">
      <c r="A16" s="339" t="s">
        <v>1972</v>
      </c>
      <c r="B16" s="1326">
        <v>65.067862662488395</v>
      </c>
      <c r="C16" s="1327">
        <v>5.7209035753091584</v>
      </c>
      <c r="D16" s="1326">
        <v>58.575924696411192</v>
      </c>
      <c r="E16" s="1327">
        <v>-4.4520709086796657</v>
      </c>
      <c r="F16" s="1326">
        <v>61.771479813188002</v>
      </c>
      <c r="G16" s="1327">
        <v>0.55849226852940603</v>
      </c>
      <c r="H16" s="1323"/>
      <c r="I16" s="1323"/>
      <c r="J16" s="1323"/>
    </row>
    <row r="17" spans="1:10" ht="20" customHeight="1" thickBot="1">
      <c r="A17" s="339" t="s">
        <v>1973</v>
      </c>
      <c r="B17" s="1326">
        <v>161.58135035083387</v>
      </c>
      <c r="C17" s="1327">
        <v>5.1416418413061535</v>
      </c>
      <c r="D17" s="1326">
        <v>143.65771703358371</v>
      </c>
      <c r="E17" s="1327">
        <v>-1.1536518853141615</v>
      </c>
      <c r="F17" s="1326">
        <v>152.31927136611534</v>
      </c>
      <c r="G17" s="1327">
        <v>1.8906392023038734</v>
      </c>
      <c r="H17" s="1323"/>
      <c r="I17" s="1323"/>
      <c r="J17" s="1323"/>
    </row>
    <row r="18" spans="1:10" ht="20" customHeight="1" thickBot="1">
      <c r="A18" s="339" t="s">
        <v>1974</v>
      </c>
      <c r="B18" s="1326">
        <v>265.7095597551691</v>
      </c>
      <c r="C18" s="1327">
        <v>4.3510137375773184</v>
      </c>
      <c r="D18" s="1326">
        <v>238.16124292264053</v>
      </c>
      <c r="E18" s="1327">
        <v>2.7216215791334264</v>
      </c>
      <c r="F18" s="1326">
        <v>250.90049456497024</v>
      </c>
      <c r="G18" s="1327">
        <v>3.5586415216754403</v>
      </c>
      <c r="H18" s="1323"/>
      <c r="I18" s="1323"/>
      <c r="J18" s="1323"/>
    </row>
    <row r="19" spans="1:10" ht="20" customHeight="1" thickBot="1">
      <c r="A19" s="339" t="s">
        <v>1975</v>
      </c>
      <c r="B19" s="1326">
        <v>395.15565409764002</v>
      </c>
      <c r="C19" s="1327">
        <v>8.2340657772447798</v>
      </c>
      <c r="D19" s="1326">
        <v>369.00936579107571</v>
      </c>
      <c r="E19" s="1327">
        <v>0.16117974681077385</v>
      </c>
      <c r="F19" s="1326">
        <v>380.37289006442199</v>
      </c>
      <c r="G19" s="1327">
        <v>3.72591592738911</v>
      </c>
      <c r="H19" s="1323"/>
      <c r="I19" s="1323"/>
      <c r="J19" s="1323"/>
    </row>
    <row r="20" spans="1:10" ht="20" customHeight="1" thickBot="1">
      <c r="A20" s="339" t="s">
        <v>1976</v>
      </c>
      <c r="B20" s="287">
        <v>514.65061272112393</v>
      </c>
      <c r="C20" s="1328">
        <v>9.1364018292937885</v>
      </c>
      <c r="D20" s="287">
        <v>537.61692083660489</v>
      </c>
      <c r="E20" s="1328">
        <v>3.3289350582725774</v>
      </c>
      <c r="F20" s="287">
        <v>528.64042215167399</v>
      </c>
      <c r="G20" s="1328">
        <v>5.4495013191183261</v>
      </c>
      <c r="H20" s="1323"/>
      <c r="I20" s="1323"/>
      <c r="J20" s="1323"/>
    </row>
    <row r="21" spans="1:10" ht="20" customHeight="1" thickBot="1">
      <c r="A21" s="339" t="s">
        <v>1977</v>
      </c>
      <c r="B21" s="289">
        <v>653.1886227080912</v>
      </c>
      <c r="C21" s="1329">
        <v>3.6677248028164513</v>
      </c>
      <c r="D21" s="352">
        <v>774.39160064643067</v>
      </c>
      <c r="E21" s="1329">
        <v>-9.5749508966050598</v>
      </c>
      <c r="F21" s="352">
        <v>733.9071053024694</v>
      </c>
      <c r="G21" s="1329">
        <v>-5.67328759753741</v>
      </c>
      <c r="H21" s="1323"/>
      <c r="I21" s="1323"/>
      <c r="J21" s="1323"/>
    </row>
    <row r="22" spans="1:10" ht="23.5" customHeight="1" thickBot="1">
      <c r="A22" s="234" t="s">
        <v>1978</v>
      </c>
      <c r="B22" s="390">
        <v>888.11474124193205</v>
      </c>
      <c r="C22" s="1330">
        <v>1.9033009281808972</v>
      </c>
      <c r="D22" s="1331">
        <v>1141.9173385805327</v>
      </c>
      <c r="E22" s="1330">
        <v>-31.817480574877891</v>
      </c>
      <c r="F22" s="1331">
        <v>1074.0952237471658</v>
      </c>
      <c r="G22" s="1330">
        <v>-23.027951495194202</v>
      </c>
      <c r="H22" s="1323"/>
      <c r="I22" s="1323"/>
      <c r="J22" s="1323"/>
    </row>
    <row r="23" spans="1:10" ht="18.5" customHeight="1">
      <c r="A23" s="189" t="s">
        <v>1938</v>
      </c>
      <c r="B23" s="365"/>
      <c r="C23" s="412"/>
      <c r="D23" s="365"/>
      <c r="E23" s="412"/>
      <c r="F23" s="365"/>
      <c r="G23" s="412"/>
    </row>
    <row r="24" spans="1:10" ht="11.25" customHeight="1">
      <c r="A24" s="219"/>
      <c r="B24" s="366"/>
      <c r="C24" s="220"/>
      <c r="D24" s="366"/>
      <c r="E24" s="220"/>
      <c r="F24" s="366"/>
      <c r="G24" s="220"/>
    </row>
    <row r="25" spans="1:10" ht="15.75" customHeight="1">
      <c r="A25" s="219" t="s">
        <v>1935</v>
      </c>
      <c r="B25" s="366"/>
      <c r="C25" s="220"/>
      <c r="D25" s="366"/>
      <c r="E25" s="220"/>
      <c r="F25" s="366"/>
      <c r="G25" s="220"/>
    </row>
    <row r="26" spans="1:10">
      <c r="A26" s="1103"/>
      <c r="B26" s="366"/>
      <c r="C26" s="220"/>
      <c r="D26" s="366"/>
      <c r="E26" s="220"/>
      <c r="F26" s="366"/>
      <c r="G26" s="220"/>
    </row>
    <row r="27" spans="1:10">
      <c r="A27" s="1103" t="s">
        <v>1979</v>
      </c>
      <c r="B27" s="366"/>
      <c r="C27" s="220"/>
      <c r="D27" s="366"/>
      <c r="E27" s="220"/>
      <c r="F27" s="366"/>
      <c r="G27" s="220"/>
    </row>
    <row r="28" spans="1:10">
      <c r="A28" s="1103" t="s">
        <v>1980</v>
      </c>
      <c r="B28" s="366"/>
      <c r="C28" s="220"/>
      <c r="D28" s="366"/>
      <c r="E28" s="220"/>
      <c r="F28" s="366"/>
      <c r="G28" s="220"/>
    </row>
    <row r="29" spans="1:10">
      <c r="A29" s="1103" t="s">
        <v>1981</v>
      </c>
      <c r="B29" s="366"/>
      <c r="C29" s="220"/>
      <c r="D29" s="366"/>
      <c r="E29" s="220"/>
      <c r="F29" s="366"/>
      <c r="G29" s="220"/>
    </row>
    <row r="30" spans="1:10">
      <c r="A30" s="1103" t="s">
        <v>1982</v>
      </c>
      <c r="B30" s="366"/>
      <c r="C30" s="220"/>
      <c r="D30" s="366"/>
      <c r="E30" s="220"/>
      <c r="F30" s="366"/>
      <c r="G30" s="220"/>
    </row>
    <row r="31" spans="1:10">
      <c r="A31" s="1103" t="s">
        <v>1983</v>
      </c>
      <c r="B31" s="366"/>
      <c r="C31" s="220"/>
      <c r="D31" s="366"/>
      <c r="E31" s="220"/>
      <c r="F31" s="366"/>
      <c r="G31" s="220"/>
    </row>
    <row r="32" spans="1:10">
      <c r="A32" s="1103" t="s">
        <v>1984</v>
      </c>
      <c r="B32" s="366"/>
      <c r="C32" s="220"/>
      <c r="D32" s="366"/>
      <c r="E32" s="220"/>
      <c r="F32" s="366"/>
      <c r="G32" s="220"/>
    </row>
    <row r="33" spans="1:7">
      <c r="A33" s="1103"/>
      <c r="B33" s="366"/>
      <c r="C33" s="220"/>
      <c r="D33" s="366"/>
      <c r="E33" s="220"/>
      <c r="F33" s="366"/>
      <c r="G33" s="220"/>
    </row>
    <row r="34" spans="1:7">
      <c r="A34" s="1103"/>
      <c r="B34" s="366"/>
      <c r="C34" s="220"/>
      <c r="D34" s="366"/>
      <c r="E34" s="220"/>
      <c r="F34" s="366"/>
      <c r="G34" s="220"/>
    </row>
    <row r="35" spans="1:7">
      <c r="A35" s="219" t="s">
        <v>302</v>
      </c>
    </row>
  </sheetData>
  <mergeCells count="1">
    <mergeCell ref="A2:F2"/>
  </mergeCells>
  <pageMargins left="0.47244094488188981" right="0.32" top="0.74803149606299213" bottom="0.86614173228346458" header="0.39370078740157483" footer="0.51181102362204722"/>
  <pageSetup paperSize="9" scale="80" orientation="portrait" horizontalDpi="1200" verticalDpi="1200"/>
  <headerFooter alignWithMargins="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3655E-7263-9F44-B28A-B6EED0137856}">
  <sheetPr>
    <pageSetUpPr fitToPage="1"/>
  </sheetPr>
  <dimension ref="A1:H47"/>
  <sheetViews>
    <sheetView zoomScaleNormal="100" workbookViewId="0"/>
  </sheetViews>
  <sheetFormatPr baseColWidth="10" defaultColWidth="11.3984375" defaultRowHeight="13"/>
  <cols>
    <col min="1" max="5" width="14.796875" style="3" customWidth="1"/>
    <col min="6" max="6" width="15.59765625" style="3" customWidth="1"/>
    <col min="7" max="7" width="15" style="68" customWidth="1"/>
    <col min="8" max="8" width="12.19921875" style="3" customWidth="1"/>
    <col min="9" max="16384" width="11.3984375" style="3"/>
  </cols>
  <sheetData>
    <row r="1" spans="1:8" s="1" customFormat="1" ht="14" customHeight="1">
      <c r="G1" s="493"/>
    </row>
    <row r="2" spans="1:8" s="1" customFormat="1" ht="46.25" customHeight="1">
      <c r="A2" s="2010" t="s">
        <v>1952</v>
      </c>
      <c r="B2" s="2034"/>
      <c r="C2" s="2034"/>
      <c r="D2" s="2034"/>
      <c r="E2" s="2034"/>
      <c r="F2" s="2034"/>
      <c r="G2" s="311">
        <v>2013</v>
      </c>
    </row>
    <row r="3" spans="1:8" ht="27" customHeight="1">
      <c r="A3" s="224" t="s">
        <v>67</v>
      </c>
      <c r="B3" s="267" t="s">
        <v>495</v>
      </c>
      <c r="C3" s="268" t="s">
        <v>644</v>
      </c>
      <c r="D3" s="267" t="s">
        <v>645</v>
      </c>
      <c r="E3" s="268" t="s">
        <v>381</v>
      </c>
      <c r="F3" s="267" t="s">
        <v>381</v>
      </c>
      <c r="G3" s="1283" t="s">
        <v>679</v>
      </c>
    </row>
    <row r="4" spans="1:8" ht="15" customHeight="1">
      <c r="A4" s="306"/>
      <c r="B4" s="270"/>
      <c r="C4" s="306"/>
      <c r="D4" s="332"/>
      <c r="E4" s="271" t="s">
        <v>497</v>
      </c>
      <c r="F4" s="270" t="s">
        <v>1941</v>
      </c>
      <c r="G4" s="1313" t="s">
        <v>495</v>
      </c>
    </row>
    <row r="5" spans="1:8" ht="15" customHeight="1">
      <c r="A5" s="306"/>
      <c r="B5" s="270"/>
      <c r="C5" s="306"/>
      <c r="D5" s="332"/>
      <c r="E5" s="271"/>
      <c r="F5" s="270" t="s">
        <v>497</v>
      </c>
      <c r="G5" s="1313" t="s">
        <v>1142</v>
      </c>
    </row>
    <row r="6" spans="1:8" ht="24" customHeight="1">
      <c r="A6" s="307"/>
      <c r="B6" s="229"/>
      <c r="C6" s="307"/>
      <c r="D6" s="229"/>
      <c r="E6" s="275"/>
      <c r="F6" s="274"/>
      <c r="G6" s="1314"/>
      <c r="H6" s="333"/>
    </row>
    <row r="7" spans="1:8" ht="30" customHeight="1" thickBot="1">
      <c r="A7" s="334" t="s">
        <v>502</v>
      </c>
      <c r="B7" s="335">
        <v>256857.91666666666</v>
      </c>
      <c r="C7" s="336">
        <v>560954.58333333337</v>
      </c>
      <c r="D7" s="335">
        <v>585300.50000000012</v>
      </c>
      <c r="E7" s="336">
        <v>1146255.0833333333</v>
      </c>
      <c r="F7" s="335">
        <v>1403113</v>
      </c>
      <c r="G7" s="1284">
        <v>132008.08333333334</v>
      </c>
      <c r="H7" s="338"/>
    </row>
    <row r="8" spans="1:8" ht="20" customHeight="1" thickBot="1">
      <c r="A8" s="339" t="s">
        <v>503</v>
      </c>
      <c r="B8" s="335">
        <v>175181.75</v>
      </c>
      <c r="C8" s="336">
        <v>390782.58333333337</v>
      </c>
      <c r="D8" s="335">
        <v>420941.25000000006</v>
      </c>
      <c r="E8" s="336">
        <v>811723.83333333337</v>
      </c>
      <c r="F8" s="335">
        <v>986905.58333333337</v>
      </c>
      <c r="G8" s="1284">
        <v>89377.916666666672</v>
      </c>
      <c r="H8" s="338"/>
    </row>
    <row r="9" spans="1:8" ht="20" customHeight="1" thickBot="1">
      <c r="A9" s="339" t="s">
        <v>504</v>
      </c>
      <c r="B9" s="335">
        <v>74964.166666666672</v>
      </c>
      <c r="C9" s="336">
        <v>153177.83333333337</v>
      </c>
      <c r="D9" s="335">
        <v>159224.16666666666</v>
      </c>
      <c r="E9" s="336">
        <v>312402</v>
      </c>
      <c r="F9" s="335">
        <v>387366.16666666669</v>
      </c>
      <c r="G9" s="1284">
        <v>38567.666666666664</v>
      </c>
      <c r="H9" s="338"/>
    </row>
    <row r="10" spans="1:8" ht="20" customHeight="1" thickBot="1">
      <c r="A10" s="339" t="s">
        <v>505</v>
      </c>
      <c r="B10" s="335">
        <v>6899</v>
      </c>
      <c r="C10" s="336">
        <v>14475.083333333336</v>
      </c>
      <c r="D10" s="335">
        <v>14333.833333333332</v>
      </c>
      <c r="E10" s="336">
        <v>28808.916666666668</v>
      </c>
      <c r="F10" s="335">
        <v>35707.916666666664</v>
      </c>
      <c r="G10" s="1284">
        <v>3598.0833333333335</v>
      </c>
      <c r="H10" s="338"/>
    </row>
    <row r="11" spans="1:8" ht="20" customHeight="1" thickBot="1">
      <c r="A11" s="339" t="s">
        <v>506</v>
      </c>
      <c r="B11" s="335">
        <v>28584.666666666668</v>
      </c>
      <c r="C11" s="336">
        <v>62012.75</v>
      </c>
      <c r="D11" s="335">
        <v>59575.666666666679</v>
      </c>
      <c r="E11" s="336">
        <v>121588.41666666667</v>
      </c>
      <c r="F11" s="335">
        <v>150173.08333333334</v>
      </c>
      <c r="G11" s="1284">
        <v>14611.833333333334</v>
      </c>
      <c r="H11" s="338"/>
    </row>
    <row r="12" spans="1:8" ht="20" customHeight="1" thickBot="1">
      <c r="A12" s="339" t="s">
        <v>507</v>
      </c>
      <c r="B12" s="335">
        <v>7141.5</v>
      </c>
      <c r="C12" s="336">
        <v>14895.166666666662</v>
      </c>
      <c r="D12" s="335">
        <v>14647.833333333336</v>
      </c>
      <c r="E12" s="336">
        <v>29543</v>
      </c>
      <c r="F12" s="335">
        <v>36684.5</v>
      </c>
      <c r="G12" s="1284">
        <v>3646.4166666666665</v>
      </c>
      <c r="H12" s="338"/>
    </row>
    <row r="13" spans="1:8" ht="20" customHeight="1" thickBot="1">
      <c r="A13" s="339" t="s">
        <v>508</v>
      </c>
      <c r="B13" s="335">
        <v>7237.333333333333</v>
      </c>
      <c r="C13" s="336">
        <v>17141.5</v>
      </c>
      <c r="D13" s="335">
        <v>16776.166666666664</v>
      </c>
      <c r="E13" s="336">
        <v>33917.666666666664</v>
      </c>
      <c r="F13" s="335">
        <v>41155</v>
      </c>
      <c r="G13" s="1284">
        <v>3739.5</v>
      </c>
      <c r="H13" s="338"/>
    </row>
    <row r="14" spans="1:8" ht="20" customHeight="1" thickBot="1">
      <c r="A14" s="339" t="s">
        <v>509</v>
      </c>
      <c r="B14" s="335">
        <v>7087.25</v>
      </c>
      <c r="C14" s="336">
        <v>16223.75</v>
      </c>
      <c r="D14" s="335">
        <v>16128.75</v>
      </c>
      <c r="E14" s="336">
        <v>32352.5</v>
      </c>
      <c r="F14" s="335">
        <v>39439.75</v>
      </c>
      <c r="G14" s="1284">
        <v>3648.3333333333335</v>
      </c>
      <c r="H14" s="338"/>
    </row>
    <row r="15" spans="1:8" ht="20" customHeight="1" thickBot="1">
      <c r="A15" s="339" t="s">
        <v>510</v>
      </c>
      <c r="B15" s="335">
        <v>21970.25</v>
      </c>
      <c r="C15" s="336">
        <v>47802.750000000007</v>
      </c>
      <c r="D15" s="335">
        <v>47020.333333333328</v>
      </c>
      <c r="E15" s="336">
        <v>94823.083333333328</v>
      </c>
      <c r="F15" s="335">
        <v>116793.33333333333</v>
      </c>
      <c r="G15" s="1284">
        <v>11275.416666666666</v>
      </c>
      <c r="H15" s="338"/>
    </row>
    <row r="16" spans="1:8" ht="20" customHeight="1" thickBot="1">
      <c r="A16" s="339" t="s">
        <v>511</v>
      </c>
      <c r="B16" s="335">
        <v>63489.333333333336</v>
      </c>
      <c r="C16" s="336">
        <v>113353.91666666667</v>
      </c>
      <c r="D16" s="335">
        <v>115825.16666666669</v>
      </c>
      <c r="E16" s="336">
        <v>229179.08333333334</v>
      </c>
      <c r="F16" s="335">
        <v>292668.41666666669</v>
      </c>
      <c r="G16" s="1284">
        <v>32478.666666666668</v>
      </c>
      <c r="H16" s="338"/>
    </row>
    <row r="17" spans="1:8" ht="20" customHeight="1" thickBot="1">
      <c r="A17" s="339" t="s">
        <v>512</v>
      </c>
      <c r="B17" s="335">
        <v>46707.833333333336</v>
      </c>
      <c r="C17" s="336">
        <v>104821.83333333333</v>
      </c>
      <c r="D17" s="335">
        <v>108956.58333333334</v>
      </c>
      <c r="E17" s="336">
        <v>213778.41666666666</v>
      </c>
      <c r="F17" s="335">
        <v>260486.25</v>
      </c>
      <c r="G17" s="1284">
        <v>24021.666666666668</v>
      </c>
      <c r="H17" s="338"/>
    </row>
    <row r="18" spans="1:8" ht="20" customHeight="1" thickBot="1">
      <c r="A18" s="339" t="s">
        <v>513</v>
      </c>
      <c r="B18" s="335">
        <v>28502.666666666668</v>
      </c>
      <c r="C18" s="336">
        <v>71878.916666666642</v>
      </c>
      <c r="D18" s="335">
        <v>81245.916666666657</v>
      </c>
      <c r="E18" s="336">
        <v>153124.83333333334</v>
      </c>
      <c r="F18" s="335">
        <v>181627.5</v>
      </c>
      <c r="G18" s="1284">
        <v>14734</v>
      </c>
      <c r="H18" s="338"/>
    </row>
    <row r="19" spans="1:8" ht="20" customHeight="1" thickBot="1">
      <c r="A19" s="339" t="s">
        <v>514</v>
      </c>
      <c r="B19" s="335">
        <v>48930</v>
      </c>
      <c r="C19" s="336">
        <v>108916.50000000001</v>
      </c>
      <c r="D19" s="335">
        <v>116847.75000000001</v>
      </c>
      <c r="E19" s="336">
        <v>225764.25</v>
      </c>
      <c r="F19" s="335">
        <v>274694.25</v>
      </c>
      <c r="G19" s="1284">
        <v>25102</v>
      </c>
      <c r="H19" s="338"/>
    </row>
    <row r="20" spans="1:8" ht="20" customHeight="1" thickBot="1">
      <c r="A20" s="339" t="s">
        <v>515</v>
      </c>
      <c r="B20" s="335">
        <v>13573.416666666666</v>
      </c>
      <c r="C20" s="336">
        <v>31074.083333333332</v>
      </c>
      <c r="D20" s="335">
        <v>32926.083333333336</v>
      </c>
      <c r="E20" s="336">
        <v>64000.166666666664</v>
      </c>
      <c r="F20" s="335">
        <v>77573.583333333328</v>
      </c>
      <c r="G20" s="1284">
        <v>7002.333333333333</v>
      </c>
      <c r="H20" s="338"/>
    </row>
    <row r="21" spans="1:8" ht="20" customHeight="1" thickBot="1">
      <c r="A21" s="1315" t="s">
        <v>516</v>
      </c>
      <c r="B21" s="1316">
        <v>10253.083333333334</v>
      </c>
      <c r="C21" s="1317">
        <v>21836.999999999996</v>
      </c>
      <c r="D21" s="1316">
        <v>22013.416666666668</v>
      </c>
      <c r="E21" s="1317">
        <v>43850.416666666664</v>
      </c>
      <c r="F21" s="1316">
        <v>54103.5</v>
      </c>
      <c r="G21" s="1318">
        <v>5335.583333333333</v>
      </c>
      <c r="H21" s="338"/>
    </row>
    <row r="22" spans="1:8" ht="20" customHeight="1" thickBot="1">
      <c r="A22" s="344" t="s">
        <v>517</v>
      </c>
      <c r="B22" s="345">
        <v>3283.3333333333335</v>
      </c>
      <c r="C22" s="346">
        <v>6375.3333333333321</v>
      </c>
      <c r="D22" s="345">
        <v>6091</v>
      </c>
      <c r="E22" s="346">
        <v>12466.333333333334</v>
      </c>
      <c r="F22" s="345">
        <v>15749.666666666666</v>
      </c>
      <c r="G22" s="1319">
        <v>1684.25</v>
      </c>
      <c r="H22" s="338"/>
    </row>
    <row r="23" spans="1:8" ht="20" customHeight="1" thickBot="1">
      <c r="A23" s="344" t="s">
        <v>518</v>
      </c>
      <c r="B23" s="345">
        <v>94676.416666666672</v>
      </c>
      <c r="C23" s="346">
        <v>194496.33333333334</v>
      </c>
      <c r="D23" s="345">
        <v>198731.41666666666</v>
      </c>
      <c r="E23" s="346">
        <v>393227.75</v>
      </c>
      <c r="F23" s="345">
        <v>487904.16666666669</v>
      </c>
      <c r="G23" s="1319">
        <v>48272.416666666664</v>
      </c>
      <c r="H23" s="338"/>
    </row>
    <row r="24" spans="1:8" ht="20" customHeight="1" thickBot="1">
      <c r="A24" s="344" t="s">
        <v>519</v>
      </c>
      <c r="B24" s="345">
        <v>33270.083333333336</v>
      </c>
      <c r="C24" s="346">
        <v>81943.166666666642</v>
      </c>
      <c r="D24" s="345">
        <v>82528.5</v>
      </c>
      <c r="E24" s="346">
        <v>164471.66666666666</v>
      </c>
      <c r="F24" s="345">
        <v>197741.75</v>
      </c>
      <c r="G24" s="1319">
        <v>17116.583333333332</v>
      </c>
      <c r="H24" s="338"/>
    </row>
    <row r="25" spans="1:8" ht="20" customHeight="1" thickBot="1">
      <c r="A25" s="344" t="s">
        <v>520</v>
      </c>
      <c r="B25" s="345">
        <v>119896.83333333333</v>
      </c>
      <c r="C25" s="346">
        <v>253584.83333333337</v>
      </c>
      <c r="D25" s="345">
        <v>258100.75</v>
      </c>
      <c r="E25" s="346">
        <v>511685.58333333331</v>
      </c>
      <c r="F25" s="345">
        <v>631582.41666666663</v>
      </c>
      <c r="G25" s="1319">
        <v>61801.333333333336</v>
      </c>
      <c r="H25" s="338"/>
    </row>
    <row r="26" spans="1:8" ht="20" customHeight="1" thickBot="1">
      <c r="A26" s="1131" t="s">
        <v>521</v>
      </c>
      <c r="B26" s="370">
        <v>49627.75</v>
      </c>
      <c r="C26" s="371">
        <v>104147.08333333334</v>
      </c>
      <c r="D26" s="370">
        <v>104123.41666666667</v>
      </c>
      <c r="E26" s="371">
        <v>208270.5</v>
      </c>
      <c r="F26" s="370">
        <v>257898.25</v>
      </c>
      <c r="G26" s="551">
        <v>25592.5</v>
      </c>
      <c r="H26" s="338"/>
    </row>
    <row r="27" spans="1:8" ht="20" customHeight="1" thickBot="1">
      <c r="A27" s="339" t="s">
        <v>522</v>
      </c>
      <c r="B27" s="335">
        <v>59177.583333333336</v>
      </c>
      <c r="C27" s="336">
        <v>134469.16666666669</v>
      </c>
      <c r="D27" s="335">
        <v>146707.16666666666</v>
      </c>
      <c r="E27" s="336">
        <v>281176.33333333331</v>
      </c>
      <c r="F27" s="335">
        <v>340353.91666666669</v>
      </c>
      <c r="G27" s="1284">
        <v>30380.25</v>
      </c>
      <c r="H27" s="338"/>
    </row>
    <row r="28" spans="1:8" ht="20" customHeight="1" thickBot="1">
      <c r="A28" s="339" t="s">
        <v>523</v>
      </c>
      <c r="B28" s="335">
        <v>149231.58333333334</v>
      </c>
      <c r="C28" s="336">
        <v>275452.41666666669</v>
      </c>
      <c r="D28" s="335">
        <v>297152.91666666669</v>
      </c>
      <c r="E28" s="336">
        <v>572605.33333333337</v>
      </c>
      <c r="F28" s="335">
        <v>721836.91666666663</v>
      </c>
      <c r="G28" s="1284">
        <v>76380.666666666672</v>
      </c>
      <c r="H28" s="338"/>
    </row>
    <row r="29" spans="1:8" ht="20" customHeight="1" thickBot="1">
      <c r="A29" s="339" t="s">
        <v>524</v>
      </c>
      <c r="B29" s="335">
        <v>60881.833333333336</v>
      </c>
      <c r="C29" s="336">
        <v>130716.49999999999</v>
      </c>
      <c r="D29" s="335">
        <v>134470.75000000003</v>
      </c>
      <c r="E29" s="336">
        <v>265187.25</v>
      </c>
      <c r="F29" s="335">
        <v>326069.08333333331</v>
      </c>
      <c r="G29" s="1284">
        <v>31165.25</v>
      </c>
      <c r="H29" s="338"/>
    </row>
    <row r="30" spans="1:8" ht="20" customHeight="1" thickBot="1">
      <c r="A30" s="339" t="s">
        <v>525</v>
      </c>
      <c r="B30" s="335">
        <v>35066.083333333336</v>
      </c>
      <c r="C30" s="336">
        <v>67157.25</v>
      </c>
      <c r="D30" s="335">
        <v>72730.666666666672</v>
      </c>
      <c r="E30" s="336">
        <v>139887.91666666666</v>
      </c>
      <c r="F30" s="335">
        <v>174954</v>
      </c>
      <c r="G30" s="1284">
        <v>18094.666666666668</v>
      </c>
      <c r="H30" s="338"/>
    </row>
    <row r="31" spans="1:8" ht="20" customHeight="1" thickBot="1">
      <c r="A31" s="339" t="s">
        <v>526</v>
      </c>
      <c r="B31" s="335">
        <v>87031.416666666672</v>
      </c>
      <c r="C31" s="336">
        <v>161239.41666666669</v>
      </c>
      <c r="D31" s="335">
        <v>178575.08333333331</v>
      </c>
      <c r="E31" s="336">
        <v>339814.5</v>
      </c>
      <c r="F31" s="335">
        <v>426845.91666666669</v>
      </c>
      <c r="G31" s="1284">
        <v>44550.5</v>
      </c>
      <c r="H31" s="338"/>
    </row>
    <row r="32" spans="1:8" ht="20" customHeight="1" thickBot="1">
      <c r="A32" s="234" t="s">
        <v>527</v>
      </c>
      <c r="B32" s="335">
        <v>14516.75</v>
      </c>
      <c r="C32" s="336">
        <v>27501.500000000004</v>
      </c>
      <c r="D32" s="335">
        <v>29038.166666666664</v>
      </c>
      <c r="E32" s="336">
        <v>56539.666666666664</v>
      </c>
      <c r="F32" s="335">
        <v>71056.416666666672</v>
      </c>
      <c r="G32" s="1284">
        <v>7451.666666666667</v>
      </c>
      <c r="H32" s="338"/>
    </row>
    <row r="33" spans="1:8" ht="30" customHeight="1" thickBot="1">
      <c r="A33" s="354" t="s">
        <v>530</v>
      </c>
      <c r="B33" s="355">
        <v>1504039.8333333333</v>
      </c>
      <c r="C33" s="356">
        <v>3166431.2499999995</v>
      </c>
      <c r="D33" s="355">
        <v>3320013.2500000009</v>
      </c>
      <c r="E33" s="356">
        <v>6486444.4999999991</v>
      </c>
      <c r="F33" s="355">
        <v>7990484.3333333349</v>
      </c>
      <c r="G33" s="779">
        <v>771637.58333333326</v>
      </c>
      <c r="H33" s="338"/>
    </row>
    <row r="34" spans="1:8" ht="20" customHeight="1">
      <c r="A34" s="189" t="s">
        <v>1938</v>
      </c>
      <c r="B34" s="189"/>
      <c r="C34" s="189"/>
      <c r="D34" s="189"/>
      <c r="E34" s="189"/>
      <c r="F34" s="189"/>
      <c r="H34" s="333"/>
    </row>
    <row r="35" spans="1:8" ht="11.25" customHeight="1">
      <c r="A35" s="219"/>
      <c r="B35" s="219"/>
      <c r="C35" s="219"/>
      <c r="D35" s="219"/>
      <c r="E35" s="219"/>
      <c r="F35" s="219"/>
      <c r="H35" s="333"/>
    </row>
    <row r="36" spans="1:8" ht="14.25" customHeight="1">
      <c r="A36" s="219" t="s">
        <v>1935</v>
      </c>
      <c r="B36" s="219"/>
      <c r="C36" s="219"/>
      <c r="D36" s="219"/>
      <c r="E36" s="219"/>
      <c r="F36" s="219"/>
      <c r="H36" s="333"/>
    </row>
    <row r="37" spans="1:8" ht="13.5" customHeight="1">
      <c r="A37" s="219"/>
      <c r="B37" s="219"/>
      <c r="C37" s="219"/>
      <c r="D37" s="219"/>
      <c r="E37" s="219"/>
      <c r="F37" s="219"/>
      <c r="H37" s="333"/>
    </row>
    <row r="38" spans="1:8" ht="12" customHeight="1">
      <c r="A38" s="219" t="s">
        <v>1869</v>
      </c>
    </row>
    <row r="39" spans="1:8" ht="12.75" customHeight="1">
      <c r="A39" s="543" t="s">
        <v>1953</v>
      </c>
      <c r="G39" s="3"/>
    </row>
    <row r="40" spans="1:8" ht="12" customHeight="1">
      <c r="A40" s="3" t="s">
        <v>1954</v>
      </c>
      <c r="G40" s="3"/>
    </row>
    <row r="41" spans="1:8" ht="12" customHeight="1">
      <c r="A41" s="3" t="s">
        <v>1955</v>
      </c>
      <c r="G41" s="3"/>
    </row>
    <row r="42" spans="1:8" ht="12" customHeight="1">
      <c r="A42" s="3" t="s">
        <v>1956</v>
      </c>
      <c r="G42" s="3"/>
    </row>
    <row r="43" spans="1:8" ht="12" customHeight="1">
      <c r="A43" s="3" t="s">
        <v>1957</v>
      </c>
      <c r="G43" s="3"/>
    </row>
    <row r="44" spans="1:8" ht="12" customHeight="1">
      <c r="A44" s="1320" t="s">
        <v>1958</v>
      </c>
      <c r="C44" s="3" t="s">
        <v>1959</v>
      </c>
      <c r="G44" s="3"/>
    </row>
    <row r="45" spans="1:8" ht="12" customHeight="1"/>
    <row r="46" spans="1:8" ht="12" customHeight="1"/>
    <row r="47" spans="1:8" ht="12" customHeight="1">
      <c r="A47" s="219" t="s">
        <v>302</v>
      </c>
    </row>
  </sheetData>
  <mergeCells count="1">
    <mergeCell ref="A2:F2"/>
  </mergeCells>
  <hyperlinks>
    <hyperlink ref="A44" r:id="rId1" xr:uid="{E543C52A-D6C2-8D40-B255-2320CBE5906F}"/>
  </hyperlinks>
  <pageMargins left="0.51181102362204722" right="0.28999999999999998" top="0.43307086614173229" bottom="0.47244094488188981" header="0.31496062992125984" footer="0.51181102362204722"/>
  <pageSetup paperSize="9" scale="83" orientation="portrait"/>
  <headerFooter alignWithMargins="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6D89-AD1D-0444-A5FF-33093C5022DD}">
  <sheetPr>
    <pageSetUpPr fitToPage="1"/>
  </sheetPr>
  <dimension ref="A1:H49"/>
  <sheetViews>
    <sheetView zoomScaleNormal="100" workbookViewId="0"/>
  </sheetViews>
  <sheetFormatPr baseColWidth="10" defaultColWidth="11.3984375" defaultRowHeight="13"/>
  <cols>
    <col min="1" max="1" width="14.796875" style="3" customWidth="1"/>
    <col min="2" max="6" width="19.59765625" style="3" customWidth="1"/>
    <col min="7" max="7" width="13.59765625" style="3" customWidth="1"/>
    <col min="8" max="8" width="15.19921875" style="3" hidden="1" customWidth="1"/>
    <col min="9" max="9" width="8.796875" style="3" customWidth="1"/>
    <col min="10" max="16384" width="11.3984375" style="3"/>
  </cols>
  <sheetData>
    <row r="1" spans="1:8" s="1" customFormat="1" ht="14" customHeight="1"/>
    <row r="2" spans="1:8" s="1" customFormat="1" ht="45" customHeight="1">
      <c r="A2" s="2010" t="s">
        <v>1939</v>
      </c>
      <c r="B2" s="2011"/>
      <c r="C2" s="2011"/>
      <c r="D2" s="2011"/>
      <c r="E2" s="2011"/>
      <c r="F2" s="311">
        <v>2013</v>
      </c>
    </row>
    <row r="3" spans="1:8" ht="27" customHeight="1">
      <c r="A3" s="224" t="s">
        <v>67</v>
      </c>
      <c r="B3" s="267" t="s">
        <v>495</v>
      </c>
      <c r="C3" s="268" t="s">
        <v>644</v>
      </c>
      <c r="D3" s="267" t="s">
        <v>645</v>
      </c>
      <c r="E3" s="268" t="s">
        <v>381</v>
      </c>
      <c r="F3" s="267" t="s">
        <v>381</v>
      </c>
    </row>
    <row r="4" spans="1:8" ht="15" customHeight="1">
      <c r="A4" s="306"/>
      <c r="B4" s="270"/>
      <c r="C4" s="306"/>
      <c r="D4" s="332"/>
      <c r="E4" s="271" t="s">
        <v>1940</v>
      </c>
      <c r="F4" s="270" t="s">
        <v>1941</v>
      </c>
    </row>
    <row r="5" spans="1:8" ht="15" customHeight="1">
      <c r="A5" s="306"/>
      <c r="B5" s="270"/>
      <c r="C5" s="306"/>
      <c r="D5" s="332"/>
      <c r="E5" s="271" t="s">
        <v>1942</v>
      </c>
      <c r="F5" s="270" t="s">
        <v>497</v>
      </c>
    </row>
    <row r="6" spans="1:8" ht="24" customHeight="1">
      <c r="A6" s="307"/>
      <c r="B6" s="229"/>
      <c r="C6" s="307"/>
      <c r="D6" s="229"/>
      <c r="E6" s="275"/>
      <c r="F6" s="274"/>
    </row>
    <row r="7" spans="1:8" ht="30" customHeight="1" thickBot="1">
      <c r="A7" s="334" t="s">
        <v>502</v>
      </c>
      <c r="B7" s="370">
        <v>257769738</v>
      </c>
      <c r="C7" s="371">
        <v>1525114886</v>
      </c>
      <c r="D7" s="370">
        <v>2162702691</v>
      </c>
      <c r="E7" s="371">
        <v>3687817577</v>
      </c>
      <c r="F7" s="370">
        <v>3945587315</v>
      </c>
      <c r="H7" s="6">
        <v>2156035045</v>
      </c>
    </row>
    <row r="8" spans="1:8" ht="20" customHeight="1" thickBot="1">
      <c r="A8" s="339" t="s">
        <v>503</v>
      </c>
      <c r="B8" s="349">
        <v>142031957</v>
      </c>
      <c r="C8" s="350">
        <v>1126631452</v>
      </c>
      <c r="D8" s="349">
        <v>1590715732</v>
      </c>
      <c r="E8" s="350">
        <v>2717347184</v>
      </c>
      <c r="F8" s="349">
        <v>2859379141</v>
      </c>
      <c r="H8" s="6">
        <v>1563935884</v>
      </c>
    </row>
    <row r="9" spans="1:8" ht="20" customHeight="1" thickBot="1">
      <c r="A9" s="339" t="s">
        <v>504</v>
      </c>
      <c r="B9" s="349">
        <v>59728820</v>
      </c>
      <c r="C9" s="350">
        <v>375001400</v>
      </c>
      <c r="D9" s="349">
        <v>519520964</v>
      </c>
      <c r="E9" s="350">
        <v>894522364</v>
      </c>
      <c r="F9" s="349">
        <v>954251184</v>
      </c>
      <c r="H9" s="6">
        <v>464604355</v>
      </c>
    </row>
    <row r="10" spans="1:8" ht="20" customHeight="1" thickBot="1">
      <c r="A10" s="339" t="s">
        <v>505</v>
      </c>
      <c r="B10" s="349">
        <v>4478019</v>
      </c>
      <c r="C10" s="350">
        <v>34093323</v>
      </c>
      <c r="D10" s="349">
        <v>42781127</v>
      </c>
      <c r="E10" s="350">
        <v>76874450</v>
      </c>
      <c r="F10" s="349">
        <v>81352469</v>
      </c>
      <c r="H10" s="6">
        <v>45901795</v>
      </c>
    </row>
    <row r="11" spans="1:8" ht="20" customHeight="1" thickBot="1">
      <c r="A11" s="339" t="s">
        <v>506</v>
      </c>
      <c r="B11" s="349">
        <v>26551601</v>
      </c>
      <c r="C11" s="350">
        <v>148254839</v>
      </c>
      <c r="D11" s="349">
        <v>190079371</v>
      </c>
      <c r="E11" s="350">
        <v>338334210</v>
      </c>
      <c r="F11" s="349">
        <v>364885811</v>
      </c>
      <c r="H11" s="6">
        <v>171549320</v>
      </c>
    </row>
    <row r="12" spans="1:8" ht="20" customHeight="1" thickBot="1">
      <c r="A12" s="339" t="s">
        <v>507</v>
      </c>
      <c r="B12" s="349">
        <v>6222400</v>
      </c>
      <c r="C12" s="350">
        <v>36435321</v>
      </c>
      <c r="D12" s="349">
        <v>45784371</v>
      </c>
      <c r="E12" s="350">
        <v>82219692</v>
      </c>
      <c r="F12" s="349">
        <v>88442092</v>
      </c>
      <c r="H12" s="6">
        <v>41764939</v>
      </c>
    </row>
    <row r="13" spans="1:8" ht="20" customHeight="1" thickBot="1">
      <c r="A13" s="339" t="s">
        <v>508</v>
      </c>
      <c r="B13" s="349">
        <v>5182953</v>
      </c>
      <c r="C13" s="350">
        <v>40927596</v>
      </c>
      <c r="D13" s="349">
        <v>50262801</v>
      </c>
      <c r="E13" s="350">
        <v>91190397</v>
      </c>
      <c r="F13" s="349">
        <v>96373350</v>
      </c>
      <c r="H13" s="6">
        <v>44323506</v>
      </c>
    </row>
    <row r="14" spans="1:8" ht="20" customHeight="1" thickBot="1">
      <c r="A14" s="339" t="s">
        <v>509</v>
      </c>
      <c r="B14" s="349">
        <v>6055907</v>
      </c>
      <c r="C14" s="350">
        <v>38443286</v>
      </c>
      <c r="D14" s="349">
        <v>53352130</v>
      </c>
      <c r="E14" s="350">
        <v>91795416</v>
      </c>
      <c r="F14" s="349">
        <v>97851323</v>
      </c>
      <c r="H14" s="6">
        <v>55927154</v>
      </c>
    </row>
    <row r="15" spans="1:8" ht="20" customHeight="1" thickBot="1">
      <c r="A15" s="339" t="s">
        <v>510</v>
      </c>
      <c r="B15" s="349">
        <v>17305873</v>
      </c>
      <c r="C15" s="350">
        <v>107788730</v>
      </c>
      <c r="D15" s="349">
        <v>146993968</v>
      </c>
      <c r="E15" s="350">
        <v>254782698</v>
      </c>
      <c r="F15" s="349">
        <v>272088571</v>
      </c>
      <c r="H15" s="6">
        <v>128772453</v>
      </c>
    </row>
    <row r="16" spans="1:8" ht="20" customHeight="1" thickBot="1">
      <c r="A16" s="339" t="s">
        <v>511</v>
      </c>
      <c r="B16" s="349">
        <v>56750041</v>
      </c>
      <c r="C16" s="350">
        <v>298694211</v>
      </c>
      <c r="D16" s="349">
        <v>408003193</v>
      </c>
      <c r="E16" s="350">
        <v>706697404</v>
      </c>
      <c r="F16" s="349">
        <v>763447445</v>
      </c>
      <c r="H16" s="6">
        <v>391250033</v>
      </c>
    </row>
    <row r="17" spans="1:8" ht="20" customHeight="1" thickBot="1">
      <c r="A17" s="339" t="s">
        <v>512</v>
      </c>
      <c r="B17" s="349">
        <v>42525895</v>
      </c>
      <c r="C17" s="350">
        <v>289091073</v>
      </c>
      <c r="D17" s="349">
        <v>390432606</v>
      </c>
      <c r="E17" s="350">
        <v>679523679</v>
      </c>
      <c r="F17" s="349">
        <v>722049574</v>
      </c>
      <c r="H17" s="6">
        <v>393696828</v>
      </c>
    </row>
    <row r="18" spans="1:8" ht="20" customHeight="1" thickBot="1">
      <c r="A18" s="339" t="s">
        <v>513</v>
      </c>
      <c r="B18" s="349">
        <v>35575623</v>
      </c>
      <c r="C18" s="350">
        <v>255123896</v>
      </c>
      <c r="D18" s="349">
        <v>395960812</v>
      </c>
      <c r="E18" s="350">
        <v>651084708</v>
      </c>
      <c r="F18" s="349">
        <v>686660331</v>
      </c>
      <c r="H18" s="6">
        <v>473520714</v>
      </c>
    </row>
    <row r="19" spans="1:8" ht="20" customHeight="1" thickBot="1">
      <c r="A19" s="339" t="s">
        <v>514</v>
      </c>
      <c r="B19" s="349">
        <v>51327498</v>
      </c>
      <c r="C19" s="350">
        <v>331967490</v>
      </c>
      <c r="D19" s="349">
        <v>475009590</v>
      </c>
      <c r="E19" s="350">
        <v>806977080</v>
      </c>
      <c r="F19" s="349">
        <v>858304578</v>
      </c>
      <c r="H19" s="6">
        <v>469771093</v>
      </c>
    </row>
    <row r="20" spans="1:8" ht="20" customHeight="1" thickBot="1">
      <c r="A20" s="339" t="s">
        <v>515</v>
      </c>
      <c r="B20" s="349">
        <v>9832557</v>
      </c>
      <c r="C20" s="350">
        <v>81494941</v>
      </c>
      <c r="D20" s="349">
        <v>117945175</v>
      </c>
      <c r="E20" s="350">
        <v>199440116</v>
      </c>
      <c r="F20" s="349">
        <v>209272673</v>
      </c>
      <c r="H20" s="6">
        <v>127694959</v>
      </c>
    </row>
    <row r="21" spans="1:8" ht="20" customHeight="1" thickBot="1">
      <c r="A21" s="339" t="s">
        <v>516</v>
      </c>
      <c r="B21" s="349">
        <v>7931966</v>
      </c>
      <c r="C21" s="350">
        <v>52838022</v>
      </c>
      <c r="D21" s="349">
        <v>68970964</v>
      </c>
      <c r="E21" s="350">
        <v>121808986</v>
      </c>
      <c r="F21" s="349">
        <v>129740952</v>
      </c>
      <c r="H21" s="6">
        <v>69489100</v>
      </c>
    </row>
    <row r="22" spans="1:8" ht="20" customHeight="1" thickBot="1">
      <c r="A22" s="339" t="s">
        <v>517</v>
      </c>
      <c r="B22" s="349">
        <v>1875147</v>
      </c>
      <c r="C22" s="350">
        <v>12812107</v>
      </c>
      <c r="D22" s="349">
        <v>16350842</v>
      </c>
      <c r="E22" s="350">
        <v>29162949</v>
      </c>
      <c r="F22" s="349">
        <v>31038096</v>
      </c>
      <c r="H22" s="6">
        <v>16712649</v>
      </c>
    </row>
    <row r="23" spans="1:8" ht="20" customHeight="1" thickBot="1">
      <c r="A23" s="339" t="s">
        <v>518</v>
      </c>
      <c r="B23" s="349">
        <v>79802335</v>
      </c>
      <c r="C23" s="350">
        <v>477749787</v>
      </c>
      <c r="D23" s="349">
        <v>653761764</v>
      </c>
      <c r="E23" s="350">
        <v>1131511551</v>
      </c>
      <c r="F23" s="349">
        <v>1211313886</v>
      </c>
      <c r="H23" s="6">
        <v>615853738</v>
      </c>
    </row>
    <row r="24" spans="1:8" ht="20" customHeight="1" thickBot="1">
      <c r="A24" s="339" t="s">
        <v>519</v>
      </c>
      <c r="B24" s="349">
        <v>29164685</v>
      </c>
      <c r="C24" s="350">
        <v>191578961</v>
      </c>
      <c r="D24" s="349">
        <v>260969590</v>
      </c>
      <c r="E24" s="350">
        <v>452548551</v>
      </c>
      <c r="F24" s="349">
        <v>481713236</v>
      </c>
      <c r="H24" s="6">
        <v>264690646</v>
      </c>
    </row>
    <row r="25" spans="1:8" ht="20" customHeight="1" thickBot="1">
      <c r="A25" s="339" t="s">
        <v>520</v>
      </c>
      <c r="B25" s="349">
        <v>113669946</v>
      </c>
      <c r="C25" s="350">
        <v>658876424</v>
      </c>
      <c r="D25" s="349">
        <v>889333857</v>
      </c>
      <c r="E25" s="350">
        <v>1548210281</v>
      </c>
      <c r="F25" s="349">
        <v>1661880227</v>
      </c>
      <c r="H25" s="6">
        <v>819222625</v>
      </c>
    </row>
    <row r="26" spans="1:8" ht="20" customHeight="1" thickBot="1">
      <c r="A26" s="339" t="s">
        <v>521</v>
      </c>
      <c r="B26" s="349">
        <v>44791613</v>
      </c>
      <c r="C26" s="350">
        <v>246196415</v>
      </c>
      <c r="D26" s="349">
        <v>338233157</v>
      </c>
      <c r="E26" s="350">
        <v>584429572</v>
      </c>
      <c r="F26" s="349">
        <v>629221185</v>
      </c>
      <c r="H26" s="6">
        <v>344655658</v>
      </c>
    </row>
    <row r="27" spans="1:8" ht="20" customHeight="1" thickBot="1">
      <c r="A27" s="339" t="s">
        <v>522</v>
      </c>
      <c r="B27" s="349">
        <v>56617816</v>
      </c>
      <c r="C27" s="350">
        <v>409918761</v>
      </c>
      <c r="D27" s="349">
        <v>568318302</v>
      </c>
      <c r="E27" s="350">
        <v>978237063</v>
      </c>
      <c r="F27" s="349">
        <v>1034854879</v>
      </c>
      <c r="H27" s="6">
        <v>627641817</v>
      </c>
    </row>
    <row r="28" spans="1:8" ht="20" customHeight="1" thickBot="1">
      <c r="A28" s="339" t="s">
        <v>523</v>
      </c>
      <c r="B28" s="349">
        <v>157085110</v>
      </c>
      <c r="C28" s="350">
        <v>801025546</v>
      </c>
      <c r="D28" s="349">
        <v>1206846455</v>
      </c>
      <c r="E28" s="350">
        <v>2007872001</v>
      </c>
      <c r="F28" s="349">
        <v>2164957111</v>
      </c>
      <c r="H28" s="6">
        <v>1280335377</v>
      </c>
    </row>
    <row r="29" spans="1:8" ht="20" customHeight="1" thickBot="1">
      <c r="A29" s="339" t="s">
        <v>524</v>
      </c>
      <c r="B29" s="349">
        <v>51946281</v>
      </c>
      <c r="C29" s="350">
        <v>330539168</v>
      </c>
      <c r="D29" s="349">
        <v>449180325</v>
      </c>
      <c r="E29" s="350">
        <v>779719493</v>
      </c>
      <c r="F29" s="349">
        <v>831665774</v>
      </c>
      <c r="H29" s="6">
        <v>410743307</v>
      </c>
    </row>
    <row r="30" spans="1:8" ht="20" customHeight="1" thickBot="1">
      <c r="A30" s="339" t="s">
        <v>525</v>
      </c>
      <c r="B30" s="349">
        <v>30288122</v>
      </c>
      <c r="C30" s="350">
        <v>183012034</v>
      </c>
      <c r="D30" s="349">
        <v>273370770</v>
      </c>
      <c r="E30" s="350">
        <v>456382804</v>
      </c>
      <c r="F30" s="349">
        <v>486670926</v>
      </c>
      <c r="H30" s="6">
        <v>318756043</v>
      </c>
    </row>
    <row r="31" spans="1:8" ht="20" customHeight="1" thickBot="1">
      <c r="A31" s="339" t="s">
        <v>526</v>
      </c>
      <c r="B31" s="349">
        <v>108023969</v>
      </c>
      <c r="C31" s="350">
        <v>546817585</v>
      </c>
      <c r="D31" s="349">
        <v>856179082</v>
      </c>
      <c r="E31" s="350">
        <v>1402996667</v>
      </c>
      <c r="F31" s="349">
        <v>1511020636</v>
      </c>
      <c r="H31" s="6">
        <v>966736347</v>
      </c>
    </row>
    <row r="32" spans="1:8" ht="20" customHeight="1" thickBot="1">
      <c r="A32" s="234" t="s">
        <v>527</v>
      </c>
      <c r="B32" s="349">
        <v>12009820</v>
      </c>
      <c r="C32" s="350">
        <v>79713632</v>
      </c>
      <c r="D32" s="349">
        <v>112243963</v>
      </c>
      <c r="E32" s="350">
        <v>191957595</v>
      </c>
      <c r="F32" s="349">
        <v>203967415</v>
      </c>
      <c r="H32" s="6">
        <v>146808815</v>
      </c>
    </row>
    <row r="33" spans="1:8" ht="30" customHeight="1" thickBot="1">
      <c r="A33" s="354" t="s">
        <v>530</v>
      </c>
      <c r="B33" s="372">
        <v>1414545692</v>
      </c>
      <c r="C33" s="373">
        <v>8680140886</v>
      </c>
      <c r="D33" s="372">
        <v>12283303602</v>
      </c>
      <c r="E33" s="373">
        <v>20963444488</v>
      </c>
      <c r="F33" s="372">
        <v>22377990180</v>
      </c>
      <c r="H33" s="6">
        <v>12410394200</v>
      </c>
    </row>
    <row r="34" spans="1:8" ht="20" customHeight="1">
      <c r="A34" s="189" t="s">
        <v>1938</v>
      </c>
      <c r="B34" s="189"/>
      <c r="C34" s="189"/>
      <c r="D34" s="189"/>
      <c r="E34" s="189"/>
      <c r="F34" s="189"/>
    </row>
    <row r="35" spans="1:8" ht="12.75" customHeight="1">
      <c r="A35" s="219"/>
      <c r="B35" s="219"/>
      <c r="C35" s="219"/>
      <c r="D35" s="219"/>
      <c r="E35" s="219"/>
      <c r="F35" s="219"/>
    </row>
    <row r="36" spans="1:8" ht="14.25" customHeight="1">
      <c r="A36" s="219" t="s">
        <v>1935</v>
      </c>
      <c r="B36" s="219"/>
      <c r="C36" s="219"/>
      <c r="D36" s="219"/>
      <c r="E36" s="219"/>
      <c r="F36" s="219"/>
    </row>
    <row r="37" spans="1:8" ht="10.5" customHeight="1">
      <c r="A37" s="219"/>
      <c r="B37" s="219"/>
      <c r="C37" s="219"/>
      <c r="D37" s="219"/>
      <c r="E37" s="219"/>
      <c r="F37" s="219"/>
    </row>
    <row r="38" spans="1:8" ht="15" customHeight="1">
      <c r="A38" s="219" t="s">
        <v>1943</v>
      </c>
      <c r="B38" s="219"/>
      <c r="C38" s="219"/>
      <c r="D38" s="219"/>
      <c r="E38" s="219"/>
      <c r="F38" s="219"/>
    </row>
    <row r="39" spans="1:8" ht="15" customHeight="1">
      <c r="A39" s="3" t="s">
        <v>1944</v>
      </c>
    </row>
    <row r="40" spans="1:8" ht="15" customHeight="1">
      <c r="A40" s="1311" t="s">
        <v>1945</v>
      </c>
    </row>
    <row r="41" spans="1:8" ht="15" customHeight="1">
      <c r="A41" s="1311" t="s">
        <v>1946</v>
      </c>
    </row>
    <row r="42" spans="1:8" ht="15" customHeight="1">
      <c r="A42" s="1311" t="s">
        <v>1947</v>
      </c>
    </row>
    <row r="43" spans="1:8" ht="15" customHeight="1">
      <c r="A43" s="1312" t="s">
        <v>1948</v>
      </c>
    </row>
    <row r="44" spans="1:8" ht="15" customHeight="1">
      <c r="A44" s="367" t="s">
        <v>1949</v>
      </c>
    </row>
    <row r="45" spans="1:8" ht="15" customHeight="1">
      <c r="A45" s="1311" t="s">
        <v>1950</v>
      </c>
    </row>
    <row r="46" spans="1:8" ht="15" customHeight="1">
      <c r="A46" s="1311" t="s">
        <v>1951</v>
      </c>
    </row>
    <row r="47" spans="1:8" ht="12" customHeight="1"/>
    <row r="48" spans="1:8" ht="12" customHeight="1"/>
    <row r="49" spans="1:1" ht="12" customHeight="1">
      <c r="A49" s="219" t="s">
        <v>302</v>
      </c>
    </row>
  </sheetData>
  <mergeCells count="1">
    <mergeCell ref="A2:E2"/>
  </mergeCells>
  <pageMargins left="0.59055118110236227" right="0.41" top="0.74803149606299213" bottom="0.47244094488188981" header="0.35433070866141736" footer="0.51181102362204722"/>
  <pageSetup paperSize="9" scale="74" orientation="portrait" horizontalDpi="4294967292" verticalDpi="4294967292"/>
  <headerFooter alignWithMargins="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F30A-EC67-2B4B-A86B-B3C50248EAD8}">
  <sheetPr>
    <pageSetUpPr fitToPage="1"/>
  </sheetPr>
  <dimension ref="A1:H23"/>
  <sheetViews>
    <sheetView zoomScale="115" zoomScaleNormal="115" workbookViewId="0">
      <selection activeCell="A12" sqref="A12"/>
    </sheetView>
  </sheetViews>
  <sheetFormatPr baseColWidth="10" defaultColWidth="11.59765625" defaultRowHeight="13"/>
  <cols>
    <col min="1" max="1" width="5.59765625" style="393" customWidth="1"/>
    <col min="2" max="16384" width="11.59765625" style="393"/>
  </cols>
  <sheetData>
    <row r="1" spans="1:3" ht="16">
      <c r="A1" s="394" t="s">
        <v>961</v>
      </c>
    </row>
    <row r="3" spans="1:3">
      <c r="A3" s="536">
        <v>11.01</v>
      </c>
      <c r="B3" s="396" t="s">
        <v>962</v>
      </c>
      <c r="C3" s="540"/>
    </row>
    <row r="4" spans="1:3">
      <c r="A4" s="536">
        <v>11.02</v>
      </c>
      <c r="B4" s="396" t="s">
        <v>963</v>
      </c>
      <c r="C4" s="540"/>
    </row>
    <row r="5" spans="1:3">
      <c r="A5" s="536">
        <v>11.03</v>
      </c>
      <c r="B5" s="396" t="s">
        <v>964</v>
      </c>
      <c r="C5" s="540"/>
    </row>
    <row r="6" spans="1:3">
      <c r="A6" s="536">
        <v>11.04</v>
      </c>
      <c r="B6" s="541" t="s">
        <v>965</v>
      </c>
      <c r="C6" s="540"/>
    </row>
    <row r="7" spans="1:3">
      <c r="A7" s="536">
        <v>11.05</v>
      </c>
      <c r="B7" s="396" t="s">
        <v>966</v>
      </c>
      <c r="C7" s="540"/>
    </row>
    <row r="8" spans="1:3">
      <c r="A8" s="536">
        <v>11.06</v>
      </c>
      <c r="B8" s="396" t="s">
        <v>967</v>
      </c>
      <c r="C8" s="540"/>
    </row>
    <row r="9" spans="1:3">
      <c r="A9" s="536">
        <v>11.07</v>
      </c>
      <c r="B9" s="396" t="s">
        <v>968</v>
      </c>
      <c r="C9" s="540"/>
    </row>
    <row r="10" spans="1:3">
      <c r="A10" s="536">
        <v>11.08</v>
      </c>
      <c r="B10" s="396" t="s">
        <v>969</v>
      </c>
      <c r="C10" s="540"/>
    </row>
    <row r="11" spans="1:3">
      <c r="A11" s="536">
        <v>11.09</v>
      </c>
      <c r="B11" s="396" t="s">
        <v>970</v>
      </c>
      <c r="C11" s="540"/>
    </row>
    <row r="12" spans="1:3">
      <c r="A12" s="1840" t="s">
        <v>133</v>
      </c>
      <c r="B12" s="396" t="s">
        <v>971</v>
      </c>
      <c r="C12" s="540"/>
    </row>
    <row r="13" spans="1:3">
      <c r="A13" s="536">
        <v>11.11</v>
      </c>
      <c r="B13" s="537" t="s">
        <v>972</v>
      </c>
      <c r="C13" s="540"/>
    </row>
    <row r="14" spans="1:3">
      <c r="A14" s="536">
        <v>11.12</v>
      </c>
      <c r="B14" s="396" t="s">
        <v>973</v>
      </c>
      <c r="C14" s="540"/>
    </row>
    <row r="15" spans="1:3">
      <c r="A15" s="536">
        <v>11.13</v>
      </c>
      <c r="B15" s="396" t="s">
        <v>974</v>
      </c>
      <c r="C15" s="540"/>
    </row>
    <row r="16" spans="1:3">
      <c r="A16" s="536">
        <v>11.14</v>
      </c>
      <c r="B16" s="537" t="s">
        <v>975</v>
      </c>
      <c r="C16" s="540"/>
    </row>
    <row r="17" spans="1:8">
      <c r="A17" s="536">
        <v>11.15</v>
      </c>
      <c r="B17" s="537" t="s">
        <v>976</v>
      </c>
      <c r="C17" s="540"/>
    </row>
    <row r="18" spans="1:8">
      <c r="A18" s="536">
        <v>11.16</v>
      </c>
      <c r="B18" s="537" t="s">
        <v>977</v>
      </c>
      <c r="C18" s="540"/>
    </row>
    <row r="19" spans="1:8">
      <c r="A19" s="536">
        <v>11.17</v>
      </c>
      <c r="B19" s="537" t="s">
        <v>978</v>
      </c>
      <c r="C19" s="540"/>
    </row>
    <row r="20" spans="1:8">
      <c r="A20" s="536">
        <v>11.18</v>
      </c>
      <c r="B20" s="537" t="s">
        <v>979</v>
      </c>
      <c r="C20" s="540"/>
      <c r="H20" s="542"/>
    </row>
    <row r="21" spans="1:8">
      <c r="A21" s="536"/>
      <c r="B21" s="395"/>
    </row>
    <row r="23" spans="1:8">
      <c r="A23" s="402" t="s">
        <v>302</v>
      </c>
    </row>
  </sheetData>
  <pageMargins left="0.46" right="0.46" top="0.63" bottom="0.984251969" header="0.38" footer="0.4921259845"/>
  <pageSetup paperSize="9" orientation="portrait"/>
  <headerFooter alignWithMargins="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D5BF-FFED-3C41-9CC0-E8B458D9AA78}">
  <sheetPr>
    <pageSetUpPr fitToPage="1"/>
  </sheetPr>
  <dimension ref="A1:K33"/>
  <sheetViews>
    <sheetView zoomScaleNormal="100" workbookViewId="0">
      <selection activeCell="K29" sqref="K29"/>
    </sheetView>
  </sheetViews>
  <sheetFormatPr baseColWidth="10" defaultColWidth="11.3984375" defaultRowHeight="13"/>
  <cols>
    <col min="1" max="1" width="20.796875" style="3" customWidth="1"/>
    <col min="2" max="5" width="14" style="3" customWidth="1"/>
    <col min="6" max="6" width="14.796875" style="3" customWidth="1"/>
    <col min="7" max="7" width="13.796875" style="3" customWidth="1"/>
    <col min="8" max="16384" width="11.3984375" style="3"/>
  </cols>
  <sheetData>
    <row r="1" spans="1:11" s="1" customFormat="1" ht="14" customHeight="1"/>
    <row r="2" spans="1:11" s="1" customFormat="1" ht="25.25" customHeight="1">
      <c r="A2" s="311" t="s">
        <v>1135</v>
      </c>
      <c r="G2" s="125"/>
    </row>
    <row r="3" spans="1:11" ht="24" customHeight="1">
      <c r="A3" s="224" t="s">
        <v>1129</v>
      </c>
      <c r="B3" s="267" t="s">
        <v>644</v>
      </c>
      <c r="C3" s="268" t="s">
        <v>645</v>
      </c>
      <c r="D3" s="267" t="s">
        <v>497</v>
      </c>
      <c r="E3" s="268" t="s">
        <v>495</v>
      </c>
      <c r="F3" s="267" t="s">
        <v>381</v>
      </c>
      <c r="G3" s="305" t="s">
        <v>475</v>
      </c>
    </row>
    <row r="4" spans="1:11" ht="15" customHeight="1">
      <c r="A4" s="269"/>
      <c r="B4" s="270"/>
      <c r="C4" s="271"/>
      <c r="D4" s="270"/>
      <c r="E4" s="272"/>
      <c r="F4" s="270"/>
      <c r="G4" s="306" t="s">
        <v>476</v>
      </c>
    </row>
    <row r="5" spans="1:11" ht="15" customHeight="1">
      <c r="A5" s="269"/>
      <c r="B5" s="270"/>
      <c r="C5" s="271"/>
      <c r="D5" s="270"/>
      <c r="E5" s="272"/>
      <c r="F5" s="270"/>
      <c r="G5" s="306" t="s">
        <v>477</v>
      </c>
    </row>
    <row r="6" spans="1:11" ht="24" customHeight="1">
      <c r="A6" s="273"/>
      <c r="B6" s="274"/>
      <c r="C6" s="275"/>
      <c r="D6" s="274"/>
      <c r="E6" s="276"/>
      <c r="F6" s="274"/>
      <c r="G6" s="307"/>
    </row>
    <row r="7" spans="1:11" ht="1.5" customHeight="1" thickBot="1">
      <c r="A7" s="277">
        <v>1996</v>
      </c>
      <c r="B7" s="287">
        <v>2792349</v>
      </c>
      <c r="C7" s="288">
        <v>2968829</v>
      </c>
      <c r="D7" s="287">
        <v>5761178</v>
      </c>
      <c r="E7" s="288">
        <v>1471489</v>
      </c>
      <c r="F7" s="287">
        <v>7232667</v>
      </c>
      <c r="G7" s="308">
        <v>1.8350297937143788E-2</v>
      </c>
    </row>
    <row r="8" spans="1:11" ht="0.75" hidden="1" customHeight="1" thickBot="1">
      <c r="A8" s="280">
        <v>1997</v>
      </c>
      <c r="B8" s="289">
        <v>2750986</v>
      </c>
      <c r="C8" s="159">
        <v>2929423</v>
      </c>
      <c r="D8" s="289">
        <v>5680409</v>
      </c>
      <c r="E8" s="159">
        <v>1556062</v>
      </c>
      <c r="F8" s="289">
        <v>7236471</v>
      </c>
      <c r="G8" s="309">
        <v>5.2594706765844463E-4</v>
      </c>
      <c r="I8" s="8"/>
      <c r="J8" s="8"/>
      <c r="K8" s="8"/>
    </row>
    <row r="9" spans="1:11" ht="19.5" hidden="1" customHeight="1" thickBot="1">
      <c r="A9" s="280">
        <v>1998</v>
      </c>
      <c r="B9" s="289">
        <v>2746839</v>
      </c>
      <c r="C9" s="159">
        <v>2927739</v>
      </c>
      <c r="D9" s="289">
        <v>5674578</v>
      </c>
      <c r="E9" s="159">
        <v>1572038</v>
      </c>
      <c r="F9" s="289">
        <v>7246616</v>
      </c>
      <c r="G9" s="309">
        <v>1.401926436242196E-3</v>
      </c>
    </row>
    <row r="10" spans="1:11" ht="0.5" hidden="1" customHeight="1" thickBot="1">
      <c r="A10" s="280">
        <v>1999</v>
      </c>
      <c r="B10" s="289">
        <v>2760031</v>
      </c>
      <c r="C10" s="159">
        <v>2940891</v>
      </c>
      <c r="D10" s="289">
        <v>5700922</v>
      </c>
      <c r="E10" s="159">
        <v>1569600</v>
      </c>
      <c r="F10" s="289">
        <v>7270522</v>
      </c>
      <c r="G10" s="309">
        <v>3.298919109278041E-3</v>
      </c>
    </row>
    <row r="11" spans="1:11" ht="19.75" hidden="1" customHeight="1" thickBot="1">
      <c r="A11" s="280">
        <v>2000</v>
      </c>
      <c r="B11" s="289">
        <v>2758998</v>
      </c>
      <c r="C11" s="159">
        <v>2947662</v>
      </c>
      <c r="D11" s="289">
        <v>5706660</v>
      </c>
      <c r="E11" s="159">
        <v>1558453</v>
      </c>
      <c r="F11" s="289">
        <v>7265113</v>
      </c>
      <c r="G11" s="309">
        <v>-7.4396308820742166E-4</v>
      </c>
    </row>
    <row r="12" spans="1:11" ht="20" hidden="1" customHeight="1" thickBot="1">
      <c r="A12" s="280">
        <v>2001</v>
      </c>
      <c r="B12" s="289">
        <v>2778660</v>
      </c>
      <c r="C12" s="159">
        <v>2968477</v>
      </c>
      <c r="D12" s="289">
        <v>5747137</v>
      </c>
      <c r="E12" s="159">
        <v>1553913</v>
      </c>
      <c r="F12" s="289">
        <v>7301050</v>
      </c>
      <c r="G12" s="309">
        <v>4.9465163170896312E-3</v>
      </c>
    </row>
    <row r="13" spans="1:11" ht="20" hidden="1" customHeight="1" thickBot="1">
      <c r="A13" s="280">
        <v>2002</v>
      </c>
      <c r="B13" s="289">
        <v>2803463</v>
      </c>
      <c r="C13" s="159">
        <v>2992002</v>
      </c>
      <c r="D13" s="289">
        <v>5795465</v>
      </c>
      <c r="E13" s="159">
        <v>1549167</v>
      </c>
      <c r="F13" s="289">
        <v>7344632</v>
      </c>
      <c r="G13" s="309">
        <v>5.9692783914642418E-3</v>
      </c>
    </row>
    <row r="14" spans="1:11" ht="20" customHeight="1" thickBot="1">
      <c r="A14" s="280">
        <v>2003</v>
      </c>
      <c r="B14" s="289">
        <v>2880411</v>
      </c>
      <c r="C14" s="159">
        <v>2950352</v>
      </c>
      <c r="D14" s="289">
        <v>5830763</v>
      </c>
      <c r="E14" s="159">
        <v>1541742</v>
      </c>
      <c r="F14" s="289">
        <v>7372505</v>
      </c>
      <c r="G14" s="309">
        <v>3.7950165508632699E-3</v>
      </c>
    </row>
    <row r="15" spans="1:11" ht="20" customHeight="1" thickBot="1">
      <c r="A15" s="280">
        <v>2004</v>
      </c>
      <c r="B15" s="289">
        <v>2832331</v>
      </c>
      <c r="C15" s="159">
        <v>3021580</v>
      </c>
      <c r="D15" s="289">
        <v>5853911</v>
      </c>
      <c r="E15" s="159">
        <v>1529663</v>
      </c>
      <c r="F15" s="289">
        <v>7383574</v>
      </c>
      <c r="G15" s="309">
        <v>1.5013892835610148E-3</v>
      </c>
    </row>
    <row r="16" spans="1:11" ht="20" customHeight="1" thickBot="1">
      <c r="A16" s="280">
        <v>2005</v>
      </c>
      <c r="B16" s="289">
        <v>2861206</v>
      </c>
      <c r="C16" s="159">
        <v>3049366</v>
      </c>
      <c r="D16" s="289">
        <v>5910572</v>
      </c>
      <c r="E16" s="159">
        <v>1525293</v>
      </c>
      <c r="F16" s="289">
        <v>7435865</v>
      </c>
      <c r="G16" s="309">
        <v>7.0820716363104719E-3</v>
      </c>
    </row>
    <row r="17" spans="1:7" ht="20" customHeight="1" thickBot="1">
      <c r="A17" s="280">
        <v>2006</v>
      </c>
      <c r="B17" s="289">
        <v>2886537.34</v>
      </c>
      <c r="C17" s="159">
        <v>3073653.46</v>
      </c>
      <c r="D17" s="289">
        <v>5960190.7999999998</v>
      </c>
      <c r="E17" s="159">
        <v>1518236.03</v>
      </c>
      <c r="F17" s="289">
        <v>7478426.8300000001</v>
      </c>
      <c r="G17" s="309">
        <v>5.7238572782050134E-3</v>
      </c>
    </row>
    <row r="18" spans="1:7" ht="20" customHeight="1" thickBot="1">
      <c r="A18" s="280">
        <v>2007</v>
      </c>
      <c r="B18" s="289">
        <v>2922195.75</v>
      </c>
      <c r="C18" s="159">
        <v>3104949.1</v>
      </c>
      <c r="D18" s="289">
        <v>6027144.8499999996</v>
      </c>
      <c r="E18" s="159">
        <v>1510442.56</v>
      </c>
      <c r="F18" s="289">
        <v>7537587.4100000001</v>
      </c>
      <c r="G18" s="309">
        <v>7.9108322304732859E-3</v>
      </c>
    </row>
    <row r="19" spans="1:7" ht="20" customHeight="1" thickBot="1">
      <c r="A19" s="280">
        <v>2008</v>
      </c>
      <c r="B19" s="289">
        <v>2966175.79</v>
      </c>
      <c r="C19" s="159">
        <v>3141735.96</v>
      </c>
      <c r="D19" s="289">
        <v>6107911.75</v>
      </c>
      <c r="E19" s="159">
        <v>1507651.61</v>
      </c>
      <c r="F19" s="289">
        <v>7615563.3600000003</v>
      </c>
      <c r="G19" s="309">
        <v>1.0344948026280942E-2</v>
      </c>
    </row>
    <row r="20" spans="1:7" ht="20" customHeight="1" thickBot="1">
      <c r="A20" s="280">
        <v>2009</v>
      </c>
      <c r="B20" s="289">
        <v>3018366.51</v>
      </c>
      <c r="C20" s="159">
        <v>3183510.14</v>
      </c>
      <c r="D20" s="289">
        <v>6201876.6500000004</v>
      </c>
      <c r="E20" s="159">
        <v>1506974.9</v>
      </c>
      <c r="F20" s="289">
        <v>7708851.5500000007</v>
      </c>
      <c r="G20" s="309">
        <v>1.2249676824959144E-2</v>
      </c>
    </row>
    <row r="21" spans="1:7" ht="20" customHeight="1" thickBot="1">
      <c r="A21" s="280">
        <v>2010</v>
      </c>
      <c r="B21" s="289">
        <v>3056460.47</v>
      </c>
      <c r="C21" s="159">
        <v>3218553.79</v>
      </c>
      <c r="D21" s="289">
        <v>6275014.2599999998</v>
      </c>
      <c r="E21" s="159">
        <v>1504647.58</v>
      </c>
      <c r="F21" s="289">
        <v>7779661.8399999999</v>
      </c>
      <c r="G21" s="309">
        <v>9.1855822544668619E-3</v>
      </c>
    </row>
    <row r="22" spans="1:7" ht="20" customHeight="1" thickBot="1">
      <c r="A22" s="280">
        <v>2011</v>
      </c>
      <c r="B22" s="289">
        <v>3103820.45</v>
      </c>
      <c r="C22" s="159">
        <v>3255003.5</v>
      </c>
      <c r="D22" s="289">
        <v>6358823.9500000002</v>
      </c>
      <c r="E22" s="159">
        <v>1503946.51</v>
      </c>
      <c r="F22" s="289">
        <v>7862770.46</v>
      </c>
      <c r="G22" s="309">
        <v>1.0682806233644815E-2</v>
      </c>
    </row>
    <row r="23" spans="1:7" ht="20" customHeight="1" thickBot="1">
      <c r="A23" s="280">
        <v>2012</v>
      </c>
      <c r="B23" s="289">
        <v>3151552.15</v>
      </c>
      <c r="C23" s="159">
        <v>3292915.95</v>
      </c>
      <c r="D23" s="289">
        <v>6444468.0999999996</v>
      </c>
      <c r="E23" s="159">
        <v>1508889.28</v>
      </c>
      <c r="F23" s="289">
        <v>7953357.3799999999</v>
      </c>
      <c r="G23" s="309">
        <v>1.1520992563732957E-2</v>
      </c>
    </row>
    <row r="24" spans="1:7" ht="30" customHeight="1" thickBot="1">
      <c r="A24" s="283">
        <v>2013</v>
      </c>
      <c r="B24" s="290">
        <v>3197627.52</v>
      </c>
      <c r="C24" s="291">
        <v>3332235.99</v>
      </c>
      <c r="D24" s="290">
        <v>6529863.5099999998</v>
      </c>
      <c r="E24" s="291">
        <v>1516064.78</v>
      </c>
      <c r="F24" s="290">
        <v>8045928.29</v>
      </c>
      <c r="G24" s="310">
        <v>1.1639224239160306E-2</v>
      </c>
    </row>
    <row r="25" spans="1:7" ht="20" customHeight="1">
      <c r="A25" s="189" t="s">
        <v>346</v>
      </c>
      <c r="B25" s="457"/>
      <c r="C25" s="457"/>
      <c r="D25" s="457"/>
      <c r="E25" s="457"/>
      <c r="F25" s="457"/>
      <c r="G25" s="610"/>
    </row>
    <row r="26" spans="1:7" ht="20" customHeight="1">
      <c r="A26" s="219"/>
      <c r="B26" s="459"/>
      <c r="C26" s="459"/>
      <c r="D26" s="459"/>
      <c r="E26" s="459"/>
      <c r="F26" s="459"/>
      <c r="G26" s="611"/>
    </row>
    <row r="27" spans="1:7" ht="12.75" customHeight="1">
      <c r="A27" s="677" t="s">
        <v>1136</v>
      </c>
      <c r="B27" s="459"/>
      <c r="C27" s="459"/>
      <c r="D27" s="459"/>
      <c r="E27" s="459"/>
      <c r="F27" s="459"/>
      <c r="G27" s="611"/>
    </row>
    <row r="28" spans="1:7" ht="12.75" customHeight="1">
      <c r="A28" s="247" t="s">
        <v>1137</v>
      </c>
    </row>
    <row r="30" spans="1:7">
      <c r="A30" s="3" t="s">
        <v>1138</v>
      </c>
    </row>
    <row r="33" spans="1:1">
      <c r="A33" s="3" t="s">
        <v>302</v>
      </c>
    </row>
  </sheetData>
  <pageMargins left="0.5" right="0.49" top="1.03" bottom="0.49" header="0.56000000000000005" footer="0.4921259845"/>
  <pageSetup paperSize="9" scale="89" orientation="portrait" horizontalDpi="1200" verticalDpi="1200"/>
  <headerFooter alignWithMargins="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DC088-4263-3048-A65F-F5FEC30CE6AB}">
  <sheetPr>
    <pageSetUpPr fitToPage="1"/>
  </sheetPr>
  <dimension ref="A1:K34"/>
  <sheetViews>
    <sheetView zoomScaleNormal="100" workbookViewId="0">
      <selection activeCell="A3" sqref="A3"/>
    </sheetView>
  </sheetViews>
  <sheetFormatPr baseColWidth="10" defaultColWidth="11.3984375" defaultRowHeight="13"/>
  <cols>
    <col min="1" max="1" width="20.796875" style="3" customWidth="1"/>
    <col min="2" max="3" width="14" style="3" customWidth="1"/>
    <col min="4" max="4" width="15.3984375" style="3" customWidth="1"/>
    <col min="5" max="5" width="14" style="3" customWidth="1"/>
    <col min="6" max="6" width="14.796875" style="3" customWidth="1"/>
    <col min="7" max="7" width="13.796875" style="3" customWidth="1"/>
    <col min="8" max="8" width="8.796875" style="3" customWidth="1"/>
    <col min="9" max="16384" width="11.3984375" style="3"/>
  </cols>
  <sheetData>
    <row r="1" spans="1:11" s="1" customFormat="1" ht="14" customHeight="1"/>
    <row r="2" spans="1:11" s="1" customFormat="1" ht="24" customHeight="1">
      <c r="A2" s="311" t="s">
        <v>1128</v>
      </c>
      <c r="G2" s="327"/>
    </row>
    <row r="3" spans="1:11" ht="24" customHeight="1">
      <c r="A3" s="224" t="s">
        <v>1129</v>
      </c>
      <c r="B3" s="267" t="s">
        <v>644</v>
      </c>
      <c r="C3" s="268" t="s">
        <v>645</v>
      </c>
      <c r="D3" s="267" t="s">
        <v>497</v>
      </c>
      <c r="E3" s="268" t="s">
        <v>1130</v>
      </c>
      <c r="F3" s="267" t="s">
        <v>381</v>
      </c>
      <c r="G3" s="305" t="s">
        <v>475</v>
      </c>
    </row>
    <row r="4" spans="1:11" ht="15" customHeight="1">
      <c r="A4" s="269"/>
      <c r="B4" s="270"/>
      <c r="C4" s="271"/>
      <c r="D4" s="270"/>
      <c r="E4" s="272"/>
      <c r="F4" s="270"/>
      <c r="G4" s="306" t="s">
        <v>476</v>
      </c>
    </row>
    <row r="5" spans="1:11" ht="15" customHeight="1">
      <c r="A5" s="269"/>
      <c r="B5" s="270"/>
      <c r="C5" s="271"/>
      <c r="D5" s="270"/>
      <c r="E5" s="272"/>
      <c r="F5" s="270"/>
      <c r="G5" s="306" t="s">
        <v>477</v>
      </c>
    </row>
    <row r="6" spans="1:11" ht="24" customHeight="1">
      <c r="A6" s="273"/>
      <c r="B6" s="274"/>
      <c r="C6" s="275"/>
      <c r="D6" s="274"/>
      <c r="E6" s="276"/>
      <c r="F6" s="274"/>
      <c r="G6" s="307"/>
    </row>
    <row r="7" spans="1:11" ht="1.75" customHeight="1" thickBot="1">
      <c r="A7" s="277">
        <v>1996</v>
      </c>
      <c r="B7" s="287">
        <v>2760146</v>
      </c>
      <c r="C7" s="288">
        <v>2938608</v>
      </c>
      <c r="D7" s="287">
        <v>5698754</v>
      </c>
      <c r="E7" s="288">
        <v>1496000</v>
      </c>
      <c r="F7" s="287">
        <v>7194754</v>
      </c>
      <c r="G7" s="308">
        <v>4.3855246833913626E-3</v>
      </c>
    </row>
    <row r="8" spans="1:11" ht="0.75" hidden="1" customHeight="1" thickBot="1">
      <c r="A8" s="280">
        <v>1997</v>
      </c>
      <c r="B8" s="289">
        <v>2725064</v>
      </c>
      <c r="C8" s="159">
        <v>2902973</v>
      </c>
      <c r="D8" s="289">
        <v>5628037</v>
      </c>
      <c r="E8" s="159">
        <v>1586768</v>
      </c>
      <c r="F8" s="289">
        <v>7214805</v>
      </c>
      <c r="G8" s="309">
        <v>2.7868916713483186E-3</v>
      </c>
      <c r="I8" s="8"/>
      <c r="J8" s="8"/>
      <c r="K8" s="8"/>
    </row>
    <row r="9" spans="1:11" ht="19.5" hidden="1" customHeight="1" thickBot="1">
      <c r="A9" s="280">
        <v>1998</v>
      </c>
      <c r="B9" s="289">
        <v>2736949</v>
      </c>
      <c r="C9" s="159">
        <v>2915969</v>
      </c>
      <c r="D9" s="289">
        <v>5652918</v>
      </c>
      <c r="E9" s="159">
        <v>1595685</v>
      </c>
      <c r="F9" s="289">
        <v>7248603</v>
      </c>
      <c r="G9" s="309">
        <v>4.6845340934370365E-3</v>
      </c>
    </row>
    <row r="10" spans="1:11" ht="19.75" hidden="1" customHeight="1" thickBot="1">
      <c r="A10" s="280">
        <v>1999</v>
      </c>
      <c r="B10" s="289">
        <v>2741177</v>
      </c>
      <c r="C10" s="159">
        <v>2926032</v>
      </c>
      <c r="D10" s="289">
        <v>5667209</v>
      </c>
      <c r="E10" s="159">
        <v>1599325</v>
      </c>
      <c r="F10" s="289">
        <v>7266534</v>
      </c>
      <c r="G10" s="309">
        <v>2.4737180391863093E-3</v>
      </c>
    </row>
    <row r="11" spans="1:11" ht="0.5" customHeight="1" thickBot="1">
      <c r="A11" s="280">
        <v>2000</v>
      </c>
      <c r="B11" s="289">
        <v>2746615</v>
      </c>
      <c r="C11" s="159">
        <v>2936748</v>
      </c>
      <c r="D11" s="289">
        <v>5683363</v>
      </c>
      <c r="E11" s="159">
        <v>1584748</v>
      </c>
      <c r="F11" s="289">
        <v>7268111</v>
      </c>
      <c r="G11" s="309">
        <v>2.1702231077429761E-4</v>
      </c>
    </row>
    <row r="12" spans="1:11" ht="20" hidden="1" customHeight="1" thickBot="1">
      <c r="A12" s="280">
        <v>2001</v>
      </c>
      <c r="B12" s="289">
        <v>2775829</v>
      </c>
      <c r="C12" s="159">
        <v>2962533</v>
      </c>
      <c r="D12" s="289">
        <v>5738362</v>
      </c>
      <c r="E12" s="159">
        <v>1582925</v>
      </c>
      <c r="F12" s="289">
        <v>7321287</v>
      </c>
      <c r="G12" s="309">
        <v>7.3163439578729601E-3</v>
      </c>
    </row>
    <row r="13" spans="1:11" ht="20" hidden="1" customHeight="1" thickBot="1">
      <c r="A13" s="280">
        <v>2002</v>
      </c>
      <c r="B13" s="289">
        <v>2798041</v>
      </c>
      <c r="C13" s="159">
        <v>2982916</v>
      </c>
      <c r="D13" s="289">
        <v>5780957</v>
      </c>
      <c r="E13" s="159">
        <v>1578408</v>
      </c>
      <c r="F13" s="289">
        <v>7359365</v>
      </c>
      <c r="G13" s="309">
        <v>5.2009981305199482E-3</v>
      </c>
    </row>
    <row r="14" spans="1:11" ht="19.5" customHeight="1" thickBot="1">
      <c r="A14" s="280">
        <v>2003</v>
      </c>
      <c r="B14" s="289">
        <v>2818135</v>
      </c>
      <c r="C14" s="159">
        <v>3002978</v>
      </c>
      <c r="D14" s="289">
        <v>5821113</v>
      </c>
      <c r="E14" s="159">
        <v>1572075</v>
      </c>
      <c r="F14" s="289">
        <v>7393188</v>
      </c>
      <c r="G14" s="309">
        <v>4.5959128267180661E-3</v>
      </c>
    </row>
    <row r="15" spans="1:11" ht="19.5" customHeight="1" thickBot="1">
      <c r="A15" s="280">
        <v>2004</v>
      </c>
      <c r="B15" s="289">
        <v>2834642</v>
      </c>
      <c r="C15" s="159">
        <v>3021025</v>
      </c>
      <c r="D15" s="289">
        <v>5855667</v>
      </c>
      <c r="E15" s="159">
        <v>1564307</v>
      </c>
      <c r="F15" s="289">
        <v>7419974</v>
      </c>
      <c r="G15" s="309">
        <v>3.623064907858423E-3</v>
      </c>
    </row>
    <row r="16" spans="1:11" ht="19.5" customHeight="1" thickBot="1">
      <c r="A16" s="280">
        <v>2005</v>
      </c>
      <c r="B16" s="289">
        <v>2858735</v>
      </c>
      <c r="C16" s="159">
        <v>3042765</v>
      </c>
      <c r="D16" s="289">
        <v>5901500</v>
      </c>
      <c r="E16" s="159">
        <v>1556975</v>
      </c>
      <c r="F16" s="289">
        <v>7458475</v>
      </c>
      <c r="G16" s="309">
        <v>5.1888321980642083E-3</v>
      </c>
    </row>
    <row r="17" spans="1:7" ht="19.5" customHeight="1" thickBot="1">
      <c r="A17" s="280">
        <v>2006</v>
      </c>
      <c r="B17" s="289">
        <v>2887156</v>
      </c>
      <c r="C17" s="159">
        <v>3068025</v>
      </c>
      <c r="D17" s="289">
        <v>5955181</v>
      </c>
      <c r="E17" s="159">
        <v>1552364</v>
      </c>
      <c r="F17" s="289">
        <v>7507545</v>
      </c>
      <c r="G17" s="309">
        <v>6.5790929110842722E-3</v>
      </c>
    </row>
    <row r="18" spans="1:7" ht="19.5" customHeight="1" thickBot="1">
      <c r="A18" s="280">
        <v>2007</v>
      </c>
      <c r="B18" s="289">
        <v>2927022</v>
      </c>
      <c r="C18" s="159">
        <v>3102846</v>
      </c>
      <c r="D18" s="289">
        <v>6029868</v>
      </c>
      <c r="E18" s="159">
        <v>1547264</v>
      </c>
      <c r="F18" s="289">
        <v>7577132</v>
      </c>
      <c r="G18" s="309">
        <v>9.2689421109031223E-3</v>
      </c>
    </row>
    <row r="19" spans="1:7" ht="19.5" customHeight="1" thickBot="1">
      <c r="A19" s="280">
        <v>2008</v>
      </c>
      <c r="B19" s="289">
        <v>2977802</v>
      </c>
      <c r="C19" s="159">
        <v>3143748</v>
      </c>
      <c r="D19" s="289">
        <v>6121550</v>
      </c>
      <c r="E19" s="159">
        <v>1548061</v>
      </c>
      <c r="F19" s="289">
        <v>7669611</v>
      </c>
      <c r="G19" s="309">
        <v>1.2205013717591306E-2</v>
      </c>
    </row>
    <row r="20" spans="1:7" ht="19.5" customHeight="1" thickBot="1">
      <c r="A20" s="280">
        <v>2009</v>
      </c>
      <c r="B20" s="289">
        <v>3021437</v>
      </c>
      <c r="C20" s="159">
        <v>3181817</v>
      </c>
      <c r="D20" s="289">
        <v>6203254</v>
      </c>
      <c r="E20" s="159">
        <v>1545668</v>
      </c>
      <c r="F20" s="289">
        <v>7748922</v>
      </c>
      <c r="G20" s="309">
        <v>1.0340941672269954E-2</v>
      </c>
    </row>
    <row r="21" spans="1:7" ht="19.5" customHeight="1" thickBot="1">
      <c r="A21" s="280">
        <v>2010</v>
      </c>
      <c r="B21" s="289">
        <v>3060091</v>
      </c>
      <c r="C21" s="159">
        <v>3216359</v>
      </c>
      <c r="D21" s="289">
        <v>6276450</v>
      </c>
      <c r="E21" s="159">
        <v>1546183</v>
      </c>
      <c r="F21" s="289">
        <v>7822633</v>
      </c>
      <c r="G21" s="309">
        <v>9.5124199211193972E-3</v>
      </c>
    </row>
    <row r="22" spans="1:7" ht="19.5" customHeight="1" thickBot="1">
      <c r="A22" s="280">
        <v>2011</v>
      </c>
      <c r="B22" s="289">
        <v>3107638</v>
      </c>
      <c r="C22" s="159">
        <v>3253232</v>
      </c>
      <c r="D22" s="289">
        <v>6360870</v>
      </c>
      <c r="E22" s="159">
        <v>1546149</v>
      </c>
      <c r="F22" s="289">
        <v>7907019</v>
      </c>
      <c r="G22" s="309">
        <v>1.0787416461950805E-2</v>
      </c>
    </row>
    <row r="23" spans="1:7" ht="19.5" customHeight="1" thickBot="1">
      <c r="A23" s="280">
        <v>2012</v>
      </c>
      <c r="B23" s="289">
        <v>3155476</v>
      </c>
      <c r="C23" s="159">
        <v>3291504</v>
      </c>
      <c r="D23" s="289">
        <v>6446980</v>
      </c>
      <c r="E23" s="159">
        <v>1552289</v>
      </c>
      <c r="F23" s="289">
        <v>7999269</v>
      </c>
      <c r="G23" s="309">
        <v>1.1666849415689962E-2</v>
      </c>
    </row>
    <row r="24" spans="1:7" ht="23.25" customHeight="1" thickBot="1">
      <c r="A24" s="283">
        <v>2013</v>
      </c>
      <c r="B24" s="290">
        <v>3201410</v>
      </c>
      <c r="C24" s="291">
        <v>3331570</v>
      </c>
      <c r="D24" s="290">
        <v>6532980</v>
      </c>
      <c r="E24" s="291">
        <v>1558610</v>
      </c>
      <c r="F24" s="290">
        <v>8091590</v>
      </c>
      <c r="G24" s="310">
        <v>1.1541179575283778E-2</v>
      </c>
    </row>
    <row r="25" spans="1:7" ht="20" customHeight="1">
      <c r="A25" s="189" t="s">
        <v>346</v>
      </c>
      <c r="B25" s="457"/>
      <c r="C25" s="457"/>
      <c r="D25" s="457"/>
      <c r="E25" s="457"/>
      <c r="F25" s="457"/>
      <c r="G25" s="610"/>
    </row>
    <row r="26" spans="1:7" ht="13.5" customHeight="1">
      <c r="A26" s="219"/>
      <c r="B26" s="459"/>
      <c r="C26" s="459"/>
      <c r="D26" s="459"/>
      <c r="E26" s="459"/>
      <c r="F26" s="459"/>
      <c r="G26" s="611"/>
    </row>
    <row r="27" spans="1:7" ht="12.75" customHeight="1">
      <c r="A27" s="3" t="s">
        <v>1131</v>
      </c>
    </row>
    <row r="28" spans="1:7" ht="12.75" customHeight="1">
      <c r="A28" s="247" t="s">
        <v>1132</v>
      </c>
    </row>
    <row r="29" spans="1:7" ht="12.75" customHeight="1">
      <c r="A29" s="461" t="s">
        <v>1133</v>
      </c>
    </row>
    <row r="30" spans="1:7">
      <c r="A30" s="676"/>
    </row>
    <row r="31" spans="1:7">
      <c r="A31" s="3" t="s">
        <v>1134</v>
      </c>
    </row>
    <row r="34" spans="1:1">
      <c r="A34" s="3" t="s">
        <v>302</v>
      </c>
    </row>
  </sheetData>
  <pageMargins left="0.37" right="0.31" top="0.94488188976377963" bottom="0.47244094488188981" header="0.51181102362204722" footer="0.51181102362204722"/>
  <pageSetup paperSize="9" scale="84" orientation="portrait" horizontalDpi="1200" verticalDpi="1200"/>
  <headerFooter alignWithMargins="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FA850-6869-F345-AE35-24283649B6A4}">
  <sheetPr>
    <pageSetUpPr fitToPage="1"/>
  </sheetPr>
  <dimension ref="A1:G47"/>
  <sheetViews>
    <sheetView zoomScaleNormal="100" workbookViewId="0"/>
  </sheetViews>
  <sheetFormatPr baseColWidth="10" defaultColWidth="11.3984375" defaultRowHeight="13"/>
  <cols>
    <col min="1" max="1" width="16.3984375" style="3" customWidth="1"/>
    <col min="2" max="5" width="17.3984375" style="3" customWidth="1"/>
    <col min="6" max="6" width="17.3984375" style="492" customWidth="1"/>
    <col min="7" max="7" width="18.59765625" style="3" customWidth="1"/>
    <col min="8" max="8" width="11.3984375" style="3"/>
    <col min="9" max="9" width="14.59765625" style="3" customWidth="1"/>
    <col min="10" max="16384" width="11.3984375" style="3"/>
  </cols>
  <sheetData>
    <row r="1" spans="1:7" s="1" customFormat="1" ht="14" customHeight="1">
      <c r="F1" s="673"/>
    </row>
    <row r="2" spans="1:7" s="1" customFormat="1" ht="25.75" customHeight="1">
      <c r="A2" s="311" t="s">
        <v>1117</v>
      </c>
      <c r="F2" s="327"/>
      <c r="G2" s="327">
        <v>2013</v>
      </c>
    </row>
    <row r="3" spans="1:7" ht="27" customHeight="1">
      <c r="A3" s="224" t="s">
        <v>67</v>
      </c>
      <c r="B3" s="267" t="s">
        <v>644</v>
      </c>
      <c r="C3" s="268" t="s">
        <v>645</v>
      </c>
      <c r="D3" s="267" t="s">
        <v>495</v>
      </c>
      <c r="E3" s="268" t="s">
        <v>381</v>
      </c>
      <c r="F3" s="520" t="s">
        <v>1118</v>
      </c>
      <c r="G3" s="1285" t="s">
        <v>1896</v>
      </c>
    </row>
    <row r="4" spans="1:7" ht="13.75" customHeight="1">
      <c r="A4" s="306"/>
      <c r="B4" s="332"/>
      <c r="C4" s="306"/>
      <c r="D4" s="332"/>
      <c r="E4" s="306"/>
      <c r="F4" s="522" t="s">
        <v>1119</v>
      </c>
      <c r="G4" s="1286" t="s">
        <v>1894</v>
      </c>
    </row>
    <row r="5" spans="1:7" ht="30.75" customHeight="1">
      <c r="A5" s="307"/>
      <c r="B5" s="229"/>
      <c r="C5" s="307"/>
      <c r="D5" s="229"/>
      <c r="E5" s="307"/>
      <c r="F5" s="523" t="s">
        <v>477</v>
      </c>
      <c r="G5" s="1287"/>
    </row>
    <row r="6" spans="1:7" ht="30" customHeight="1" thickBot="1">
      <c r="A6" s="334" t="s">
        <v>502</v>
      </c>
      <c r="B6" s="335">
        <v>565253</v>
      </c>
      <c r="C6" s="336">
        <v>586343</v>
      </c>
      <c r="D6" s="335">
        <v>265766</v>
      </c>
      <c r="E6" s="336">
        <v>1417362</v>
      </c>
      <c r="F6" s="337">
        <v>1.1522126836885471E-2</v>
      </c>
      <c r="G6" s="1288">
        <v>106971</v>
      </c>
    </row>
    <row r="7" spans="1:7" ht="20" customHeight="1" thickBot="1">
      <c r="A7" s="339" t="s">
        <v>503</v>
      </c>
      <c r="B7" s="349">
        <v>394395</v>
      </c>
      <c r="C7" s="350">
        <v>421161</v>
      </c>
      <c r="D7" s="349">
        <v>181454</v>
      </c>
      <c r="E7" s="350">
        <v>997010</v>
      </c>
      <c r="F7" s="351">
        <v>7.3667374274919428E-3</v>
      </c>
      <c r="G7" s="1289">
        <v>82674</v>
      </c>
    </row>
    <row r="8" spans="1:7" ht="20" customHeight="1" thickBot="1">
      <c r="A8" s="339" t="s">
        <v>504</v>
      </c>
      <c r="B8" s="349">
        <v>154218</v>
      </c>
      <c r="C8" s="350">
        <v>159249</v>
      </c>
      <c r="D8" s="349">
        <v>77194</v>
      </c>
      <c r="E8" s="350">
        <v>390661</v>
      </c>
      <c r="F8" s="351">
        <v>9.4286482072907241E-3</v>
      </c>
      <c r="G8" s="1289">
        <v>35885</v>
      </c>
    </row>
    <row r="9" spans="1:7" ht="20" customHeight="1" thickBot="1">
      <c r="A9" s="339" t="s">
        <v>505</v>
      </c>
      <c r="B9" s="349">
        <v>14550</v>
      </c>
      <c r="C9" s="350">
        <v>14280</v>
      </c>
      <c r="D9" s="349">
        <v>7088</v>
      </c>
      <c r="E9" s="350">
        <v>35918</v>
      </c>
      <c r="F9" s="351">
        <v>1.1706990745903312E-3</v>
      </c>
      <c r="G9" s="1289">
        <v>3197</v>
      </c>
    </row>
    <row r="10" spans="1:7" ht="20" customHeight="1" thickBot="1">
      <c r="A10" s="339" t="s">
        <v>506</v>
      </c>
      <c r="B10" s="349">
        <v>62620</v>
      </c>
      <c r="C10" s="350">
        <v>59802</v>
      </c>
      <c r="D10" s="349">
        <v>29539</v>
      </c>
      <c r="E10" s="350">
        <v>151961</v>
      </c>
      <c r="F10" s="351">
        <v>1.1306917251201254E-2</v>
      </c>
      <c r="G10" s="1289">
        <v>12926</v>
      </c>
    </row>
    <row r="11" spans="1:7" ht="20" customHeight="1" thickBot="1">
      <c r="A11" s="339" t="s">
        <v>507</v>
      </c>
      <c r="B11" s="349">
        <v>15084</v>
      </c>
      <c r="C11" s="350">
        <v>14706</v>
      </c>
      <c r="D11" s="349">
        <v>7341</v>
      </c>
      <c r="E11" s="350">
        <v>37131</v>
      </c>
      <c r="F11" s="351">
        <v>1.212996783514142E-2</v>
      </c>
      <c r="G11" s="1289">
        <v>3416</v>
      </c>
    </row>
    <row r="12" spans="1:7" ht="20" customHeight="1" thickBot="1">
      <c r="A12" s="339" t="s">
        <v>508</v>
      </c>
      <c r="B12" s="349">
        <v>17313</v>
      </c>
      <c r="C12" s="350">
        <v>16764</v>
      </c>
      <c r="D12" s="349">
        <v>7463</v>
      </c>
      <c r="E12" s="350">
        <v>41540</v>
      </c>
      <c r="F12" s="351">
        <v>4.8622366288493257E-3</v>
      </c>
      <c r="G12" s="1289">
        <v>3618</v>
      </c>
    </row>
    <row r="13" spans="1:7" ht="20" customHeight="1" thickBot="1">
      <c r="A13" s="339" t="s">
        <v>509</v>
      </c>
      <c r="B13" s="349">
        <v>16403</v>
      </c>
      <c r="C13" s="350">
        <v>16137</v>
      </c>
      <c r="D13" s="349">
        <v>7323</v>
      </c>
      <c r="E13" s="350">
        <v>39863</v>
      </c>
      <c r="F13" s="351">
        <v>4.2828710351952015E-3</v>
      </c>
      <c r="G13" s="1289">
        <v>3709</v>
      </c>
    </row>
    <row r="14" spans="1:7" ht="20" customHeight="1" thickBot="1">
      <c r="A14" s="339" t="s">
        <v>510</v>
      </c>
      <c r="B14" s="349">
        <v>48344</v>
      </c>
      <c r="C14" s="350">
        <v>47313</v>
      </c>
      <c r="D14" s="349">
        <v>22816</v>
      </c>
      <c r="E14" s="350">
        <v>118473</v>
      </c>
      <c r="F14" s="351">
        <v>1.614189774510888E-2</v>
      </c>
      <c r="G14" s="1289">
        <v>9111</v>
      </c>
    </row>
    <row r="15" spans="1:7" ht="20" customHeight="1" thickBot="1">
      <c r="A15" s="339" t="s">
        <v>511</v>
      </c>
      <c r="B15" s="349">
        <v>115260</v>
      </c>
      <c r="C15" s="350">
        <v>116648</v>
      </c>
      <c r="D15" s="349">
        <v>65901</v>
      </c>
      <c r="E15" s="350">
        <v>297809</v>
      </c>
      <c r="F15" s="351">
        <v>2.0610360013022744E-2</v>
      </c>
      <c r="G15" s="1289">
        <v>27064</v>
      </c>
    </row>
    <row r="16" spans="1:7" ht="20" customHeight="1" thickBot="1">
      <c r="A16" s="339" t="s">
        <v>512</v>
      </c>
      <c r="B16" s="349">
        <v>105924</v>
      </c>
      <c r="C16" s="350">
        <v>109111</v>
      </c>
      <c r="D16" s="349">
        <v>48335</v>
      </c>
      <c r="E16" s="350">
        <v>263370</v>
      </c>
      <c r="F16" s="351">
        <v>9.0456650920083259E-3</v>
      </c>
      <c r="G16" s="1289">
        <v>23127</v>
      </c>
    </row>
    <row r="17" spans="1:7" ht="20" customHeight="1" thickBot="1">
      <c r="A17" s="339" t="s">
        <v>513</v>
      </c>
      <c r="B17" s="349">
        <v>72244</v>
      </c>
      <c r="C17" s="350">
        <v>81112</v>
      </c>
      <c r="D17" s="349">
        <v>29327</v>
      </c>
      <c r="E17" s="350">
        <v>182683</v>
      </c>
      <c r="F17" s="351">
        <v>1.0347764528902959E-2</v>
      </c>
      <c r="G17" s="1289">
        <v>13499</v>
      </c>
    </row>
    <row r="18" spans="1:7" ht="20" customHeight="1" thickBot="1">
      <c r="A18" s="339" t="s">
        <v>514</v>
      </c>
      <c r="B18" s="349">
        <v>109676</v>
      </c>
      <c r="C18" s="350">
        <v>116988</v>
      </c>
      <c r="D18" s="349">
        <v>50688</v>
      </c>
      <c r="E18" s="350">
        <v>277352</v>
      </c>
      <c r="F18" s="351">
        <v>6.1087975390687888E-3</v>
      </c>
      <c r="G18" s="1289">
        <v>21527</v>
      </c>
    </row>
    <row r="19" spans="1:7" ht="20" customHeight="1" thickBot="1">
      <c r="A19" s="339" t="s">
        <v>515</v>
      </c>
      <c r="B19" s="349">
        <v>31371</v>
      </c>
      <c r="C19" s="350">
        <v>32993</v>
      </c>
      <c r="D19" s="349">
        <v>14005</v>
      </c>
      <c r="E19" s="350">
        <v>78369</v>
      </c>
      <c r="F19" s="351">
        <v>7.5078742688179378E-3</v>
      </c>
      <c r="G19" s="1289">
        <v>6831</v>
      </c>
    </row>
    <row r="20" spans="1:7" ht="20" customHeight="1" thickBot="1">
      <c r="A20" s="339" t="s">
        <v>516</v>
      </c>
      <c r="B20" s="349">
        <v>21988</v>
      </c>
      <c r="C20" s="350">
        <v>21993</v>
      </c>
      <c r="D20" s="349">
        <v>10543</v>
      </c>
      <c r="E20" s="350">
        <v>54524</v>
      </c>
      <c r="F20" s="351">
        <v>4.4396956689940481E-3</v>
      </c>
      <c r="G20" s="1289">
        <v>4934</v>
      </c>
    </row>
    <row r="21" spans="1:7" ht="20" customHeight="1" thickBot="1">
      <c r="A21" s="339" t="s">
        <v>517</v>
      </c>
      <c r="B21" s="349">
        <v>6392</v>
      </c>
      <c r="C21" s="350">
        <v>6064</v>
      </c>
      <c r="D21" s="349">
        <v>3354</v>
      </c>
      <c r="E21" s="350">
        <v>15810</v>
      </c>
      <c r="F21" s="351">
        <v>-1.212196950762312E-2</v>
      </c>
      <c r="G21" s="1289">
        <v>1629</v>
      </c>
    </row>
    <row r="22" spans="1:7" ht="20" customHeight="1" thickBot="1">
      <c r="A22" s="339" t="s">
        <v>518</v>
      </c>
      <c r="B22" s="349">
        <v>195652</v>
      </c>
      <c r="C22" s="350">
        <v>198766</v>
      </c>
      <c r="D22" s="349">
        <v>97668</v>
      </c>
      <c r="E22" s="350">
        <v>492086</v>
      </c>
      <c r="F22" s="351">
        <v>9.1608407383634294E-3</v>
      </c>
      <c r="G22" s="1289">
        <v>46731</v>
      </c>
    </row>
    <row r="23" spans="1:7" ht="20" customHeight="1" thickBot="1">
      <c r="A23" s="339" t="s">
        <v>519</v>
      </c>
      <c r="B23" s="349">
        <v>82492</v>
      </c>
      <c r="C23" s="350">
        <v>83026</v>
      </c>
      <c r="D23" s="349">
        <v>34342</v>
      </c>
      <c r="E23" s="350">
        <v>199860</v>
      </c>
      <c r="F23" s="351">
        <v>6.8716749959696344E-3</v>
      </c>
      <c r="G23" s="1289">
        <v>18569</v>
      </c>
    </row>
    <row r="24" spans="1:7" ht="20" customHeight="1" thickBot="1">
      <c r="A24" s="339" t="s">
        <v>520</v>
      </c>
      <c r="B24" s="349">
        <v>256165</v>
      </c>
      <c r="C24" s="350">
        <v>258840</v>
      </c>
      <c r="D24" s="349">
        <v>123887</v>
      </c>
      <c r="E24" s="350">
        <v>638892</v>
      </c>
      <c r="F24" s="351">
        <v>1.4251129120595563E-2</v>
      </c>
      <c r="G24" s="1289">
        <v>54793</v>
      </c>
    </row>
    <row r="25" spans="1:7" ht="20" customHeight="1" thickBot="1">
      <c r="A25" s="339" t="s">
        <v>521</v>
      </c>
      <c r="B25" s="349">
        <v>104611</v>
      </c>
      <c r="C25" s="350">
        <v>104256</v>
      </c>
      <c r="D25" s="349">
        <v>51235</v>
      </c>
      <c r="E25" s="350">
        <v>260102</v>
      </c>
      <c r="F25" s="351">
        <v>1.5155004117571202E-2</v>
      </c>
      <c r="G25" s="1289">
        <v>24294</v>
      </c>
    </row>
    <row r="26" spans="1:7" ht="20" customHeight="1" thickBot="1">
      <c r="A26" s="339" t="s">
        <v>522</v>
      </c>
      <c r="B26" s="349">
        <v>135369</v>
      </c>
      <c r="C26" s="350">
        <v>147065</v>
      </c>
      <c r="D26" s="349">
        <v>61351</v>
      </c>
      <c r="E26" s="350">
        <v>343785</v>
      </c>
      <c r="F26" s="351">
        <v>1.5621999604132464E-2</v>
      </c>
      <c r="G26" s="1289">
        <v>25034</v>
      </c>
    </row>
    <row r="27" spans="1:7" ht="20" customHeight="1" thickBot="1">
      <c r="A27" s="339" t="s">
        <v>523</v>
      </c>
      <c r="B27" s="349">
        <v>279625</v>
      </c>
      <c r="C27" s="350">
        <v>299404</v>
      </c>
      <c r="D27" s="349">
        <v>155571</v>
      </c>
      <c r="E27" s="350">
        <v>734600</v>
      </c>
      <c r="F27" s="351">
        <v>1.5884079135516593E-2</v>
      </c>
      <c r="G27" s="1289">
        <v>62684</v>
      </c>
    </row>
    <row r="28" spans="1:7" ht="20" customHeight="1" thickBot="1">
      <c r="A28" s="339" t="s">
        <v>524</v>
      </c>
      <c r="B28" s="349">
        <v>132216</v>
      </c>
      <c r="C28" s="350">
        <v>135321</v>
      </c>
      <c r="D28" s="349">
        <v>63407</v>
      </c>
      <c r="E28" s="350">
        <v>330944</v>
      </c>
      <c r="F28" s="351">
        <v>1.3635862440733559E-2</v>
      </c>
      <c r="G28" s="1289">
        <v>29939</v>
      </c>
    </row>
    <row r="29" spans="1:7" ht="20" customHeight="1" thickBot="1">
      <c r="A29" s="339" t="s">
        <v>525</v>
      </c>
      <c r="B29" s="349">
        <v>68030</v>
      </c>
      <c r="C29" s="350">
        <v>72987</v>
      </c>
      <c r="D29" s="349">
        <v>36280</v>
      </c>
      <c r="E29" s="350">
        <v>177297</v>
      </c>
      <c r="F29" s="351">
        <v>1.0469622706029913E-2</v>
      </c>
      <c r="G29" s="1289">
        <v>15708</v>
      </c>
    </row>
    <row r="30" spans="1:7" ht="20" customHeight="1" thickBot="1">
      <c r="A30" s="339" t="s">
        <v>526</v>
      </c>
      <c r="B30" s="349">
        <v>164635</v>
      </c>
      <c r="C30" s="350">
        <v>180321</v>
      </c>
      <c r="D30" s="349">
        <v>90829</v>
      </c>
      <c r="E30" s="350">
        <v>435785</v>
      </c>
      <c r="F30" s="351">
        <v>1.121705251873184E-2</v>
      </c>
      <c r="G30" s="1289">
        <v>36281</v>
      </c>
    </row>
    <row r="31" spans="1:7" ht="22" customHeight="1" thickBot="1">
      <c r="A31" s="234" t="s">
        <v>527</v>
      </c>
      <c r="B31" s="584">
        <v>27829</v>
      </c>
      <c r="C31" s="583">
        <v>29161</v>
      </c>
      <c r="D31" s="584">
        <v>15064</v>
      </c>
      <c r="E31" s="583">
        <v>72054</v>
      </c>
      <c r="F31" s="503">
        <v>7.87511714761302E-3</v>
      </c>
      <c r="G31" s="1290">
        <v>6426</v>
      </c>
    </row>
    <row r="32" spans="1:7" ht="21.75" customHeight="1" thickBot="1">
      <c r="A32" s="234" t="s">
        <v>1120</v>
      </c>
      <c r="B32" s="584">
        <v>3197659</v>
      </c>
      <c r="C32" s="583">
        <v>3329811</v>
      </c>
      <c r="D32" s="584">
        <v>1557771</v>
      </c>
      <c r="E32" s="583">
        <v>8085241</v>
      </c>
      <c r="F32" s="503">
        <v>1.1412673092145997E-2</v>
      </c>
      <c r="G32" s="1290">
        <v>680577</v>
      </c>
    </row>
    <row r="33" spans="1:7" ht="18.75" customHeight="1" thickBot="1">
      <c r="A33" s="297" t="s">
        <v>981</v>
      </c>
      <c r="B33" s="584">
        <v>3751</v>
      </c>
      <c r="C33" s="583">
        <v>1759</v>
      </c>
      <c r="D33" s="584">
        <v>839</v>
      </c>
      <c r="E33" s="583">
        <v>6349</v>
      </c>
      <c r="F33" s="503">
        <v>0.20680478996388518</v>
      </c>
      <c r="G33" s="1290">
        <v>539</v>
      </c>
    </row>
    <row r="34" spans="1:7" ht="0.5" customHeight="1" thickBot="1">
      <c r="A34" s="234" t="s">
        <v>1121</v>
      </c>
      <c r="B34" s="584">
        <v>0</v>
      </c>
      <c r="C34" s="583">
        <v>0</v>
      </c>
      <c r="D34" s="584">
        <v>0</v>
      </c>
      <c r="E34" s="583" t="s">
        <v>537</v>
      </c>
      <c r="F34" s="503" t="e">
        <v>#VALUE!</v>
      </c>
      <c r="G34" s="1290">
        <v>0</v>
      </c>
    </row>
    <row r="35" spans="1:7" s="200" customFormat="1" ht="30" customHeight="1" thickBot="1">
      <c r="A35" s="674" t="s">
        <v>1122</v>
      </c>
      <c r="B35" s="619">
        <v>3201410</v>
      </c>
      <c r="C35" s="244">
        <v>3331570</v>
      </c>
      <c r="D35" s="619">
        <v>1558610</v>
      </c>
      <c r="E35" s="601">
        <v>8091590</v>
      </c>
      <c r="F35" s="526">
        <v>1.1541179575283778E-2</v>
      </c>
      <c r="G35" s="1291">
        <v>681116</v>
      </c>
    </row>
    <row r="36" spans="1:7" ht="17.5" customHeight="1">
      <c r="A36" s="219" t="s">
        <v>346</v>
      </c>
    </row>
    <row r="38" spans="1:7">
      <c r="A38" s="219" t="s">
        <v>1123</v>
      </c>
    </row>
    <row r="39" spans="1:7">
      <c r="A39" s="675" t="s">
        <v>1124</v>
      </c>
    </row>
    <row r="40" spans="1:7">
      <c r="A40" s="219" t="s">
        <v>1125</v>
      </c>
    </row>
    <row r="41" spans="1:7">
      <c r="A41" s="219" t="s">
        <v>1126</v>
      </c>
    </row>
    <row r="42" spans="1:7">
      <c r="A42" s="1292" t="s">
        <v>1895</v>
      </c>
    </row>
    <row r="44" spans="1:7">
      <c r="A44" s="3" t="s">
        <v>1127</v>
      </c>
    </row>
    <row r="47" spans="1:7">
      <c r="A47" s="367" t="s">
        <v>302</v>
      </c>
    </row>
  </sheetData>
  <pageMargins left="0.62992125984251968" right="0.51181102362204722" top="0.74803149606299213" bottom="0.47244094488188981" header="0.43307086614173229" footer="0.31496062992125984"/>
  <pageSetup paperSize="9" scale="74" orientation="portrait" horizontalDpi="1200" verticalDpi="1200"/>
  <headerFooter alignWithMargins="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E8C1D-D3B3-3C44-B645-F64CAB8076FA}">
  <sheetPr>
    <pageSetUpPr fitToPage="1"/>
  </sheetPr>
  <dimension ref="A1:J36"/>
  <sheetViews>
    <sheetView zoomScaleNormal="100" workbookViewId="0"/>
  </sheetViews>
  <sheetFormatPr baseColWidth="10" defaultColWidth="11.3984375" defaultRowHeight="13"/>
  <cols>
    <col min="1" max="1" width="18.19921875" style="3" customWidth="1"/>
    <col min="2" max="6" width="22.59765625" style="3" customWidth="1"/>
    <col min="7" max="16384" width="11.3984375" style="3"/>
  </cols>
  <sheetData>
    <row r="1" spans="1:10" s="1" customFormat="1" ht="14" customHeight="1"/>
    <row r="2" spans="1:10" s="1" customFormat="1" ht="28" customHeight="1">
      <c r="A2" s="311" t="s">
        <v>2236</v>
      </c>
      <c r="C2" s="844"/>
      <c r="D2" s="844"/>
    </row>
    <row r="3" spans="1:10" ht="24" customHeight="1">
      <c r="A3" s="224" t="s">
        <v>445</v>
      </c>
      <c r="B3" s="1110" t="s">
        <v>2237</v>
      </c>
      <c r="C3" s="495" t="s">
        <v>2237</v>
      </c>
      <c r="D3" s="1110" t="s">
        <v>103</v>
      </c>
      <c r="E3" s="1521" t="s">
        <v>103</v>
      </c>
      <c r="F3" s="1110" t="s">
        <v>1752</v>
      </c>
    </row>
    <row r="4" spans="1:10" ht="18" customHeight="1">
      <c r="A4" s="269"/>
      <c r="B4" s="494" t="s">
        <v>103</v>
      </c>
      <c r="C4" s="495" t="s">
        <v>103</v>
      </c>
      <c r="D4" s="494" t="s">
        <v>2238</v>
      </c>
      <c r="E4" s="1522" t="s">
        <v>2239</v>
      </c>
      <c r="F4" s="494" t="s">
        <v>2240</v>
      </c>
    </row>
    <row r="5" spans="1:10" ht="18.75" customHeight="1">
      <c r="A5" s="269"/>
      <c r="B5" s="494" t="s">
        <v>2241</v>
      </c>
      <c r="C5" s="495" t="s">
        <v>2242</v>
      </c>
      <c r="D5" s="494" t="s">
        <v>2243</v>
      </c>
      <c r="E5" s="1522" t="s">
        <v>2243</v>
      </c>
      <c r="F5" s="494" t="s">
        <v>2244</v>
      </c>
    </row>
    <row r="6" spans="1:10" ht="24" customHeight="1">
      <c r="A6" s="273"/>
      <c r="B6" s="274"/>
      <c r="C6" s="275"/>
      <c r="D6" s="274"/>
      <c r="E6" s="1523"/>
      <c r="F6" s="274"/>
    </row>
    <row r="7" spans="1:10" ht="22.25" customHeight="1" thickBot="1">
      <c r="A7" s="277">
        <v>1996</v>
      </c>
      <c r="B7" s="287">
        <v>7232667</v>
      </c>
      <c r="C7" s="288">
        <v>7170504.333333333</v>
      </c>
      <c r="D7" s="287" t="s">
        <v>153</v>
      </c>
      <c r="E7" s="637">
        <v>7194754</v>
      </c>
      <c r="F7" s="287">
        <v>7105446</v>
      </c>
    </row>
    <row r="8" spans="1:10" ht="20.5" customHeight="1" thickBot="1">
      <c r="A8" s="280">
        <v>1997</v>
      </c>
      <c r="B8" s="289">
        <v>7236471</v>
      </c>
      <c r="C8" s="159">
        <v>7182491.833333334</v>
      </c>
      <c r="D8" s="289" t="s">
        <v>153</v>
      </c>
      <c r="E8" s="1524">
        <v>7214805</v>
      </c>
      <c r="F8" s="289">
        <v>7113565</v>
      </c>
      <c r="H8" s="8"/>
      <c r="I8" s="8"/>
      <c r="J8" s="8"/>
    </row>
    <row r="9" spans="1:10" ht="19.75" customHeight="1" thickBot="1">
      <c r="A9" s="280">
        <v>1998</v>
      </c>
      <c r="B9" s="289">
        <v>7246616</v>
      </c>
      <c r="C9" s="159">
        <v>7211591.916666666</v>
      </c>
      <c r="D9" s="289" t="s">
        <v>153</v>
      </c>
      <c r="E9" s="1524">
        <v>7248603</v>
      </c>
      <c r="F9" s="289">
        <v>7131888</v>
      </c>
    </row>
    <row r="10" spans="1:10" ht="20" customHeight="1" thickBot="1">
      <c r="A10" s="280">
        <v>1999</v>
      </c>
      <c r="B10" s="289">
        <v>7270522</v>
      </c>
      <c r="C10" s="159">
        <v>7248704.333333334</v>
      </c>
      <c r="D10" s="289" t="s">
        <v>153</v>
      </c>
      <c r="E10" s="1524">
        <v>7266534</v>
      </c>
      <c r="F10" s="289">
        <v>7166738</v>
      </c>
    </row>
    <row r="11" spans="1:10" ht="20" customHeight="1" thickBot="1">
      <c r="A11" s="280">
        <v>2000</v>
      </c>
      <c r="B11" s="289">
        <v>7265113</v>
      </c>
      <c r="C11" s="159">
        <v>7262246.833333333</v>
      </c>
      <c r="D11" s="289" t="s">
        <v>153</v>
      </c>
      <c r="E11" s="1524">
        <v>7268111</v>
      </c>
      <c r="F11" s="289">
        <v>7209042</v>
      </c>
    </row>
    <row r="12" spans="1:10" ht="20" customHeight="1" thickBot="1">
      <c r="A12" s="280">
        <v>2001</v>
      </c>
      <c r="B12" s="289">
        <v>7301050</v>
      </c>
      <c r="C12" s="159">
        <v>7296058.5199999996</v>
      </c>
      <c r="D12" s="289" t="s">
        <v>153</v>
      </c>
      <c r="E12" s="1524">
        <v>7321287</v>
      </c>
      <c r="F12" s="289">
        <v>7260339</v>
      </c>
    </row>
    <row r="13" spans="1:10" ht="20" customHeight="1" thickBot="1">
      <c r="A13" s="280">
        <v>2002</v>
      </c>
      <c r="B13" s="289">
        <v>7344632</v>
      </c>
      <c r="C13" s="159">
        <v>7341111.2499999991</v>
      </c>
      <c r="D13" s="289" t="s">
        <v>153</v>
      </c>
      <c r="E13" s="1524">
        <v>7359365</v>
      </c>
      <c r="F13" s="289">
        <v>7347770</v>
      </c>
    </row>
    <row r="14" spans="1:10" ht="20" customHeight="1" thickBot="1">
      <c r="A14" s="280">
        <v>2003</v>
      </c>
      <c r="B14" s="289">
        <v>7372505</v>
      </c>
      <c r="C14" s="159">
        <v>7377771.6699999999</v>
      </c>
      <c r="D14" s="289" t="s">
        <v>153</v>
      </c>
      <c r="E14" s="1524">
        <v>7393188</v>
      </c>
      <c r="F14" s="289">
        <v>7405051</v>
      </c>
    </row>
    <row r="15" spans="1:10" ht="20" customHeight="1" thickBot="1">
      <c r="A15" s="280">
        <v>2004</v>
      </c>
      <c r="B15" s="289">
        <v>7383574</v>
      </c>
      <c r="C15" s="159">
        <v>7411732</v>
      </c>
      <c r="D15" s="289" t="s">
        <v>153</v>
      </c>
      <c r="E15" s="1524">
        <v>7419974</v>
      </c>
      <c r="F15" s="289">
        <v>7454112</v>
      </c>
    </row>
    <row r="16" spans="1:10" ht="20" customHeight="1" thickBot="1">
      <c r="A16" s="280">
        <v>2005</v>
      </c>
      <c r="B16" s="289">
        <v>7435865</v>
      </c>
      <c r="C16" s="159">
        <v>7444739</v>
      </c>
      <c r="D16" s="289">
        <v>7426709</v>
      </c>
      <c r="E16" s="1524">
        <v>7458475</v>
      </c>
      <c r="F16" s="289">
        <v>7501255</v>
      </c>
    </row>
    <row r="17" spans="1:6" ht="20" customHeight="1" thickBot="1">
      <c r="A17" s="280">
        <v>2006</v>
      </c>
      <c r="B17" s="289">
        <v>7478426.8300000001</v>
      </c>
      <c r="C17" s="159">
        <v>7488730</v>
      </c>
      <c r="D17" s="289">
        <v>7470156</v>
      </c>
      <c r="E17" s="1524">
        <v>7507545</v>
      </c>
      <c r="F17" s="289">
        <v>7557609</v>
      </c>
    </row>
    <row r="18" spans="1:6" ht="20" customHeight="1" thickBot="1">
      <c r="A18" s="280">
        <v>2007</v>
      </c>
      <c r="B18" s="289">
        <v>7537587.4100000001</v>
      </c>
      <c r="C18" s="159">
        <v>7517067</v>
      </c>
      <c r="D18" s="289">
        <v>7548213</v>
      </c>
      <c r="E18" s="1524">
        <v>7577132</v>
      </c>
      <c r="F18" s="289">
        <v>7618599</v>
      </c>
    </row>
    <row r="19" spans="1:6" ht="20" customHeight="1" thickBot="1">
      <c r="A19" s="280">
        <v>2008</v>
      </c>
      <c r="B19" s="289">
        <v>7615563.3600000003</v>
      </c>
      <c r="C19" s="159">
        <v>7602868</v>
      </c>
      <c r="D19" s="289">
        <v>7611232</v>
      </c>
      <c r="E19" s="1524">
        <v>7669611</v>
      </c>
      <c r="F19" s="289">
        <v>7711056</v>
      </c>
    </row>
    <row r="20" spans="1:6" ht="20" customHeight="1" thickBot="1">
      <c r="A20" s="280">
        <v>2009</v>
      </c>
      <c r="B20" s="289">
        <v>7708851.5500000007</v>
      </c>
      <c r="C20" s="159">
        <v>7692449</v>
      </c>
      <c r="D20" s="289">
        <v>7717311</v>
      </c>
      <c r="E20" s="1524">
        <v>7748922</v>
      </c>
      <c r="F20" s="289">
        <v>7801278</v>
      </c>
    </row>
    <row r="21" spans="1:6" ht="20" customHeight="1" thickBot="1">
      <c r="A21" s="280">
        <v>2010</v>
      </c>
      <c r="B21" s="289">
        <v>7779661.8399999999</v>
      </c>
      <c r="C21" s="159">
        <v>7764759</v>
      </c>
      <c r="D21" s="289">
        <v>7783558.0800000001</v>
      </c>
      <c r="E21" s="1524">
        <v>7822633</v>
      </c>
      <c r="F21" s="289">
        <v>7877571</v>
      </c>
    </row>
    <row r="22" spans="1:6" ht="20" customHeight="1" thickBot="1">
      <c r="A22" s="280">
        <v>2011</v>
      </c>
      <c r="B22" s="289">
        <v>7862770.46</v>
      </c>
      <c r="C22" s="159">
        <v>7840441</v>
      </c>
      <c r="D22" s="1339">
        <v>7860791</v>
      </c>
      <c r="E22" s="1524">
        <v>7907019.0999999996</v>
      </c>
      <c r="F22" s="289">
        <v>7912398</v>
      </c>
    </row>
    <row r="23" spans="1:6" ht="20" customHeight="1" thickBot="1">
      <c r="A23" s="280">
        <v>2012</v>
      </c>
      <c r="B23" s="289">
        <v>7953357.3799999999</v>
      </c>
      <c r="C23" s="159">
        <v>7931746</v>
      </c>
      <c r="D23" s="289">
        <v>7932245</v>
      </c>
      <c r="E23" s="1524">
        <v>7999269</v>
      </c>
      <c r="F23" s="289">
        <v>7996861</v>
      </c>
    </row>
    <row r="24" spans="1:6" ht="30" customHeight="1" thickBot="1">
      <c r="A24" s="283">
        <v>2013</v>
      </c>
      <c r="B24" s="290">
        <v>8045928.29</v>
      </c>
      <c r="C24" s="291">
        <v>7990484.3333333349</v>
      </c>
      <c r="D24" s="290">
        <v>8017722</v>
      </c>
      <c r="E24" s="1525">
        <v>8091590</v>
      </c>
      <c r="F24" s="290">
        <v>8089345.5</v>
      </c>
    </row>
    <row r="25" spans="1:6" ht="20" customHeight="1">
      <c r="A25" s="189" t="s">
        <v>2284</v>
      </c>
      <c r="B25" s="457"/>
      <c r="C25" s="457"/>
      <c r="D25" s="457"/>
      <c r="E25" s="457"/>
      <c r="F25" s="457"/>
    </row>
    <row r="26" spans="1:6" ht="12.75" customHeight="1">
      <c r="A26" s="219"/>
      <c r="B26" s="459"/>
      <c r="C26" s="459"/>
      <c r="D26" s="459"/>
      <c r="E26" s="459"/>
      <c r="F26" s="459"/>
    </row>
    <row r="27" spans="1:6" ht="12.75" customHeight="1">
      <c r="A27" s="677" t="s">
        <v>2245</v>
      </c>
      <c r="B27" s="459"/>
      <c r="C27" s="459"/>
      <c r="D27" s="459"/>
      <c r="E27" s="459"/>
      <c r="F27" s="459"/>
    </row>
    <row r="28" spans="1:6" ht="12" customHeight="1">
      <c r="A28" s="1312" t="s">
        <v>2246</v>
      </c>
    </row>
    <row r="29" spans="1:6" ht="12" customHeight="1">
      <c r="A29" s="367" t="s">
        <v>1949</v>
      </c>
    </row>
    <row r="30" spans="1:6" ht="13.75" customHeight="1">
      <c r="A30" s="677" t="s">
        <v>2247</v>
      </c>
    </row>
    <row r="31" spans="1:6" ht="15" customHeight="1">
      <c r="A31" s="219" t="s">
        <v>2248</v>
      </c>
    </row>
    <row r="33" spans="1:1">
      <c r="A33" s="3" t="s">
        <v>2249</v>
      </c>
    </row>
    <row r="36" spans="1:1">
      <c r="A36" s="3" t="s">
        <v>302</v>
      </c>
    </row>
  </sheetData>
  <pageMargins left="0.44" right="0.28000000000000003" top="0.70866141732283472" bottom="0.47244094488188981" header="0.55118110236220474" footer="0.51181102362204722"/>
  <pageSetup paperSize="9" scale="68" orientation="portrait" horizontalDpi="1200" verticalDpi="1200"/>
  <headerFooter alignWithMargins="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05E08-D30F-D24F-BE56-501CD8CB5FEC}">
  <sheetPr>
    <pageSetUpPr fitToPage="1"/>
  </sheetPr>
  <dimension ref="A1:G32"/>
  <sheetViews>
    <sheetView zoomScaleNormal="100" workbookViewId="0"/>
  </sheetViews>
  <sheetFormatPr baseColWidth="10" defaultColWidth="11.3984375" defaultRowHeight="13"/>
  <cols>
    <col min="1" max="1" width="18.19921875" style="3" customWidth="1"/>
    <col min="2" max="7" width="14.59765625" style="3" customWidth="1"/>
    <col min="8" max="16384" width="11.3984375" style="3"/>
  </cols>
  <sheetData>
    <row r="1" spans="1:7" s="1" customFormat="1" ht="14" customHeight="1"/>
    <row r="2" spans="1:7" s="1" customFormat="1" ht="28" customHeight="1">
      <c r="A2" s="311" t="s">
        <v>995</v>
      </c>
      <c r="G2" s="327"/>
    </row>
    <row r="3" spans="1:7" ht="24" customHeight="1">
      <c r="A3" s="224" t="s">
        <v>445</v>
      </c>
      <c r="B3" s="267" t="s">
        <v>446</v>
      </c>
      <c r="C3" s="268" t="s">
        <v>447</v>
      </c>
      <c r="D3" s="267" t="s">
        <v>448</v>
      </c>
      <c r="E3" s="559" t="s">
        <v>449</v>
      </c>
      <c r="F3" s="267" t="s">
        <v>381</v>
      </c>
      <c r="G3" s="305" t="s">
        <v>475</v>
      </c>
    </row>
    <row r="4" spans="1:7" ht="15" customHeight="1">
      <c r="A4" s="269"/>
      <c r="B4" s="270" t="s">
        <v>450</v>
      </c>
      <c r="C4" s="271" t="s">
        <v>451</v>
      </c>
      <c r="D4" s="270" t="s">
        <v>452</v>
      </c>
      <c r="E4" s="272" t="s">
        <v>453</v>
      </c>
      <c r="F4" s="270"/>
      <c r="G4" s="306" t="s">
        <v>476</v>
      </c>
    </row>
    <row r="5" spans="1:7" ht="15" customHeight="1">
      <c r="A5" s="269"/>
      <c r="B5" s="270" t="s">
        <v>454</v>
      </c>
      <c r="C5" s="271" t="s">
        <v>455</v>
      </c>
      <c r="D5" s="270"/>
      <c r="E5" s="272" t="s">
        <v>463</v>
      </c>
      <c r="F5" s="270"/>
      <c r="G5" s="306" t="s">
        <v>477</v>
      </c>
    </row>
    <row r="6" spans="1:7" ht="24" customHeight="1">
      <c r="A6" s="273"/>
      <c r="B6" s="274"/>
      <c r="C6" s="275"/>
      <c r="D6" s="274"/>
      <c r="E6" s="276" t="s">
        <v>457</v>
      </c>
      <c r="F6" s="274"/>
      <c r="G6" s="307"/>
    </row>
    <row r="7" spans="1:7" ht="1.5" customHeight="1" thickBot="1">
      <c r="A7" s="277">
        <v>1996</v>
      </c>
      <c r="B7" s="287">
        <v>4739640</v>
      </c>
      <c r="C7" s="288">
        <v>2305688</v>
      </c>
      <c r="D7" s="287">
        <v>27828</v>
      </c>
      <c r="E7" s="288">
        <v>121598</v>
      </c>
      <c r="F7" s="370">
        <v>7194754</v>
      </c>
      <c r="G7" s="308">
        <v>3.9681470970374319E-3</v>
      </c>
    </row>
    <row r="8" spans="1:7" ht="0.75" hidden="1" customHeight="1" thickBot="1">
      <c r="A8" s="280">
        <v>1997</v>
      </c>
      <c r="B8" s="289">
        <v>4083854</v>
      </c>
      <c r="C8" s="159">
        <v>2736364</v>
      </c>
      <c r="D8" s="289">
        <v>11494</v>
      </c>
      <c r="E8" s="159">
        <v>383093</v>
      </c>
      <c r="F8" s="289">
        <v>7214805</v>
      </c>
      <c r="G8" s="309">
        <v>2.7868916713483186E-3</v>
      </c>
    </row>
    <row r="9" spans="1:7" ht="19.5" hidden="1" customHeight="1" thickBot="1">
      <c r="A9" s="280">
        <v>1998</v>
      </c>
      <c r="B9" s="289">
        <v>4016267</v>
      </c>
      <c r="C9" s="159">
        <v>2726468</v>
      </c>
      <c r="D9" s="289">
        <v>11828</v>
      </c>
      <c r="E9" s="159">
        <v>494040</v>
      </c>
      <c r="F9" s="289">
        <v>7248603</v>
      </c>
      <c r="G9" s="309">
        <v>4.6845340934370365E-3</v>
      </c>
    </row>
    <row r="10" spans="1:7" ht="19.75" hidden="1" customHeight="1" thickBot="1">
      <c r="A10" s="280">
        <v>1999</v>
      </c>
      <c r="B10" s="289">
        <v>3998744</v>
      </c>
      <c r="C10" s="159">
        <v>2715642</v>
      </c>
      <c r="D10" s="289">
        <v>10258</v>
      </c>
      <c r="E10" s="159">
        <v>541890</v>
      </c>
      <c r="F10" s="289">
        <v>7266534</v>
      </c>
      <c r="G10" s="309">
        <v>2.4737180391863093E-3</v>
      </c>
    </row>
    <row r="11" spans="1:7" ht="0.5" customHeight="1" thickBot="1">
      <c r="A11" s="280">
        <v>2000</v>
      </c>
      <c r="B11" s="289">
        <v>3921920</v>
      </c>
      <c r="C11" s="159">
        <v>2758539</v>
      </c>
      <c r="D11" s="289">
        <v>9811</v>
      </c>
      <c r="E11" s="159">
        <v>577841</v>
      </c>
      <c r="F11" s="289">
        <v>7268111</v>
      </c>
      <c r="G11" s="309">
        <v>2.1702231077429761E-4</v>
      </c>
    </row>
    <row r="12" spans="1:7" ht="20" hidden="1" customHeight="1" thickBot="1">
      <c r="A12" s="280">
        <v>2001</v>
      </c>
      <c r="B12" s="289">
        <v>3882191</v>
      </c>
      <c r="C12" s="159">
        <v>2833816</v>
      </c>
      <c r="D12" s="289">
        <v>9341</v>
      </c>
      <c r="E12" s="159">
        <v>595939</v>
      </c>
      <c r="F12" s="289">
        <v>7321287</v>
      </c>
      <c r="G12" s="309">
        <v>7.3163439578729601E-3</v>
      </c>
    </row>
    <row r="13" spans="1:7" ht="20" hidden="1" customHeight="1" thickBot="1">
      <c r="A13" s="280">
        <v>2002</v>
      </c>
      <c r="B13" s="289">
        <v>3812675</v>
      </c>
      <c r="C13" s="159">
        <v>2980820</v>
      </c>
      <c r="D13" s="289">
        <v>8835</v>
      </c>
      <c r="E13" s="159">
        <v>557035</v>
      </c>
      <c r="F13" s="289">
        <v>7359365</v>
      </c>
      <c r="G13" s="309">
        <v>5.2009981305199482E-3</v>
      </c>
    </row>
    <row r="14" spans="1:7" ht="20" customHeight="1" thickBot="1">
      <c r="A14" s="280">
        <v>2003</v>
      </c>
      <c r="B14" s="289">
        <v>3674270</v>
      </c>
      <c r="C14" s="159">
        <v>3107097</v>
      </c>
      <c r="D14" s="289">
        <v>8317</v>
      </c>
      <c r="E14" s="159">
        <v>603504</v>
      </c>
      <c r="F14" s="289">
        <v>7393188</v>
      </c>
      <c r="G14" s="309">
        <v>4.5959128267180661E-3</v>
      </c>
    </row>
    <row r="15" spans="1:7" ht="20" customHeight="1" thickBot="1">
      <c r="A15" s="280">
        <v>2004</v>
      </c>
      <c r="B15" s="289">
        <v>3639287</v>
      </c>
      <c r="C15" s="159">
        <v>3024823</v>
      </c>
      <c r="D15" s="289">
        <v>8098</v>
      </c>
      <c r="E15" s="159">
        <v>747766</v>
      </c>
      <c r="F15" s="289">
        <v>7419974</v>
      </c>
      <c r="G15" s="309">
        <v>3.623064907858423E-3</v>
      </c>
    </row>
    <row r="16" spans="1:7" ht="20" customHeight="1" thickBot="1">
      <c r="A16" s="280">
        <v>2005</v>
      </c>
      <c r="B16" s="289">
        <v>3605578</v>
      </c>
      <c r="C16" s="159">
        <v>2939073</v>
      </c>
      <c r="D16" s="289">
        <v>7711</v>
      </c>
      <c r="E16" s="159">
        <v>906113</v>
      </c>
      <c r="F16" s="289">
        <v>7458475</v>
      </c>
      <c r="G16" s="309">
        <v>5.1888321980643063E-3</v>
      </c>
    </row>
    <row r="17" spans="1:7" ht="20" customHeight="1" thickBot="1">
      <c r="A17" s="280">
        <v>2006</v>
      </c>
      <c r="B17" s="289">
        <v>3356090</v>
      </c>
      <c r="C17" s="159">
        <v>2787429</v>
      </c>
      <c r="D17" s="289">
        <v>7220</v>
      </c>
      <c r="E17" s="159">
        <v>1356806</v>
      </c>
      <c r="F17" s="289">
        <v>7507545</v>
      </c>
      <c r="G17" s="309">
        <v>6.5790929110843702E-3</v>
      </c>
    </row>
    <row r="18" spans="1:7" ht="20" customHeight="1" thickBot="1">
      <c r="A18" s="280">
        <v>2007</v>
      </c>
      <c r="B18" s="289">
        <v>3149431</v>
      </c>
      <c r="C18" s="159">
        <v>2579751</v>
      </c>
      <c r="D18" s="289">
        <v>6903</v>
      </c>
      <c r="E18" s="159">
        <v>1841047</v>
      </c>
      <c r="F18" s="289">
        <v>7577132</v>
      </c>
      <c r="G18" s="309">
        <v>9.268942110903098E-3</v>
      </c>
    </row>
    <row r="19" spans="1:7" ht="20" customHeight="1" thickBot="1">
      <c r="A19" s="280">
        <v>2008</v>
      </c>
      <c r="B19" s="289">
        <v>2968164</v>
      </c>
      <c r="C19" s="159">
        <v>2394419</v>
      </c>
      <c r="D19" s="289">
        <v>6557</v>
      </c>
      <c r="E19" s="159">
        <v>2300471</v>
      </c>
      <c r="F19" s="289">
        <v>7669611</v>
      </c>
      <c r="G19" s="309">
        <v>1.22050137175913E-2</v>
      </c>
    </row>
    <row r="20" spans="1:7" ht="20" customHeight="1" thickBot="1">
      <c r="A20" s="280">
        <v>2009</v>
      </c>
      <c r="B20" s="289">
        <v>2724152.39</v>
      </c>
      <c r="C20" s="159">
        <v>2160200.0299999998</v>
      </c>
      <c r="D20" s="289">
        <v>6148</v>
      </c>
      <c r="E20" s="159">
        <v>2858421.51</v>
      </c>
      <c r="F20" s="289">
        <v>7748921.9299999997</v>
      </c>
      <c r="G20" s="309">
        <v>1.0340932545340267E-2</v>
      </c>
    </row>
    <row r="21" spans="1:7" ht="20" customHeight="1" thickBot="1">
      <c r="A21" s="280">
        <v>2010</v>
      </c>
      <c r="B21" s="289">
        <v>2395489</v>
      </c>
      <c r="C21" s="159">
        <v>1750104</v>
      </c>
      <c r="D21" s="289">
        <v>5668</v>
      </c>
      <c r="E21" s="159">
        <v>3671372</v>
      </c>
      <c r="F21" s="289">
        <v>7822633</v>
      </c>
      <c r="G21" s="309">
        <v>9.5124290405646534E-3</v>
      </c>
    </row>
    <row r="22" spans="1:7" ht="20" customHeight="1" thickBot="1">
      <c r="A22" s="280">
        <v>2011</v>
      </c>
      <c r="B22" s="289">
        <v>2165345</v>
      </c>
      <c r="C22" s="159">
        <v>1530081</v>
      </c>
      <c r="D22" s="289">
        <v>5251</v>
      </c>
      <c r="E22" s="159">
        <v>4206342.0999999996</v>
      </c>
      <c r="F22" s="289">
        <v>7907019.0999999996</v>
      </c>
      <c r="G22" s="309">
        <v>1.0787429245370406E-2</v>
      </c>
    </row>
    <row r="23" spans="1:7" ht="20" customHeight="1" thickBot="1">
      <c r="A23" s="280">
        <v>2012</v>
      </c>
      <c r="B23" s="289">
        <v>2006966</v>
      </c>
      <c r="C23" s="159">
        <v>1379117</v>
      </c>
      <c r="D23" s="289">
        <v>5002</v>
      </c>
      <c r="E23" s="159">
        <v>4608184</v>
      </c>
      <c r="F23" s="289">
        <v>7999269</v>
      </c>
      <c r="G23" s="309">
        <v>1.1666836621148466E-2</v>
      </c>
    </row>
    <row r="24" spans="1:7" ht="27.5" customHeight="1" thickBot="1">
      <c r="A24" s="283">
        <v>2013</v>
      </c>
      <c r="B24" s="290">
        <v>1900394</v>
      </c>
      <c r="C24" s="291">
        <v>1283591</v>
      </c>
      <c r="D24" s="290">
        <v>4813</v>
      </c>
      <c r="E24" s="291">
        <v>4902792</v>
      </c>
      <c r="F24" s="290">
        <v>8091590</v>
      </c>
      <c r="G24" s="310">
        <v>1.1541179575283691E-2</v>
      </c>
    </row>
    <row r="25" spans="1:7" ht="19.5" customHeight="1">
      <c r="A25" s="189" t="s">
        <v>346</v>
      </c>
      <c r="B25" s="189"/>
      <c r="C25" s="189"/>
      <c r="D25" s="189"/>
      <c r="E25" s="189"/>
      <c r="F25" s="189"/>
      <c r="G25" s="189"/>
    </row>
    <row r="27" spans="1:7">
      <c r="A27" s="219" t="s">
        <v>996</v>
      </c>
    </row>
    <row r="29" spans="1:7">
      <c r="A29" s="3" t="s">
        <v>997</v>
      </c>
    </row>
    <row r="32" spans="1:7">
      <c r="A32" s="3" t="s">
        <v>302</v>
      </c>
    </row>
  </sheetData>
  <pageMargins left="0.56000000000000005" right="0.54" top="0.96" bottom="0.49" header="0.57999999999999996" footer="0.4921259845"/>
  <pageSetup paperSize="9" scale="86" orientation="portrait" horizontalDpi="4294967292" verticalDpi="4294967292"/>
  <headerFooter alignWithMargins="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5E3B5-03F2-584C-8F62-22868DB2E803}">
  <sheetPr>
    <pageSetUpPr fitToPage="1"/>
  </sheetPr>
  <dimension ref="A1:G22"/>
  <sheetViews>
    <sheetView zoomScaleNormal="100" workbookViewId="0"/>
  </sheetViews>
  <sheetFormatPr baseColWidth="10" defaultColWidth="11.3984375" defaultRowHeight="13"/>
  <cols>
    <col min="1" max="1" width="36.3984375" style="3" customWidth="1"/>
    <col min="2" max="6" width="14.3984375" style="3" customWidth="1"/>
    <col min="7" max="7" width="15" style="3" customWidth="1"/>
    <col min="8" max="16384" width="11.3984375" style="3"/>
  </cols>
  <sheetData>
    <row r="1" spans="1:7" ht="14" customHeight="1">
      <c r="A1" s="198"/>
      <c r="B1" s="219"/>
      <c r="C1" s="219"/>
      <c r="D1" s="219"/>
      <c r="E1" s="219"/>
      <c r="F1" s="219"/>
      <c r="G1" s="219"/>
    </row>
    <row r="2" spans="1:7" ht="30" customHeight="1">
      <c r="A2" s="2010" t="s">
        <v>984</v>
      </c>
      <c r="B2" s="2011"/>
      <c r="C2" s="2011"/>
      <c r="D2" s="2011"/>
      <c r="E2" s="2011"/>
      <c r="F2" s="2011"/>
      <c r="G2" s="125">
        <v>2013</v>
      </c>
    </row>
    <row r="3" spans="1:7" ht="24" customHeight="1">
      <c r="A3" s="224" t="s">
        <v>985</v>
      </c>
      <c r="B3" s="267" t="s">
        <v>644</v>
      </c>
      <c r="C3" s="268" t="s">
        <v>645</v>
      </c>
      <c r="D3" s="267" t="s">
        <v>495</v>
      </c>
      <c r="E3" s="268" t="s">
        <v>381</v>
      </c>
      <c r="F3" s="267" t="s">
        <v>646</v>
      </c>
      <c r="G3" s="305" t="s">
        <v>475</v>
      </c>
    </row>
    <row r="4" spans="1:7" ht="19.75" customHeight="1">
      <c r="A4" s="269"/>
      <c r="B4" s="270"/>
      <c r="C4" s="271"/>
      <c r="D4" s="270"/>
      <c r="E4" s="272"/>
      <c r="F4" s="270" t="s">
        <v>597</v>
      </c>
      <c r="G4" s="306" t="s">
        <v>476</v>
      </c>
    </row>
    <row r="5" spans="1:7" ht="18.5" customHeight="1">
      <c r="A5" s="306"/>
      <c r="B5" s="270"/>
      <c r="C5" s="271"/>
      <c r="D5" s="270"/>
      <c r="E5" s="271"/>
      <c r="F5" s="270" t="s">
        <v>647</v>
      </c>
      <c r="G5" s="306" t="s">
        <v>477</v>
      </c>
    </row>
    <row r="6" spans="1:7" ht="24" customHeight="1">
      <c r="A6" s="228"/>
      <c r="B6" s="544"/>
      <c r="C6" s="545"/>
      <c r="D6" s="544"/>
      <c r="E6" s="545"/>
      <c r="F6" s="544"/>
      <c r="G6" s="307"/>
    </row>
    <row r="7" spans="1:7" ht="37.5" customHeight="1" thickBot="1">
      <c r="A7" s="546" t="s">
        <v>986</v>
      </c>
      <c r="B7" s="370">
        <v>601292</v>
      </c>
      <c r="C7" s="371">
        <v>775289</v>
      </c>
      <c r="D7" s="370">
        <v>523813</v>
      </c>
      <c r="E7" s="371">
        <v>1900394</v>
      </c>
      <c r="F7" s="547">
        <v>0.23486039208610421</v>
      </c>
      <c r="G7" s="308">
        <v>-5.3101049046172182E-2</v>
      </c>
    </row>
    <row r="8" spans="1:7" ht="34.5" customHeight="1" thickBot="1">
      <c r="A8" s="546" t="s">
        <v>987</v>
      </c>
      <c r="B8" s="370">
        <v>650191</v>
      </c>
      <c r="C8" s="371">
        <v>584415</v>
      </c>
      <c r="D8" s="370">
        <v>48985</v>
      </c>
      <c r="E8" s="371">
        <v>1283591</v>
      </c>
      <c r="F8" s="547">
        <v>0.15863272854902435</v>
      </c>
      <c r="G8" s="308">
        <v>-6.9266059369872165E-2</v>
      </c>
    </row>
    <row r="9" spans="1:7" ht="31.5" customHeight="1" thickBot="1">
      <c r="A9" s="546" t="s">
        <v>988</v>
      </c>
      <c r="B9" s="370">
        <v>3152</v>
      </c>
      <c r="C9" s="371">
        <v>1643</v>
      </c>
      <c r="D9" s="370">
        <v>18</v>
      </c>
      <c r="E9" s="371">
        <v>4813</v>
      </c>
      <c r="F9" s="547">
        <v>5.9481511050362161E-4</v>
      </c>
      <c r="G9" s="308">
        <v>-3.7784886045581764E-2</v>
      </c>
    </row>
    <row r="10" spans="1:7" ht="33" customHeight="1" thickBot="1">
      <c r="A10" s="546" t="s">
        <v>989</v>
      </c>
      <c r="B10" s="370">
        <v>1946775</v>
      </c>
      <c r="C10" s="371">
        <v>1970223</v>
      </c>
      <c r="D10" s="370">
        <v>985794</v>
      </c>
      <c r="E10" s="371">
        <v>4902792</v>
      </c>
      <c r="F10" s="547">
        <v>0.60591206425436783</v>
      </c>
      <c r="G10" s="308">
        <v>6.3931474958465198E-2</v>
      </c>
    </row>
    <row r="11" spans="1:7" ht="39.5" customHeight="1" thickBot="1">
      <c r="A11" s="548" t="s">
        <v>990</v>
      </c>
      <c r="B11" s="549" t="s">
        <v>153</v>
      </c>
      <c r="C11" s="550" t="s">
        <v>153</v>
      </c>
      <c r="D11" s="549" t="s">
        <v>153</v>
      </c>
      <c r="E11" s="551">
        <v>2775048</v>
      </c>
      <c r="F11" s="552">
        <v>0.34295459853996557</v>
      </c>
      <c r="G11" s="553" t="s">
        <v>153</v>
      </c>
    </row>
    <row r="12" spans="1:7" ht="33" customHeight="1" thickBot="1">
      <c r="A12" s="554" t="s">
        <v>381</v>
      </c>
      <c r="B12" s="555">
        <v>3201410</v>
      </c>
      <c r="C12" s="556">
        <v>3331570</v>
      </c>
      <c r="D12" s="555">
        <v>1558610</v>
      </c>
      <c r="E12" s="556">
        <v>8091590</v>
      </c>
      <c r="F12" s="557">
        <v>1</v>
      </c>
      <c r="G12" s="558">
        <v>1.1541179575283691E-2</v>
      </c>
    </row>
    <row r="13" spans="1:7" ht="19.5" customHeight="1">
      <c r="A13" s="189" t="s">
        <v>346</v>
      </c>
      <c r="B13" s="189"/>
      <c r="C13" s="189"/>
      <c r="D13" s="189"/>
      <c r="E13" s="189"/>
      <c r="F13" s="189"/>
      <c r="G13" s="189"/>
    </row>
    <row r="15" spans="1:7">
      <c r="A15" s="3" t="s">
        <v>991</v>
      </c>
    </row>
    <row r="16" spans="1:7">
      <c r="A16" s="3" t="s">
        <v>992</v>
      </c>
    </row>
    <row r="17" spans="1:1">
      <c r="A17" s="3" t="s">
        <v>993</v>
      </c>
    </row>
    <row r="19" spans="1:1">
      <c r="A19" s="3" t="s">
        <v>994</v>
      </c>
    </row>
    <row r="22" spans="1:1">
      <c r="A22" s="3" t="s">
        <v>302</v>
      </c>
    </row>
  </sheetData>
  <mergeCells count="1">
    <mergeCell ref="A2:F2"/>
  </mergeCells>
  <pageMargins left="0.43" right="0.35" top="0.78740157480314965" bottom="0.47244094488188981" header="0.43307086614173229" footer="0.51181102362204722"/>
  <pageSetup paperSize="9" scale="78" orientation="portrait" horizontalDpi="1200" verticalDpi="1200"/>
  <headerFooter alignWithMargins="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20328-8823-B949-B91F-E76276BF039A}">
  <sheetPr>
    <pageSetUpPr fitToPage="1"/>
  </sheetPr>
  <dimension ref="A1:F32"/>
  <sheetViews>
    <sheetView zoomScaleNormal="100" workbookViewId="0">
      <selection activeCell="A3" sqref="A3"/>
    </sheetView>
  </sheetViews>
  <sheetFormatPr baseColWidth="10" defaultColWidth="11.3984375" defaultRowHeight="13"/>
  <cols>
    <col min="1" max="1" width="18.19921875" style="3" customWidth="1"/>
    <col min="2" max="6" width="14.59765625" style="3" customWidth="1"/>
    <col min="7" max="7" width="17.59765625" style="3" customWidth="1"/>
    <col min="8" max="16384" width="11.3984375" style="3"/>
  </cols>
  <sheetData>
    <row r="1" spans="1:6" s="1" customFormat="1" ht="14" customHeight="1"/>
    <row r="2" spans="1:6" s="1" customFormat="1" ht="39.75" customHeight="1">
      <c r="A2" s="2010" t="s">
        <v>1184</v>
      </c>
      <c r="B2" s="2011"/>
      <c r="C2" s="2011"/>
      <c r="D2" s="2011"/>
      <c r="E2" s="2011"/>
      <c r="F2" s="223"/>
    </row>
    <row r="3" spans="1:6" ht="24" customHeight="1">
      <c r="A3" s="224" t="s">
        <v>445</v>
      </c>
      <c r="B3" s="267" t="s">
        <v>446</v>
      </c>
      <c r="C3" s="268" t="s">
        <v>447</v>
      </c>
      <c r="D3" s="267" t="s">
        <v>448</v>
      </c>
      <c r="E3" s="559" t="s">
        <v>449</v>
      </c>
      <c r="F3" s="267" t="s">
        <v>381</v>
      </c>
    </row>
    <row r="4" spans="1:6" ht="15" customHeight="1">
      <c r="A4" s="269"/>
      <c r="B4" s="270" t="s">
        <v>450</v>
      </c>
      <c r="C4" s="271" t="s">
        <v>451</v>
      </c>
      <c r="D4" s="270" t="s">
        <v>452</v>
      </c>
      <c r="E4" s="272" t="s">
        <v>453</v>
      </c>
      <c r="F4" s="270"/>
    </row>
    <row r="5" spans="1:6" ht="15" customHeight="1">
      <c r="A5" s="269"/>
      <c r="B5" s="270" t="s">
        <v>454</v>
      </c>
      <c r="C5" s="271" t="s">
        <v>455</v>
      </c>
      <c r="D5" s="270"/>
      <c r="E5" s="272" t="s">
        <v>463</v>
      </c>
      <c r="F5" s="270"/>
    </row>
    <row r="6" spans="1:6" ht="24" customHeight="1">
      <c r="A6" s="273"/>
      <c r="B6" s="274"/>
      <c r="C6" s="275"/>
      <c r="D6" s="274"/>
      <c r="E6" s="276" t="s">
        <v>457</v>
      </c>
      <c r="F6" s="274"/>
    </row>
    <row r="7" spans="1:6" ht="1.5" customHeight="1" thickBot="1">
      <c r="A7" s="277">
        <v>1996</v>
      </c>
      <c r="B7" s="740">
        <v>0.65876331560467527</v>
      </c>
      <c r="C7" s="318">
        <v>0.32046794094697328</v>
      </c>
      <c r="D7" s="740">
        <v>3.8678181352691143E-3</v>
      </c>
      <c r="E7" s="318">
        <v>1.6900925313082283E-2</v>
      </c>
      <c r="F7" s="547">
        <v>1</v>
      </c>
    </row>
    <row r="8" spans="1:6" ht="19.5" hidden="1" customHeight="1" thickBot="1">
      <c r="A8" s="280">
        <v>1997</v>
      </c>
      <c r="B8" s="433">
        <v>0.56603802874783171</v>
      </c>
      <c r="C8" s="741">
        <v>0.37927068021935451</v>
      </c>
      <c r="D8" s="433">
        <v>1.5931130501794573E-3</v>
      </c>
      <c r="E8" s="741">
        <v>5.3098177982634318E-2</v>
      </c>
      <c r="F8" s="433">
        <v>1</v>
      </c>
    </row>
    <row r="9" spans="1:6" ht="19.5" hidden="1" customHeight="1" thickBot="1">
      <c r="A9" s="280">
        <v>1998</v>
      </c>
      <c r="B9" s="433">
        <v>0.55407462651768902</v>
      </c>
      <c r="C9" s="741">
        <v>0.37613702943863803</v>
      </c>
      <c r="D9" s="433">
        <v>1.6317626996539885E-3</v>
      </c>
      <c r="E9" s="741">
        <v>6.8156581344018974E-2</v>
      </c>
      <c r="F9" s="433">
        <v>1</v>
      </c>
    </row>
    <row r="10" spans="1:6" ht="0.5" hidden="1" customHeight="1" thickBot="1">
      <c r="A10" s="280">
        <v>1999</v>
      </c>
      <c r="B10" s="433">
        <v>0.55029591824658086</v>
      </c>
      <c r="C10" s="741">
        <v>0.37371902477852575</v>
      </c>
      <c r="D10" s="433">
        <v>1.4116771489681326E-3</v>
      </c>
      <c r="E10" s="741">
        <v>7.4573379825925268E-2</v>
      </c>
      <c r="F10" s="433">
        <v>1</v>
      </c>
    </row>
    <row r="11" spans="1:6" ht="19.75" hidden="1" customHeight="1" thickBot="1">
      <c r="A11" s="280">
        <v>2000</v>
      </c>
      <c r="B11" s="433">
        <v>0.53960650848618019</v>
      </c>
      <c r="C11" s="741">
        <v>0.37954002078394233</v>
      </c>
      <c r="D11" s="433">
        <v>1.3498693126728527E-3</v>
      </c>
      <c r="E11" s="741">
        <v>7.9503601417204556E-2</v>
      </c>
      <c r="F11" s="433">
        <v>1</v>
      </c>
    </row>
    <row r="12" spans="1:6" ht="20" hidden="1" customHeight="1" thickBot="1">
      <c r="A12" s="280">
        <v>2001</v>
      </c>
      <c r="B12" s="433">
        <v>0.53026073148068087</v>
      </c>
      <c r="C12" s="741">
        <v>0.38706527964277321</v>
      </c>
      <c r="D12" s="433">
        <v>1.2758685733806091E-3</v>
      </c>
      <c r="E12" s="741">
        <v>8.1398120303165275E-2</v>
      </c>
      <c r="F12" s="433">
        <v>1</v>
      </c>
    </row>
    <row r="13" spans="1:6" ht="20" hidden="1" customHeight="1" thickBot="1">
      <c r="A13" s="280">
        <v>2002</v>
      </c>
      <c r="B13" s="433">
        <v>0.51807119228357335</v>
      </c>
      <c r="C13" s="741">
        <v>0.40503766289618737</v>
      </c>
      <c r="D13" s="433">
        <v>1.2005111854079802E-3</v>
      </c>
      <c r="E13" s="741">
        <v>7.5690633634831264E-2</v>
      </c>
      <c r="F13" s="433">
        <v>1</v>
      </c>
    </row>
    <row r="14" spans="1:6" ht="20" customHeight="1" thickBot="1">
      <c r="A14" s="280">
        <v>2003</v>
      </c>
      <c r="B14" s="433">
        <v>0.49698046363760801</v>
      </c>
      <c r="C14" s="741">
        <v>0.42026484379945434</v>
      </c>
      <c r="D14" s="433">
        <v>1.1249544851287428E-3</v>
      </c>
      <c r="E14" s="741">
        <v>8.1629738077808919E-2</v>
      </c>
      <c r="F14" s="433">
        <v>1</v>
      </c>
    </row>
    <row r="15" spans="1:6" ht="20" customHeight="1" thickBot="1">
      <c r="A15" s="280">
        <v>2004</v>
      </c>
      <c r="B15" s="433">
        <v>0.49047166472550979</v>
      </c>
      <c r="C15" s="741">
        <v>0.40765951470988981</v>
      </c>
      <c r="D15" s="433">
        <v>1.0913784873100634E-3</v>
      </c>
      <c r="E15" s="741">
        <v>0.10077744207729029</v>
      </c>
      <c r="F15" s="433">
        <v>1</v>
      </c>
    </row>
    <row r="16" spans="1:6" ht="20" customHeight="1" thickBot="1">
      <c r="A16" s="280">
        <v>2005</v>
      </c>
      <c r="B16" s="433">
        <v>0.48342027022950401</v>
      </c>
      <c r="C16" s="741">
        <v>0.39405816872752136</v>
      </c>
      <c r="D16" s="433">
        <v>1.0338574574561153E-3</v>
      </c>
      <c r="E16" s="741">
        <v>0.12148770358551848</v>
      </c>
      <c r="F16" s="433">
        <v>1</v>
      </c>
    </row>
    <row r="17" spans="1:6" ht="20" customHeight="1" thickBot="1">
      <c r="A17" s="280">
        <v>2006</v>
      </c>
      <c r="B17" s="433">
        <v>0.44702895553739602</v>
      </c>
      <c r="C17" s="741">
        <v>0.37128368860925909</v>
      </c>
      <c r="D17" s="433">
        <v>9.6169919727420879E-4</v>
      </c>
      <c r="E17" s="741">
        <v>0.18072565665607065</v>
      </c>
      <c r="F17" s="433">
        <v>1</v>
      </c>
    </row>
    <row r="18" spans="1:6" ht="20" customHeight="1" thickBot="1">
      <c r="A18" s="280">
        <v>2007</v>
      </c>
      <c r="B18" s="433">
        <v>0.41564948320815842</v>
      </c>
      <c r="C18" s="741">
        <v>0.34046536341190836</v>
      </c>
      <c r="D18" s="433">
        <v>9.1103071716316941E-4</v>
      </c>
      <c r="E18" s="741">
        <v>0.24297412266277002</v>
      </c>
      <c r="F18" s="433">
        <v>1</v>
      </c>
    </row>
    <row r="19" spans="1:6" ht="20" customHeight="1" thickBot="1">
      <c r="A19" s="280">
        <v>2008</v>
      </c>
      <c r="B19" s="433">
        <v>0.38700320003191818</v>
      </c>
      <c r="C19" s="741">
        <v>0.31219562504539017</v>
      </c>
      <c r="D19" s="433">
        <v>8.5493253829953047E-4</v>
      </c>
      <c r="E19" s="741">
        <v>0.2999462423843921</v>
      </c>
      <c r="F19" s="433">
        <v>1</v>
      </c>
    </row>
    <row r="20" spans="1:6" ht="20" customHeight="1" thickBot="1">
      <c r="A20" s="280">
        <v>2009</v>
      </c>
      <c r="B20" s="433">
        <v>0.35155243717883222</v>
      </c>
      <c r="C20" s="741">
        <v>0.27877426686114515</v>
      </c>
      <c r="D20" s="433">
        <v>7.9340068922335882E-4</v>
      </c>
      <c r="E20" s="741">
        <v>0.36887989527079929</v>
      </c>
      <c r="F20" s="433">
        <v>1</v>
      </c>
    </row>
    <row r="21" spans="1:6" ht="20" customHeight="1" thickBot="1">
      <c r="A21" s="280">
        <v>2010</v>
      </c>
      <c r="B21" s="433">
        <v>0.30622541029343958</v>
      </c>
      <c r="C21" s="741">
        <v>0.22372313772102054</v>
      </c>
      <c r="D21" s="433">
        <v>7.2456422281346963E-4</v>
      </c>
      <c r="E21" s="741">
        <v>0.46932688776272646</v>
      </c>
      <c r="F21" s="433">
        <v>1</v>
      </c>
    </row>
    <row r="22" spans="1:6" ht="20" customHeight="1" thickBot="1">
      <c r="A22" s="280">
        <v>2011</v>
      </c>
      <c r="B22" s="433">
        <v>0.27385098892704079</v>
      </c>
      <c r="C22" s="741">
        <v>0.19350920753435388</v>
      </c>
      <c r="D22" s="433">
        <v>6.6409350143089955E-4</v>
      </c>
      <c r="E22" s="741">
        <v>0.53197571003717437</v>
      </c>
      <c r="F22" s="433">
        <v>1</v>
      </c>
    </row>
    <row r="23" spans="1:6" ht="20" customHeight="1" thickBot="1">
      <c r="A23" s="280">
        <v>2012</v>
      </c>
      <c r="B23" s="433">
        <v>0.25089367540959057</v>
      </c>
      <c r="C23" s="741">
        <v>0.17240537854146423</v>
      </c>
      <c r="D23" s="433">
        <v>6.2530713743968352E-4</v>
      </c>
      <c r="E23" s="741">
        <v>0.57607563891150559</v>
      </c>
      <c r="F23" s="433">
        <v>1</v>
      </c>
    </row>
    <row r="24" spans="1:6" ht="30" customHeight="1" thickBot="1">
      <c r="A24" s="283">
        <v>2013</v>
      </c>
      <c r="B24" s="566">
        <v>0.23486039208610421</v>
      </c>
      <c r="C24" s="742">
        <v>0.15863272854902435</v>
      </c>
      <c r="D24" s="566">
        <v>5.9481511050362161E-4</v>
      </c>
      <c r="E24" s="742">
        <v>0.60591206425436783</v>
      </c>
      <c r="F24" s="566">
        <v>1</v>
      </c>
    </row>
    <row r="25" spans="1:6" ht="19.5" customHeight="1">
      <c r="A25" s="189" t="s">
        <v>346</v>
      </c>
      <c r="B25" s="189"/>
      <c r="C25" s="189"/>
      <c r="D25" s="189"/>
      <c r="E25" s="189"/>
      <c r="F25" s="189"/>
    </row>
    <row r="27" spans="1:6">
      <c r="A27" s="219" t="s">
        <v>996</v>
      </c>
    </row>
    <row r="29" spans="1:6">
      <c r="A29" s="3" t="s">
        <v>1185</v>
      </c>
    </row>
    <row r="32" spans="1:6">
      <c r="A32" s="3" t="s">
        <v>302</v>
      </c>
    </row>
  </sheetData>
  <mergeCells count="1">
    <mergeCell ref="A2:E2"/>
  </mergeCells>
  <pageMargins left="0.65" right="0.72" top="1.05" bottom="0.49" header="0.6" footer="0.4921259845"/>
  <pageSetup paperSize="9" scale="80" orientation="portrait" horizontalDpi="4294967292" verticalDpi="4294967292"/>
  <headerFooter alignWithMargins="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971B5-01C6-4D44-BEFC-078CD627B3FC}">
  <sheetPr>
    <pageSetUpPr fitToPage="1"/>
  </sheetPr>
  <dimension ref="A1:P50"/>
  <sheetViews>
    <sheetView zoomScaleNormal="100" workbookViewId="0"/>
  </sheetViews>
  <sheetFormatPr baseColWidth="10" defaultColWidth="11.3984375" defaultRowHeight="13"/>
  <cols>
    <col min="1" max="1" width="14.796875" style="3" customWidth="1"/>
    <col min="2" max="2" width="14.796875" style="200" customWidth="1"/>
    <col min="3" max="4" width="12.3984375" style="3" customWidth="1"/>
    <col min="5" max="7" width="12.59765625" style="3" customWidth="1"/>
    <col min="8" max="8" width="14.59765625" style="654" customWidth="1"/>
    <col min="9" max="9" width="16.3984375" style="654" customWidth="1"/>
    <col min="10" max="10" width="16" style="200" customWidth="1"/>
    <col min="11" max="11" width="14.3984375" style="3" customWidth="1"/>
    <col min="12" max="12" width="13.59765625" style="3" customWidth="1"/>
    <col min="13" max="14" width="13.3984375" style="3" customWidth="1"/>
    <col min="15" max="15" width="15.19921875" style="3" customWidth="1"/>
    <col min="16" max="16" width="13.3984375" style="3" customWidth="1"/>
    <col min="17" max="16384" width="11.3984375" style="3"/>
  </cols>
  <sheetData>
    <row r="1" spans="1:16" s="1" customFormat="1" ht="14" customHeight="1">
      <c r="A1" s="191"/>
      <c r="B1" s="192"/>
      <c r="C1" s="191"/>
      <c r="D1" s="191"/>
      <c r="E1" s="191"/>
      <c r="F1" s="191"/>
      <c r="G1" s="191"/>
      <c r="H1" s="700"/>
      <c r="I1" s="700"/>
      <c r="J1" s="194"/>
    </row>
    <row r="2" spans="1:16" s="1" customFormat="1" ht="28" customHeight="1">
      <c r="A2" s="311" t="s">
        <v>1174</v>
      </c>
      <c r="B2" s="192"/>
      <c r="C2" s="191"/>
      <c r="D2" s="191"/>
      <c r="E2" s="191"/>
      <c r="F2" s="191"/>
      <c r="G2" s="191"/>
      <c r="H2" s="700"/>
      <c r="I2" s="700"/>
      <c r="J2" s="701"/>
      <c r="K2" s="464"/>
      <c r="P2" s="464">
        <v>2013</v>
      </c>
    </row>
    <row r="3" spans="1:16" ht="57.75" customHeight="1">
      <c r="A3" s="702" t="s">
        <v>67</v>
      </c>
      <c r="B3" s="703" t="s">
        <v>1155</v>
      </c>
      <c r="C3" s="704"/>
      <c r="D3" s="704"/>
      <c r="E3" s="704"/>
      <c r="F3" s="704"/>
      <c r="G3" s="704"/>
      <c r="H3" s="705"/>
      <c r="I3" s="704"/>
      <c r="J3" s="706" t="s">
        <v>1156</v>
      </c>
      <c r="K3" s="707" t="s">
        <v>1157</v>
      </c>
      <c r="L3" s="708"/>
      <c r="M3" s="709"/>
      <c r="N3" s="709"/>
      <c r="O3" s="709"/>
      <c r="P3" s="710"/>
    </row>
    <row r="4" spans="1:16" ht="84.75" customHeight="1">
      <c r="A4" s="332"/>
      <c r="B4" s="706" t="s">
        <v>1175</v>
      </c>
      <c r="C4" s="575" t="s">
        <v>1176</v>
      </c>
      <c r="D4" s="574" t="s">
        <v>1177</v>
      </c>
      <c r="E4" s="575" t="s">
        <v>1178</v>
      </c>
      <c r="F4" s="574" t="s">
        <v>1179</v>
      </c>
      <c r="G4" s="575" t="s">
        <v>1180</v>
      </c>
      <c r="H4" s="574" t="s">
        <v>1181</v>
      </c>
      <c r="I4" s="711" t="s">
        <v>1165</v>
      </c>
      <c r="J4" s="706"/>
      <c r="K4" s="575" t="s">
        <v>1166</v>
      </c>
      <c r="L4" s="574" t="s">
        <v>1167</v>
      </c>
      <c r="M4" s="712" t="s">
        <v>1024</v>
      </c>
      <c r="N4" s="713" t="s">
        <v>1168</v>
      </c>
      <c r="O4" s="714" t="s">
        <v>1169</v>
      </c>
      <c r="P4" s="715" t="s">
        <v>381</v>
      </c>
    </row>
    <row r="5" spans="1:16" ht="24" customHeight="1">
      <c r="A5" s="229"/>
      <c r="B5" s="716"/>
      <c r="C5" s="229"/>
      <c r="D5" s="307"/>
      <c r="E5" s="274"/>
      <c r="F5" s="275"/>
      <c r="G5" s="274"/>
      <c r="H5" s="716"/>
      <c r="I5" s="717"/>
      <c r="J5" s="142"/>
      <c r="K5" s="229"/>
      <c r="L5" s="275"/>
      <c r="M5" s="140"/>
      <c r="N5" s="275"/>
      <c r="O5" s="717"/>
      <c r="P5" s="142"/>
    </row>
    <row r="6" spans="1:16" ht="30" customHeight="1" thickBot="1">
      <c r="A6" s="718" t="s">
        <v>502</v>
      </c>
      <c r="B6" s="719">
        <v>0.23482080823995596</v>
      </c>
      <c r="C6" s="423">
        <v>7.3334518588913752E-2</v>
      </c>
      <c r="D6" s="321">
        <v>1.3999024822111336E-2</v>
      </c>
      <c r="E6" s="423">
        <v>4.1228453478947207E-2</v>
      </c>
      <c r="F6" s="321">
        <v>7.1093793145788802E-3</v>
      </c>
      <c r="G6" s="423">
        <v>6.3991632030745663E-2</v>
      </c>
      <c r="H6" s="736" t="s">
        <v>153</v>
      </c>
      <c r="I6" s="720">
        <v>0.19966300823529687</v>
      </c>
      <c r="J6" s="719">
        <v>1.1064778936949783E-3</v>
      </c>
      <c r="K6" s="423">
        <v>0.20167123990131758</v>
      </c>
      <c r="L6" s="321">
        <v>0.36273843967125241</v>
      </c>
      <c r="M6" s="720">
        <v>0.56440967088640925</v>
      </c>
      <c r="N6" s="721">
        <v>0.10424536798754735</v>
      </c>
      <c r="O6" s="722">
        <v>0.26609275002475125</v>
      </c>
      <c r="P6" s="719">
        <v>1</v>
      </c>
    </row>
    <row r="7" spans="1:16" ht="20" customHeight="1" thickBot="1">
      <c r="A7" s="723" t="s">
        <v>503</v>
      </c>
      <c r="B7" s="719">
        <v>0.14037595702668473</v>
      </c>
      <c r="C7" s="423">
        <v>7.4049546932037622E-2</v>
      </c>
      <c r="D7" s="321">
        <v>1.0375127950536245E-2</v>
      </c>
      <c r="E7" s="423">
        <v>2.8191195975022565E-2</v>
      </c>
      <c r="F7" s="321">
        <v>4.2646384629500995E-3</v>
      </c>
      <c r="G7" s="423">
        <v>3.1285422229487346E-2</v>
      </c>
      <c r="H7" s="736" t="s">
        <v>153</v>
      </c>
      <c r="I7" s="720">
        <v>0.14816593155003388</v>
      </c>
      <c r="J7" s="719">
        <v>1.018390436412026E-3</v>
      </c>
      <c r="K7" s="423">
        <v>0.27146730151330767</v>
      </c>
      <c r="L7" s="321">
        <v>0.43897240723446912</v>
      </c>
      <c r="M7" s="720">
        <v>0.71043968426959092</v>
      </c>
      <c r="N7" s="721">
        <v>9.1075287775953917E-2</v>
      </c>
      <c r="O7" s="722">
        <v>0.33641588349323598</v>
      </c>
      <c r="P7" s="719">
        <v>1</v>
      </c>
    </row>
    <row r="8" spans="1:16" ht="20" customHeight="1" thickBot="1">
      <c r="A8" s="723" t="s">
        <v>504</v>
      </c>
      <c r="B8" s="719">
        <v>0.19107246405266515</v>
      </c>
      <c r="C8" s="423">
        <v>3.8522738721732779E-2</v>
      </c>
      <c r="D8" s="321">
        <v>9.1835034029921457E-3</v>
      </c>
      <c r="E8" s="423">
        <v>3.0045641494929227E-2</v>
      </c>
      <c r="F8" s="321">
        <v>5.1551108660556266E-3</v>
      </c>
      <c r="G8" s="423">
        <v>4.0874536137075985E-2</v>
      </c>
      <c r="H8" s="736" t="s">
        <v>153</v>
      </c>
      <c r="I8" s="720">
        <v>0.12378153062278577</v>
      </c>
      <c r="J8" s="719">
        <v>7.7053509494920652E-4</v>
      </c>
      <c r="K8" s="423">
        <v>0.29864971334341422</v>
      </c>
      <c r="L8" s="321">
        <v>0.38572575688618504</v>
      </c>
      <c r="M8" s="720">
        <v>0.68437540648315898</v>
      </c>
      <c r="N8" s="721">
        <v>0.11042343222244209</v>
      </c>
      <c r="O8" s="722">
        <v>0.46922042980336015</v>
      </c>
      <c r="P8" s="719">
        <v>1</v>
      </c>
    </row>
    <row r="9" spans="1:16" ht="20" customHeight="1" thickBot="1">
      <c r="A9" s="723" t="s">
        <v>505</v>
      </c>
      <c r="B9" s="719">
        <v>0.17606612441591199</v>
      </c>
      <c r="C9" s="423">
        <v>6.8209951506553651E-2</v>
      </c>
      <c r="D9" s="321">
        <v>1.051944843879807E-2</v>
      </c>
      <c r="E9" s="423">
        <v>4.475535235718997E-2</v>
      </c>
      <c r="F9" s="321">
        <v>8.7161242779113315E-3</v>
      </c>
      <c r="G9" s="423">
        <v>4.3861452816180313E-2</v>
      </c>
      <c r="H9" s="736" t="s">
        <v>153</v>
      </c>
      <c r="I9" s="720">
        <v>0.17606232939663333</v>
      </c>
      <c r="J9" s="719">
        <v>1.0463903156628035E-3</v>
      </c>
      <c r="K9" s="423">
        <v>0.23837723595635868</v>
      </c>
      <c r="L9" s="321">
        <v>0.40844688491017533</v>
      </c>
      <c r="M9" s="720">
        <v>0.64682412086653385</v>
      </c>
      <c r="N9" s="721">
        <v>7.2602513820770209E-2</v>
      </c>
      <c r="O9" s="722">
        <v>0.3653675510671594</v>
      </c>
      <c r="P9" s="719">
        <v>1</v>
      </c>
    </row>
    <row r="10" spans="1:16" ht="20" customHeight="1" thickBot="1">
      <c r="A10" s="723" t="s">
        <v>506</v>
      </c>
      <c r="B10" s="719">
        <v>0.22115182583463577</v>
      </c>
      <c r="C10" s="423">
        <v>6.4022799489384039E-2</v>
      </c>
      <c r="D10" s="321">
        <v>1.2728117936783231E-2</v>
      </c>
      <c r="E10" s="423">
        <v>4.6528382205227127E-2</v>
      </c>
      <c r="F10" s="321">
        <v>7.5348881927992158E-3</v>
      </c>
      <c r="G10" s="423">
        <v>7.0725492257614805E-2</v>
      </c>
      <c r="H10" s="736" t="s">
        <v>153</v>
      </c>
      <c r="I10" s="720">
        <v>0.20153968008180839</v>
      </c>
      <c r="J10" s="719">
        <v>1.0002042267580873E-3</v>
      </c>
      <c r="K10" s="423">
        <v>0.21793962834654312</v>
      </c>
      <c r="L10" s="321">
        <v>0.35836849799803822</v>
      </c>
      <c r="M10" s="720">
        <v>0.5763082081006895</v>
      </c>
      <c r="N10" s="721">
        <v>3.0415152611674344E-2</v>
      </c>
      <c r="O10" s="722">
        <v>0.42582824251674073</v>
      </c>
      <c r="P10" s="719">
        <v>1</v>
      </c>
    </row>
    <row r="11" spans="1:16" ht="20" customHeight="1" thickBot="1">
      <c r="A11" s="723" t="s">
        <v>507</v>
      </c>
      <c r="B11" s="719">
        <v>0.16201968966620564</v>
      </c>
      <c r="C11" s="423">
        <v>5.3220842744091203E-2</v>
      </c>
      <c r="D11" s="321">
        <v>8.996308818428252E-3</v>
      </c>
      <c r="E11" s="423">
        <v>3.1120519719441946E-2</v>
      </c>
      <c r="F11" s="321">
        <v>6.7118203604781494E-3</v>
      </c>
      <c r="G11" s="423">
        <v>4.0108417313798231E-2</v>
      </c>
      <c r="H11" s="736" t="s">
        <v>153</v>
      </c>
      <c r="I11" s="720">
        <v>0.14015790895623778</v>
      </c>
      <c r="J11" s="719">
        <v>1.1550292895644637E-3</v>
      </c>
      <c r="K11" s="423">
        <v>0.29884204360445854</v>
      </c>
      <c r="L11" s="321">
        <v>0.3978256649324966</v>
      </c>
      <c r="M11" s="720">
        <v>0.69666703563902943</v>
      </c>
      <c r="N11" s="721">
        <v>4.6477059732139524E-3</v>
      </c>
      <c r="O11" s="722">
        <v>0.53510491656233949</v>
      </c>
      <c r="P11" s="719">
        <v>1</v>
      </c>
    </row>
    <row r="12" spans="1:16" ht="20" customHeight="1" thickBot="1">
      <c r="A12" s="723" t="s">
        <v>508</v>
      </c>
      <c r="B12" s="719">
        <v>0.20610806903718915</v>
      </c>
      <c r="C12" s="423">
        <v>5.4323116008249475E-2</v>
      </c>
      <c r="D12" s="321">
        <v>1.3356346901708987E-2</v>
      </c>
      <c r="E12" s="423">
        <v>3.7960668127916909E-2</v>
      </c>
      <c r="F12" s="321">
        <v>7.9207537871451954E-3</v>
      </c>
      <c r="G12" s="423">
        <v>4.2255642225932796E-2</v>
      </c>
      <c r="H12" s="736" t="s">
        <v>153</v>
      </c>
      <c r="I12" s="720">
        <v>0.15581652705095336</v>
      </c>
      <c r="J12" s="719">
        <v>1.4406431298140461E-3</v>
      </c>
      <c r="K12" s="423">
        <v>0.27511976792666043</v>
      </c>
      <c r="L12" s="321">
        <v>0.36151645781687325</v>
      </c>
      <c r="M12" s="720">
        <v>0.63663505377434138</v>
      </c>
      <c r="N12" s="721">
        <v>1.0706817549887063E-2</v>
      </c>
      <c r="O12" s="722">
        <v>0.51002019009926258</v>
      </c>
      <c r="P12" s="719">
        <v>1</v>
      </c>
    </row>
    <row r="13" spans="1:16" ht="20" customHeight="1" thickBot="1">
      <c r="A13" s="723" t="s">
        <v>509</v>
      </c>
      <c r="B13" s="719">
        <v>0.2872524390651684</v>
      </c>
      <c r="C13" s="423">
        <v>6.9054925327164354E-2</v>
      </c>
      <c r="D13" s="321">
        <v>1.8416119258115569E-2</v>
      </c>
      <c r="E13" s="423">
        <v>6.3095884872258728E-2</v>
      </c>
      <c r="F13" s="321">
        <v>1.2726731135763968E-2</v>
      </c>
      <c r="G13" s="423">
        <v>7.8871620027652384E-2</v>
      </c>
      <c r="H13" s="736" t="s">
        <v>153</v>
      </c>
      <c r="I13" s="720">
        <v>0.24216528062095499</v>
      </c>
      <c r="J13" s="719">
        <v>1.4059347441355218E-3</v>
      </c>
      <c r="K13" s="423">
        <v>0.19372081258917467</v>
      </c>
      <c r="L13" s="321">
        <v>0.27545369235030998</v>
      </c>
      <c r="M13" s="720">
        <v>0.46917511848290344</v>
      </c>
      <c r="N13" s="721">
        <v>6.6569460937684538E-5</v>
      </c>
      <c r="O13" s="722">
        <v>0.32277077435008111</v>
      </c>
      <c r="P13" s="719">
        <v>1</v>
      </c>
    </row>
    <row r="14" spans="1:16" ht="20" customHeight="1" thickBot="1">
      <c r="A14" s="723" t="s">
        <v>510</v>
      </c>
      <c r="B14" s="719">
        <v>0.23896930371064662</v>
      </c>
      <c r="C14" s="423">
        <v>6.6970359218496603E-2</v>
      </c>
      <c r="D14" s="321">
        <v>1.5316496208576393E-2</v>
      </c>
      <c r="E14" s="423">
        <v>4.6929752766778229E-2</v>
      </c>
      <c r="F14" s="321">
        <v>8.183958502360953E-3</v>
      </c>
      <c r="G14" s="423">
        <v>6.3785496324481036E-2</v>
      </c>
      <c r="H14" s="736" t="s">
        <v>153</v>
      </c>
      <c r="I14" s="720">
        <v>0.2011860630206932</v>
      </c>
      <c r="J14" s="719">
        <v>1.143117516630641E-3</v>
      </c>
      <c r="K14" s="423">
        <v>0.20889351296528746</v>
      </c>
      <c r="L14" s="321">
        <v>0.34980779319423783</v>
      </c>
      <c r="M14" s="720">
        <v>0.55870151575202931</v>
      </c>
      <c r="N14" s="721">
        <v>9.5544524469191247E-2</v>
      </c>
      <c r="O14" s="722">
        <v>0.31289436139574356</v>
      </c>
      <c r="P14" s="719">
        <v>1</v>
      </c>
    </row>
    <row r="15" spans="1:16" ht="20" customHeight="1" thickBot="1">
      <c r="A15" s="723" t="s">
        <v>511</v>
      </c>
      <c r="B15" s="719">
        <v>0.2132740990025897</v>
      </c>
      <c r="C15" s="423">
        <v>0.11873611059783078</v>
      </c>
      <c r="D15" s="321">
        <v>1.664737646140289E-2</v>
      </c>
      <c r="E15" s="423">
        <v>4.3795112834502138E-2</v>
      </c>
      <c r="F15" s="321">
        <v>8.9382470807426832E-3</v>
      </c>
      <c r="G15" s="423">
        <v>3.9210685132180664E-2</v>
      </c>
      <c r="H15" s="736" t="s">
        <v>153</v>
      </c>
      <c r="I15" s="720">
        <v>0.22732753210665912</v>
      </c>
      <c r="J15" s="719">
        <v>4.9042674699977635E-4</v>
      </c>
      <c r="K15" s="423">
        <v>0.18253516484838478</v>
      </c>
      <c r="L15" s="321">
        <v>0.37637251765003998</v>
      </c>
      <c r="M15" s="720">
        <v>0.5589077257726458</v>
      </c>
      <c r="N15" s="721">
        <v>2.7492112624102876E-3</v>
      </c>
      <c r="O15" s="722">
        <v>0.37965659828445392</v>
      </c>
      <c r="P15" s="719">
        <v>1</v>
      </c>
    </row>
    <row r="16" spans="1:16" ht="20" customHeight="1" thickBot="1">
      <c r="A16" s="723" t="s">
        <v>512</v>
      </c>
      <c r="B16" s="719">
        <v>0.21457256958616877</v>
      </c>
      <c r="C16" s="423">
        <v>8.7204017983868176E-2</v>
      </c>
      <c r="D16" s="321">
        <v>1.260699937300412E-2</v>
      </c>
      <c r="E16" s="423">
        <v>3.6689493385654012E-2</v>
      </c>
      <c r="F16" s="321">
        <v>6.3934692689678364E-3</v>
      </c>
      <c r="G16" s="423">
        <v>3.7947392821990389E-2</v>
      </c>
      <c r="H16" s="736" t="s">
        <v>153</v>
      </c>
      <c r="I16" s="720">
        <v>0.18084137283348453</v>
      </c>
      <c r="J16" s="719">
        <v>7.3775988020926902E-4</v>
      </c>
      <c r="K16" s="423">
        <v>0.22935572568004492</v>
      </c>
      <c r="L16" s="321">
        <v>0.37449289765973953</v>
      </c>
      <c r="M16" s="720">
        <v>0.60384866985973396</v>
      </c>
      <c r="N16" s="721">
        <v>5.1823270339429087E-2</v>
      </c>
      <c r="O16" s="722">
        <v>0.33109294806875683</v>
      </c>
      <c r="P16" s="719">
        <v>1</v>
      </c>
    </row>
    <row r="17" spans="1:16" ht="20" customHeight="1" thickBot="1">
      <c r="A17" s="723" t="s">
        <v>513</v>
      </c>
      <c r="B17" s="719">
        <v>0.27726861884192783</v>
      </c>
      <c r="C17" s="423">
        <v>6.9782120343555951E-2</v>
      </c>
      <c r="D17" s="321">
        <v>1.1662995122882448E-2</v>
      </c>
      <c r="E17" s="423">
        <v>4.6259237946638831E-2</v>
      </c>
      <c r="F17" s="321">
        <v>5.3942198871229788E-3</v>
      </c>
      <c r="G17" s="423">
        <v>5.6372553807095944E-2</v>
      </c>
      <c r="H17" s="736" t="s">
        <v>153</v>
      </c>
      <c r="I17" s="720">
        <v>0.18947112710729616</v>
      </c>
      <c r="J17" s="719">
        <v>4.6664221141138462E-4</v>
      </c>
      <c r="K17" s="423">
        <v>0.20871759532177989</v>
      </c>
      <c r="L17" s="321">
        <v>0.32407601651758472</v>
      </c>
      <c r="M17" s="720">
        <v>0.53279348161968787</v>
      </c>
      <c r="N17" s="721">
        <v>0.16457332025406898</v>
      </c>
      <c r="O17" s="722">
        <v>0.2537491221566045</v>
      </c>
      <c r="P17" s="719">
        <v>1</v>
      </c>
    </row>
    <row r="18" spans="1:16" ht="20" customHeight="1" thickBot="1">
      <c r="A18" s="723" t="s">
        <v>514</v>
      </c>
      <c r="B18" s="719">
        <v>0.21814761037787814</v>
      </c>
      <c r="C18" s="423">
        <v>8.4124309549833437E-2</v>
      </c>
      <c r="D18" s="321">
        <v>1.4234995200076112E-2</v>
      </c>
      <c r="E18" s="423">
        <v>4.388445210063565E-2</v>
      </c>
      <c r="F18" s="321">
        <v>6.2059635337922796E-3</v>
      </c>
      <c r="G18" s="423">
        <v>5.3000453454612816E-2</v>
      </c>
      <c r="H18" s="736" t="s">
        <v>153</v>
      </c>
      <c r="I18" s="720">
        <v>0.20145017383895028</v>
      </c>
      <c r="J18" s="719">
        <v>8.5414199626180742E-4</v>
      </c>
      <c r="K18" s="423">
        <v>0.21966993173074534</v>
      </c>
      <c r="L18" s="321">
        <v>0.35987805396396194</v>
      </c>
      <c r="M18" s="720">
        <v>0.57954789760250469</v>
      </c>
      <c r="N18" s="721">
        <v>5.7198046907776502E-2</v>
      </c>
      <c r="O18" s="722">
        <v>0.36639670077082892</v>
      </c>
      <c r="P18" s="719">
        <v>1</v>
      </c>
    </row>
    <row r="19" spans="1:16" ht="20" customHeight="1" thickBot="1">
      <c r="A19" s="723" t="s">
        <v>515</v>
      </c>
      <c r="B19" s="719">
        <v>0.1873060318886367</v>
      </c>
      <c r="C19" s="423">
        <v>6.416738121799255E-2</v>
      </c>
      <c r="D19" s="321">
        <v>1.2541771781199626E-2</v>
      </c>
      <c r="E19" s="423">
        <v>3.5834387063870328E-2</v>
      </c>
      <c r="F19" s="321">
        <v>7.8628049045313935E-3</v>
      </c>
      <c r="G19" s="423">
        <v>5.2997734117416401E-2</v>
      </c>
      <c r="H19" s="736" t="s">
        <v>153</v>
      </c>
      <c r="I19" s="720">
        <v>0.17340407908501029</v>
      </c>
      <c r="J19" s="719">
        <v>8.7002569902974063E-4</v>
      </c>
      <c r="K19" s="423">
        <v>0.2561891416325523</v>
      </c>
      <c r="L19" s="321">
        <v>0.3822305665823269</v>
      </c>
      <c r="M19" s="720">
        <v>0.63841939798999092</v>
      </c>
      <c r="N19" s="721">
        <v>2.4290763860537783E-2</v>
      </c>
      <c r="O19" s="722">
        <v>0.46135264876214066</v>
      </c>
      <c r="P19" s="719">
        <v>1</v>
      </c>
    </row>
    <row r="20" spans="1:16" ht="20" customHeight="1" thickBot="1">
      <c r="A20" s="723" t="s">
        <v>516</v>
      </c>
      <c r="B20" s="719">
        <v>0.22528330342838981</v>
      </c>
      <c r="C20" s="423">
        <v>4.7830905342124801E-2</v>
      </c>
      <c r="D20" s="321">
        <v>1.2518812454059978E-2</v>
      </c>
      <c r="E20" s="423">
        <v>3.769745991626617E-2</v>
      </c>
      <c r="F20" s="321">
        <v>6.6863282034678867E-3</v>
      </c>
      <c r="G20" s="423">
        <v>4.2795810677901322E-2</v>
      </c>
      <c r="H20" s="736" t="s">
        <v>153</v>
      </c>
      <c r="I20" s="720">
        <v>0.14752931659382015</v>
      </c>
      <c r="J20" s="719">
        <v>9.7491476297554885E-4</v>
      </c>
      <c r="K20" s="423">
        <v>0.22711500956096645</v>
      </c>
      <c r="L20" s="321">
        <v>0.39909722892948474</v>
      </c>
      <c r="M20" s="720">
        <v>0.62621155831736075</v>
      </c>
      <c r="N20" s="721">
        <v>0.10178404867137257</v>
      </c>
      <c r="O20" s="722">
        <v>0.37073695847452598</v>
      </c>
      <c r="P20" s="719">
        <v>1</v>
      </c>
    </row>
    <row r="21" spans="1:16" ht="20" customHeight="1" thickBot="1">
      <c r="A21" s="723" t="s">
        <v>517</v>
      </c>
      <c r="B21" s="719">
        <v>0.1943490169957125</v>
      </c>
      <c r="C21" s="423">
        <v>4.3193527925842669E-2</v>
      </c>
      <c r="D21" s="321">
        <v>1.1078769110439542E-2</v>
      </c>
      <c r="E21" s="423">
        <v>3.6437211564905946E-2</v>
      </c>
      <c r="F21" s="321">
        <v>5.5640252384184814E-3</v>
      </c>
      <c r="G21" s="423">
        <v>3.2551137366244806E-2</v>
      </c>
      <c r="H21" s="736" t="s">
        <v>153</v>
      </c>
      <c r="I21" s="720">
        <v>0.12882467120585145</v>
      </c>
      <c r="J21" s="719">
        <v>8.7434682318004715E-4</v>
      </c>
      <c r="K21" s="423">
        <v>0.23268753547066096</v>
      </c>
      <c r="L21" s="321">
        <v>0.44326442950459516</v>
      </c>
      <c r="M21" s="720">
        <v>0.67594878553226256</v>
      </c>
      <c r="N21" s="721">
        <v>3.222365473792646E-2</v>
      </c>
      <c r="O21" s="722">
        <v>0.48349153711761239</v>
      </c>
      <c r="P21" s="719">
        <v>1</v>
      </c>
    </row>
    <row r="22" spans="1:16" ht="20" customHeight="1" thickBot="1">
      <c r="A22" s="723" t="s">
        <v>518</v>
      </c>
      <c r="B22" s="719">
        <v>0.17936594072287085</v>
      </c>
      <c r="C22" s="423">
        <v>4.0893170905974281E-2</v>
      </c>
      <c r="D22" s="321">
        <v>9.3928800856097373E-3</v>
      </c>
      <c r="E22" s="423">
        <v>3.0723039980104318E-2</v>
      </c>
      <c r="F22" s="321">
        <v>4.7464121353910545E-3</v>
      </c>
      <c r="G22" s="423">
        <v>3.4806549776862199E-2</v>
      </c>
      <c r="H22" s="736" t="s">
        <v>153</v>
      </c>
      <c r="I22" s="720">
        <v>0.12056205288394159</v>
      </c>
      <c r="J22" s="719">
        <v>7.3520238748127689E-4</v>
      </c>
      <c r="K22" s="423">
        <v>0.2748191182391353</v>
      </c>
      <c r="L22" s="321">
        <v>0.42451766045142775</v>
      </c>
      <c r="M22" s="720">
        <v>0.69933677869056299</v>
      </c>
      <c r="N22" s="721">
        <v>0.13905709395117943</v>
      </c>
      <c r="O22" s="722">
        <v>0.41931894265330233</v>
      </c>
      <c r="P22" s="719">
        <v>1</v>
      </c>
    </row>
    <row r="23" spans="1:16" ht="20" customHeight="1" thickBot="1">
      <c r="A23" s="723" t="s">
        <v>519</v>
      </c>
      <c r="B23" s="719">
        <v>0.30429451347857467</v>
      </c>
      <c r="C23" s="423">
        <v>4.1876945846305635E-2</v>
      </c>
      <c r="D23" s="321">
        <v>1.212414143367016E-2</v>
      </c>
      <c r="E23" s="423">
        <v>4.0152873746431034E-2</v>
      </c>
      <c r="F23" s="321">
        <v>6.8371970964654898E-3</v>
      </c>
      <c r="G23" s="423">
        <v>5.3187930343778049E-2</v>
      </c>
      <c r="H23" s="736" t="s">
        <v>153</v>
      </c>
      <c r="I23" s="720">
        <v>0.15417908846665038</v>
      </c>
      <c r="J23" s="719">
        <v>6.101252796230762E-4</v>
      </c>
      <c r="K23" s="423">
        <v>0.25550503670024466</v>
      </c>
      <c r="L23" s="321">
        <v>0.28541099364904854</v>
      </c>
      <c r="M23" s="720">
        <v>0.54091578792343453</v>
      </c>
      <c r="N23" s="721">
        <v>2.5305259610821647E-2</v>
      </c>
      <c r="O23" s="722">
        <v>0.39710204128633569</v>
      </c>
      <c r="P23" s="719">
        <v>1</v>
      </c>
    </row>
    <row r="24" spans="1:16" ht="20" customHeight="1" thickBot="1">
      <c r="A24" s="723" t="s">
        <v>520</v>
      </c>
      <c r="B24" s="719">
        <v>0.22517493056350951</v>
      </c>
      <c r="C24" s="423">
        <v>5.590332192571313E-2</v>
      </c>
      <c r="D24" s="321">
        <v>1.2645132134000229E-2</v>
      </c>
      <c r="E24" s="423">
        <v>3.9496222534350735E-2</v>
      </c>
      <c r="F24" s="321">
        <v>6.9160747493081653E-3</v>
      </c>
      <c r="G24" s="423">
        <v>4.6383011740080506E-2</v>
      </c>
      <c r="H24" s="736" t="s">
        <v>153</v>
      </c>
      <c r="I24" s="720">
        <v>0.16134376308345275</v>
      </c>
      <c r="J24" s="719">
        <v>1.0196075075999489E-3</v>
      </c>
      <c r="K24" s="423">
        <v>0.25867590062283313</v>
      </c>
      <c r="L24" s="321">
        <v>0.35378579822260481</v>
      </c>
      <c r="M24" s="720">
        <v>0.61246169884543811</v>
      </c>
      <c r="N24" s="721">
        <v>7.7682899012128243E-2</v>
      </c>
      <c r="O24" s="722">
        <v>0.39155458204998428</v>
      </c>
      <c r="P24" s="719">
        <v>1</v>
      </c>
    </row>
    <row r="25" spans="1:16" ht="20" customHeight="1" thickBot="1">
      <c r="A25" s="723" t="s">
        <v>521</v>
      </c>
      <c r="B25" s="719">
        <v>0.17223058073366551</v>
      </c>
      <c r="C25" s="423">
        <v>4.2257795267829273E-2</v>
      </c>
      <c r="D25" s="321">
        <v>1.0750988664785631E-2</v>
      </c>
      <c r="E25" s="423">
        <v>3.8403189207562832E-2</v>
      </c>
      <c r="F25" s="321">
        <v>6.7241993442475985E-3</v>
      </c>
      <c r="G25" s="423">
        <v>4.2892598308619169E-2</v>
      </c>
      <c r="H25" s="736" t="s">
        <v>153</v>
      </c>
      <c r="I25" s="720">
        <v>0.14102877079304452</v>
      </c>
      <c r="J25" s="719">
        <v>7.8950455140944361E-4</v>
      </c>
      <c r="K25" s="423">
        <v>0.25083935148552006</v>
      </c>
      <c r="L25" s="321">
        <v>0.43511179243636067</v>
      </c>
      <c r="M25" s="720">
        <v>0.68595123971228966</v>
      </c>
      <c r="N25" s="721">
        <v>0.15351481113699533</v>
      </c>
      <c r="O25" s="722">
        <v>0.39063534760926549</v>
      </c>
      <c r="P25" s="719">
        <v>1</v>
      </c>
    </row>
    <row r="26" spans="1:16" ht="20" customHeight="1" thickBot="1">
      <c r="A26" s="723" t="s">
        <v>522</v>
      </c>
      <c r="B26" s="719">
        <v>0.23014204417044587</v>
      </c>
      <c r="C26" s="423">
        <v>0.10599060010936701</v>
      </c>
      <c r="D26" s="321">
        <v>9.8697965365931901E-3</v>
      </c>
      <c r="E26" s="423">
        <v>4.2767924800874928E-2</v>
      </c>
      <c r="F26" s="321">
        <v>3.6510146581926434E-3</v>
      </c>
      <c r="G26" s="423">
        <v>6.0791324377764633E-2</v>
      </c>
      <c r="H26" s="736" t="s">
        <v>153</v>
      </c>
      <c r="I26" s="720">
        <v>0.22307066048279239</v>
      </c>
      <c r="J26" s="719">
        <v>3.3678657745958335E-4</v>
      </c>
      <c r="K26" s="423">
        <v>0.19315199444124886</v>
      </c>
      <c r="L26" s="321">
        <v>0.35329869158414651</v>
      </c>
      <c r="M26" s="720">
        <v>0.54645061512295801</v>
      </c>
      <c r="N26" s="721">
        <v>3.1841221081776202E-3</v>
      </c>
      <c r="O26" s="722">
        <v>0.31834893039241829</v>
      </c>
      <c r="P26" s="719">
        <v>1</v>
      </c>
    </row>
    <row r="27" spans="1:16" ht="20" customHeight="1" thickBot="1">
      <c r="A27" s="723" t="s">
        <v>523</v>
      </c>
      <c r="B27" s="719">
        <v>0.17950948073166284</v>
      </c>
      <c r="C27" s="423">
        <v>0.12165851305548153</v>
      </c>
      <c r="D27" s="321">
        <v>2.1291128352000002E-2</v>
      </c>
      <c r="E27" s="423">
        <v>4.9663008366313335E-2</v>
      </c>
      <c r="F27" s="321">
        <v>5.2325663227404855E-3</v>
      </c>
      <c r="G27" s="423">
        <v>6.4528786749615333E-2</v>
      </c>
      <c r="H27" s="736" t="s">
        <v>153</v>
      </c>
      <c r="I27" s="720">
        <v>0.2623740028461507</v>
      </c>
      <c r="J27" s="719">
        <v>1.7412975762429257E-4</v>
      </c>
      <c r="K27" s="423">
        <v>0.16647997664466013</v>
      </c>
      <c r="L27" s="321">
        <v>0.39146249658271642</v>
      </c>
      <c r="M27" s="720">
        <v>0.55794247322737656</v>
      </c>
      <c r="N27" s="721">
        <v>2.6292606585183013E-2</v>
      </c>
      <c r="O27" s="722">
        <v>0.35476282368801115</v>
      </c>
      <c r="P27" s="719">
        <v>1</v>
      </c>
    </row>
    <row r="28" spans="1:16" ht="20" customHeight="1" thickBot="1">
      <c r="A28" s="723" t="s">
        <v>524</v>
      </c>
      <c r="B28" s="719">
        <v>0.33603087052061403</v>
      </c>
      <c r="C28" s="423">
        <v>0.12182581461374971</v>
      </c>
      <c r="D28" s="321">
        <v>2.1770249595781742E-2</v>
      </c>
      <c r="E28" s="423">
        <v>4.2655109762650717E-2</v>
      </c>
      <c r="F28" s="321">
        <v>7.5798046198429208E-3</v>
      </c>
      <c r="G28" s="423">
        <v>4.6450203488511581E-2</v>
      </c>
      <c r="H28" s="736" t="s">
        <v>153</v>
      </c>
      <c r="I28" s="720">
        <v>0.24028118208053667</v>
      </c>
      <c r="J28" s="719">
        <v>2.2332459326286907E-4</v>
      </c>
      <c r="K28" s="423">
        <v>0.17742194359416008</v>
      </c>
      <c r="L28" s="321">
        <v>0.24604271669457412</v>
      </c>
      <c r="M28" s="720">
        <v>0.42346454783929166</v>
      </c>
      <c r="N28" s="721">
        <v>3.3135102457934918E-5</v>
      </c>
      <c r="O28" s="722">
        <v>0.26734461436138324</v>
      </c>
      <c r="P28" s="719">
        <v>1</v>
      </c>
    </row>
    <row r="29" spans="1:16" ht="20" customHeight="1" thickBot="1">
      <c r="A29" s="723" t="s">
        <v>525</v>
      </c>
      <c r="B29" s="719">
        <v>0.20370923519726236</v>
      </c>
      <c r="C29" s="423">
        <v>9.2951926924147762E-2</v>
      </c>
      <c r="D29" s="321">
        <v>9.0390987239695342E-3</v>
      </c>
      <c r="E29" s="423">
        <v>3.3176976448744254E-2</v>
      </c>
      <c r="F29" s="321">
        <v>3.2740768540041702E-3</v>
      </c>
      <c r="G29" s="423">
        <v>5.4758240400695719E-2</v>
      </c>
      <c r="H29" s="736" t="s">
        <v>153</v>
      </c>
      <c r="I29" s="720">
        <v>0.19320031935156143</v>
      </c>
      <c r="J29" s="719">
        <v>2.629586937846011E-4</v>
      </c>
      <c r="K29" s="423">
        <v>0.20508998108938367</v>
      </c>
      <c r="L29" s="321">
        <v>0.39773686741875131</v>
      </c>
      <c r="M29" s="720">
        <v>0.60282699034130316</v>
      </c>
      <c r="N29" s="721">
        <v>3.772010557493706E-2</v>
      </c>
      <c r="O29" s="722">
        <v>0.47348599120889662</v>
      </c>
      <c r="P29" s="719">
        <v>1</v>
      </c>
    </row>
    <row r="30" spans="1:16" ht="20" customHeight="1" thickBot="1">
      <c r="A30" s="723" t="s">
        <v>526</v>
      </c>
      <c r="B30" s="719">
        <v>0.25881611228644202</v>
      </c>
      <c r="C30" s="423">
        <v>0.14057144009736899</v>
      </c>
      <c r="D30" s="321">
        <v>1.6488135898244251E-2</v>
      </c>
      <c r="E30" s="423">
        <v>4.9500388890459962E-2</v>
      </c>
      <c r="F30" s="321">
        <v>3.9791772925754556E-3</v>
      </c>
      <c r="G30" s="423">
        <v>6.9687496339756197E-2</v>
      </c>
      <c r="H30" s="736" t="s">
        <v>153</v>
      </c>
      <c r="I30" s="720">
        <v>0.28022663851840485</v>
      </c>
      <c r="J30" s="719">
        <v>9.5417015809724703E-5</v>
      </c>
      <c r="K30" s="423">
        <v>0.15916764391846153</v>
      </c>
      <c r="L30" s="321">
        <v>0.30169418826088212</v>
      </c>
      <c r="M30" s="720">
        <v>0.460861803115373</v>
      </c>
      <c r="N30" s="721">
        <v>0.10817551766782797</v>
      </c>
      <c r="O30" s="722">
        <v>0.21387862147610623</v>
      </c>
      <c r="P30" s="719">
        <v>1</v>
      </c>
    </row>
    <row r="31" spans="1:16" ht="20" customHeight="1" thickBot="1">
      <c r="A31" s="582" t="s">
        <v>527</v>
      </c>
      <c r="B31" s="719">
        <v>0.18958613564761106</v>
      </c>
      <c r="C31" s="423">
        <v>0.10053695759552932</v>
      </c>
      <c r="D31" s="321">
        <v>1.0155464245537239E-2</v>
      </c>
      <c r="E31" s="423">
        <v>4.5177951119576031E-2</v>
      </c>
      <c r="F31" s="321">
        <v>5.1839527609127672E-3</v>
      </c>
      <c r="G31" s="423">
        <v>4.4693648111007907E-2</v>
      </c>
      <c r="H31" s="736" t="s">
        <v>153</v>
      </c>
      <c r="I31" s="720">
        <v>0.20574797383256327</v>
      </c>
      <c r="J31" s="719">
        <v>3.7107110718012946E-4</v>
      </c>
      <c r="K31" s="423">
        <v>0.17505687010898655</v>
      </c>
      <c r="L31" s="321">
        <v>0.42923829986682083</v>
      </c>
      <c r="M31" s="720">
        <v>0.60429446884948312</v>
      </c>
      <c r="N31" s="721">
        <v>1.3146118582196367E-5</v>
      </c>
      <c r="O31" s="722">
        <v>0.45800165676150439</v>
      </c>
      <c r="P31" s="719">
        <v>1</v>
      </c>
    </row>
    <row r="32" spans="1:16" ht="20" customHeight="1" thickBot="1">
      <c r="A32" s="723" t="s">
        <v>528</v>
      </c>
      <c r="B32" s="719">
        <v>0.80160619315123594</v>
      </c>
      <c r="C32" s="423">
        <v>4.7995367572619713E-2</v>
      </c>
      <c r="D32" s="321">
        <v>2.3900527171790382E-2</v>
      </c>
      <c r="E32" s="423">
        <v>5.4019077672827043E-2</v>
      </c>
      <c r="F32" s="321">
        <v>0</v>
      </c>
      <c r="G32" s="423">
        <v>6.9175509537864846E-2</v>
      </c>
      <c r="H32" s="736" t="s">
        <v>153</v>
      </c>
      <c r="I32" s="720">
        <v>0.19509048195510198</v>
      </c>
      <c r="J32" s="719">
        <v>0</v>
      </c>
      <c r="K32" s="423">
        <v>1.7488190613505158E-3</v>
      </c>
      <c r="L32" s="321">
        <v>1.5545058323115696E-3</v>
      </c>
      <c r="M32" s="720">
        <v>3.3033248936620856E-3</v>
      </c>
      <c r="N32" s="721">
        <v>0</v>
      </c>
      <c r="O32" s="722">
        <v>3.3033248936620856E-3</v>
      </c>
      <c r="P32" s="719">
        <v>1</v>
      </c>
    </row>
    <row r="33" spans="1:16" ht="3" customHeight="1" thickBot="1">
      <c r="A33" s="582"/>
      <c r="B33" s="719"/>
      <c r="C33" s="423"/>
      <c r="D33" s="321"/>
      <c r="E33" s="423"/>
      <c r="F33" s="321"/>
      <c r="G33" s="423"/>
      <c r="H33" s="736"/>
      <c r="I33" s="423"/>
      <c r="J33" s="321"/>
      <c r="K33" s="423"/>
      <c r="L33" s="321"/>
      <c r="M33" s="423"/>
      <c r="N33" s="721"/>
      <c r="O33" s="722"/>
      <c r="P33" s="719"/>
    </row>
    <row r="34" spans="1:16" ht="30" customHeight="1" thickBot="1">
      <c r="A34" s="724" t="s">
        <v>530</v>
      </c>
      <c r="B34" s="324">
        <v>0.21392761043551181</v>
      </c>
      <c r="C34" s="725">
        <v>8.0009765043222783E-2</v>
      </c>
      <c r="D34" s="726">
        <v>1.3507225542232887E-2</v>
      </c>
      <c r="E34" s="725">
        <v>3.9657935762967243E-2</v>
      </c>
      <c r="F34" s="726">
        <v>5.9480813930695943E-3</v>
      </c>
      <c r="G34" s="725">
        <v>5.1095206878878197E-2</v>
      </c>
      <c r="H34" s="737" t="s">
        <v>153</v>
      </c>
      <c r="I34" s="727">
        <v>0.1902182146203707</v>
      </c>
      <c r="J34" s="645">
        <v>7.370490896795261E-4</v>
      </c>
      <c r="K34" s="438">
        <v>0.22303857261140303</v>
      </c>
      <c r="L34" s="486">
        <v>0.37207855783731175</v>
      </c>
      <c r="M34" s="728">
        <v>0.59511712891728918</v>
      </c>
      <c r="N34" s="729">
        <v>7.5155734073016789E-2</v>
      </c>
      <c r="O34" s="730">
        <v>0.34375150811918109</v>
      </c>
      <c r="P34" s="645">
        <v>1</v>
      </c>
    </row>
    <row r="35" spans="1:16" ht="20" customHeight="1">
      <c r="A35" s="461" t="s">
        <v>346</v>
      </c>
      <c r="B35" s="731"/>
      <c r="C35" s="374"/>
      <c r="D35" s="374"/>
      <c r="E35" s="374"/>
      <c r="F35" s="374"/>
      <c r="G35" s="374"/>
      <c r="H35" s="732"/>
      <c r="I35" s="732"/>
      <c r="M35" s="46"/>
    </row>
    <row r="36" spans="1:16" ht="13.5" customHeight="1">
      <c r="B36" s="733"/>
      <c r="C36" s="461"/>
      <c r="D36" s="461"/>
      <c r="E36" s="461"/>
      <c r="F36" s="461"/>
      <c r="G36" s="461"/>
      <c r="H36" s="734"/>
      <c r="I36" s="734"/>
      <c r="M36" s="17"/>
    </row>
    <row r="37" spans="1:16" ht="14.25" customHeight="1">
      <c r="A37" s="461" t="s">
        <v>1182</v>
      </c>
      <c r="B37" s="118"/>
      <c r="C37" s="63"/>
      <c r="D37" s="63"/>
      <c r="E37" s="63"/>
      <c r="F37" s="63"/>
      <c r="G37" s="63"/>
      <c r="H37" s="735"/>
      <c r="I37" s="735"/>
      <c r="M37" s="17"/>
    </row>
    <row r="38" spans="1:16" ht="12" customHeight="1">
      <c r="M38" s="17"/>
    </row>
    <row r="39" spans="1:16" ht="12" customHeight="1">
      <c r="A39" s="367" t="s">
        <v>1183</v>
      </c>
      <c r="M39" s="17"/>
    </row>
    <row r="40" spans="1:16" ht="12" customHeight="1">
      <c r="A40" s="367" t="s">
        <v>1172</v>
      </c>
      <c r="M40" s="17"/>
    </row>
    <row r="41" spans="1:16" ht="12" customHeight="1">
      <c r="A41" s="461" t="s">
        <v>1173</v>
      </c>
      <c r="M41" s="17"/>
    </row>
    <row r="42" spans="1:16" ht="12" customHeight="1">
      <c r="A42" s="461" t="s">
        <v>1036</v>
      </c>
      <c r="M42" s="17"/>
    </row>
    <row r="43" spans="1:16" ht="12" customHeight="1">
      <c r="M43" s="17"/>
    </row>
    <row r="44" spans="1:16" ht="12" customHeight="1"/>
    <row r="45" spans="1:16" ht="12" customHeight="1">
      <c r="A45" s="3" t="s">
        <v>302</v>
      </c>
    </row>
    <row r="49" spans="1:12">
      <c r="A49" s="46"/>
      <c r="B49" s="46"/>
      <c r="C49" s="603"/>
      <c r="D49" s="604"/>
      <c r="E49" s="605"/>
      <c r="F49" s="604"/>
      <c r="G49" s="738"/>
      <c r="H49" s="739"/>
      <c r="I49" s="739"/>
      <c r="J49" s="46"/>
      <c r="K49" s="17"/>
      <c r="L49" s="17"/>
    </row>
    <row r="50" spans="1:12">
      <c r="A50" s="605"/>
      <c r="B50" s="605"/>
      <c r="C50" s="605"/>
      <c r="D50" s="606"/>
      <c r="E50" s="605"/>
      <c r="F50" s="607"/>
      <c r="G50" s="17"/>
      <c r="H50" s="739"/>
      <c r="I50" s="739"/>
      <c r="J50" s="46"/>
      <c r="K50" s="17"/>
      <c r="L50" s="17"/>
    </row>
  </sheetData>
  <pageMargins left="0.59055118110236227" right="0.51181102362204722" top="0.47244094488188981" bottom="0.43307086614173229" header="0.31496062992125984" footer="0.31496062992125984"/>
  <pageSetup paperSize="9" scale="59" orientation="landscape" horizontalDpi="4294967292" verticalDpi="4294967292"/>
  <headerFooter alignWithMargins="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2C3A7-9D27-5845-97AF-CD110A140990}">
  <sheetPr>
    <pageSetUpPr fitToPage="1"/>
  </sheetPr>
  <dimension ref="A1:P45"/>
  <sheetViews>
    <sheetView zoomScaleNormal="100" workbookViewId="0"/>
  </sheetViews>
  <sheetFormatPr baseColWidth="10" defaultColWidth="11.3984375" defaultRowHeight="13"/>
  <cols>
    <col min="1" max="1" width="14.796875" style="3" customWidth="1"/>
    <col min="2" max="2" width="14.796875" style="200" customWidth="1"/>
    <col min="3" max="4" width="12.3984375" style="3" customWidth="1"/>
    <col min="5" max="7" width="12.59765625" style="3" customWidth="1"/>
    <col min="8" max="8" width="14.59765625" style="654" customWidth="1"/>
    <col min="9" max="9" width="17" style="654" customWidth="1"/>
    <col min="10" max="10" width="16" style="200" customWidth="1"/>
    <col min="11" max="14" width="13.3984375" style="3" customWidth="1"/>
    <col min="15" max="15" width="15.19921875" style="3" customWidth="1"/>
    <col min="16" max="16" width="13.3984375" style="3" customWidth="1"/>
    <col min="17" max="16384" width="11.3984375" style="3"/>
  </cols>
  <sheetData>
    <row r="1" spans="1:16" s="1" customFormat="1" ht="14" customHeight="1">
      <c r="A1" s="191"/>
      <c r="B1" s="192"/>
      <c r="C1" s="191"/>
      <c r="D1" s="191"/>
      <c r="E1" s="191"/>
      <c r="F1" s="191"/>
      <c r="G1" s="191"/>
      <c r="H1" s="700"/>
      <c r="I1" s="700"/>
      <c r="J1" s="194"/>
    </row>
    <row r="2" spans="1:16" s="1" customFormat="1" ht="28" customHeight="1">
      <c r="A2" s="311" t="s">
        <v>1154</v>
      </c>
      <c r="B2" s="192"/>
      <c r="C2" s="191"/>
      <c r="D2" s="191"/>
      <c r="E2" s="191"/>
      <c r="F2" s="191"/>
      <c r="G2" s="191"/>
      <c r="H2" s="700"/>
      <c r="I2" s="700"/>
      <c r="J2" s="701"/>
      <c r="K2" s="464"/>
      <c r="P2" s="464">
        <v>2013</v>
      </c>
    </row>
    <row r="3" spans="1:16" ht="57.75" customHeight="1">
      <c r="A3" s="702" t="s">
        <v>67</v>
      </c>
      <c r="B3" s="703" t="s">
        <v>1155</v>
      </c>
      <c r="C3" s="704"/>
      <c r="D3" s="704"/>
      <c r="E3" s="704"/>
      <c r="F3" s="704"/>
      <c r="G3" s="704"/>
      <c r="H3" s="705"/>
      <c r="I3" s="704"/>
      <c r="J3" s="706" t="s">
        <v>1156</v>
      </c>
      <c r="K3" s="707" t="s">
        <v>1157</v>
      </c>
      <c r="L3" s="708"/>
      <c r="M3" s="709"/>
      <c r="N3" s="709"/>
      <c r="O3" s="709"/>
      <c r="P3" s="710"/>
    </row>
    <row r="4" spans="1:16" ht="84.75" customHeight="1">
      <c r="A4" s="332"/>
      <c r="B4" s="706" t="s">
        <v>1158</v>
      </c>
      <c r="C4" s="575" t="s">
        <v>1159</v>
      </c>
      <c r="D4" s="574" t="s">
        <v>1160</v>
      </c>
      <c r="E4" s="575" t="s">
        <v>1161</v>
      </c>
      <c r="F4" s="574" t="s">
        <v>1162</v>
      </c>
      <c r="G4" s="575" t="s">
        <v>1163</v>
      </c>
      <c r="H4" s="574" t="s">
        <v>1164</v>
      </c>
      <c r="I4" s="711" t="s">
        <v>1165</v>
      </c>
      <c r="J4" s="706"/>
      <c r="K4" s="575" t="s">
        <v>1166</v>
      </c>
      <c r="L4" s="574" t="s">
        <v>1167</v>
      </c>
      <c r="M4" s="712" t="s">
        <v>1024</v>
      </c>
      <c r="N4" s="713" t="s">
        <v>1168</v>
      </c>
      <c r="O4" s="714" t="s">
        <v>1169</v>
      </c>
      <c r="P4" s="715" t="s">
        <v>381</v>
      </c>
    </row>
    <row r="5" spans="1:16" ht="24" customHeight="1">
      <c r="A5" s="229"/>
      <c r="B5" s="716"/>
      <c r="C5" s="229"/>
      <c r="D5" s="307"/>
      <c r="E5" s="274"/>
      <c r="F5" s="275"/>
      <c r="G5" s="274"/>
      <c r="H5" s="716"/>
      <c r="I5" s="717"/>
      <c r="J5" s="142"/>
      <c r="K5" s="229"/>
      <c r="L5" s="275"/>
      <c r="M5" s="140"/>
      <c r="N5" s="275"/>
      <c r="O5" s="717"/>
      <c r="P5" s="142"/>
    </row>
    <row r="6" spans="1:16" ht="30" customHeight="1" thickBot="1">
      <c r="A6" s="718" t="s">
        <v>502</v>
      </c>
      <c r="B6" s="719">
        <v>0.3892639487960074</v>
      </c>
      <c r="C6" s="423">
        <v>1.3714802449311201E-3</v>
      </c>
      <c r="D6" s="321">
        <v>7.0280672714406909E-3</v>
      </c>
      <c r="E6" s="423">
        <v>2.693397305565776E-3</v>
      </c>
      <c r="F6" s="321">
        <v>4.4051649867868281E-3</v>
      </c>
      <c r="G6" s="423">
        <v>6.3736088308671626E-3</v>
      </c>
      <c r="H6" s="321">
        <v>6.1428556449623136E-3</v>
      </c>
      <c r="I6" s="720">
        <v>2.8014574284553888E-2</v>
      </c>
      <c r="J6" s="719">
        <v>1.1607303113926029E-5</v>
      </c>
      <c r="K6" s="423">
        <v>0.54807890041077101</v>
      </c>
      <c r="L6" s="321">
        <v>3.4630969205554002E-2</v>
      </c>
      <c r="M6" s="720">
        <v>0.58270986961632487</v>
      </c>
      <c r="N6" s="721">
        <v>0.10711014251175928</v>
      </c>
      <c r="O6" s="722">
        <v>0.27438975861336373</v>
      </c>
      <c r="P6" s="719">
        <v>1</v>
      </c>
    </row>
    <row r="7" spans="1:16" ht="20" customHeight="1" thickBot="1">
      <c r="A7" s="723" t="s">
        <v>503</v>
      </c>
      <c r="B7" s="719">
        <v>0.24086076189969752</v>
      </c>
      <c r="C7" s="423">
        <v>7.3060502468443695E-4</v>
      </c>
      <c r="D7" s="321">
        <v>5.4650274111238649E-3</v>
      </c>
      <c r="E7" s="423">
        <v>1.7031610900638283E-3</v>
      </c>
      <c r="F7" s="321">
        <v>3.4759601813190264E-3</v>
      </c>
      <c r="G7" s="423">
        <v>3.4852377054420038E-3</v>
      </c>
      <c r="H7" s="321">
        <v>4.6970860088713495E-3</v>
      </c>
      <c r="I7" s="720">
        <v>1.9557077421504511E-2</v>
      </c>
      <c r="J7" s="719">
        <v>2.8285134521271273E-5</v>
      </c>
      <c r="K7" s="423">
        <v>0.68185961182612798</v>
      </c>
      <c r="L7" s="321">
        <v>5.7694207147879789E-2</v>
      </c>
      <c r="M7" s="720">
        <v>0.73955381897400774</v>
      </c>
      <c r="N7" s="721">
        <v>8.2656856627744441E-2</v>
      </c>
      <c r="O7" s="722">
        <v>0.32490590950001508</v>
      </c>
      <c r="P7" s="719">
        <v>1</v>
      </c>
    </row>
    <row r="8" spans="1:16" ht="20" customHeight="1" thickBot="1">
      <c r="A8" s="723" t="s">
        <v>504</v>
      </c>
      <c r="B8" s="719">
        <v>0.23514419169786213</v>
      </c>
      <c r="C8" s="423">
        <v>6.0752017493179351E-4</v>
      </c>
      <c r="D8" s="321">
        <v>1.7473513342854516E-3</v>
      </c>
      <c r="E8" s="423">
        <v>1.2822768346657497E-3</v>
      </c>
      <c r="F8" s="321">
        <v>6.9221688523396444E-3</v>
      </c>
      <c r="G8" s="423">
        <v>4.2560960636625874E-3</v>
      </c>
      <c r="H8" s="321">
        <v>5.1358841385146002E-3</v>
      </c>
      <c r="I8" s="720">
        <v>1.9951297398399827E-2</v>
      </c>
      <c r="J8" s="719">
        <v>0</v>
      </c>
      <c r="K8" s="423">
        <v>0.66489933927530231</v>
      </c>
      <c r="L8" s="321">
        <v>8.0005171628435776E-2</v>
      </c>
      <c r="M8" s="720">
        <v>0.74490424514688103</v>
      </c>
      <c r="N8" s="721">
        <v>9.6335930486510457E-2</v>
      </c>
      <c r="O8" s="722">
        <v>0.53542366160860499</v>
      </c>
      <c r="P8" s="719">
        <v>1</v>
      </c>
    </row>
    <row r="9" spans="1:16" ht="20" customHeight="1" thickBot="1">
      <c r="A9" s="723" t="s">
        <v>505</v>
      </c>
      <c r="B9" s="719">
        <v>0.22352924175204852</v>
      </c>
      <c r="C9" s="423">
        <v>7.2255379412997306E-4</v>
      </c>
      <c r="D9" s="321">
        <v>2.1676613823899192E-3</v>
      </c>
      <c r="E9" s="423">
        <v>1.7052269541467362E-2</v>
      </c>
      <c r="F9" s="321">
        <v>2.3523461321695402E-2</v>
      </c>
      <c r="G9" s="423">
        <v>3.7457188687697804E-3</v>
      </c>
      <c r="H9" s="321">
        <v>7.7082038757785524E-3</v>
      </c>
      <c r="I9" s="720">
        <v>5.4919868784230989E-2</v>
      </c>
      <c r="J9" s="719">
        <v>0</v>
      </c>
      <c r="K9" s="423">
        <v>0.63552941516495898</v>
      </c>
      <c r="L9" s="321">
        <v>8.6018584083585023E-2</v>
      </c>
      <c r="M9" s="720">
        <v>0.72154799924854396</v>
      </c>
      <c r="N9" s="721">
        <v>7.8496799086691993E-2</v>
      </c>
      <c r="O9" s="722">
        <v>0.44031272128209947</v>
      </c>
      <c r="P9" s="719">
        <v>1</v>
      </c>
    </row>
    <row r="10" spans="1:16" ht="20" customHeight="1" thickBot="1">
      <c r="A10" s="723" t="s">
        <v>506</v>
      </c>
      <c r="B10" s="719">
        <v>0.3131226150911951</v>
      </c>
      <c r="C10" s="423">
        <v>5.7488213698957894E-4</v>
      </c>
      <c r="D10" s="321">
        <v>3.2197573044461716E-3</v>
      </c>
      <c r="E10" s="423">
        <v>2.0637329708990695E-3</v>
      </c>
      <c r="F10" s="321">
        <v>1.2914502888669705E-2</v>
      </c>
      <c r="G10" s="423">
        <v>1.0801385003401297E-2</v>
      </c>
      <c r="H10" s="321">
        <v>6.4249078032338073E-3</v>
      </c>
      <c r="I10" s="720">
        <v>3.5999168107639631E-2</v>
      </c>
      <c r="J10" s="719">
        <v>0</v>
      </c>
      <c r="K10" s="423">
        <v>0.58310089964011591</v>
      </c>
      <c r="L10" s="321">
        <v>6.7776969379961943E-2</v>
      </c>
      <c r="M10" s="720">
        <v>0.65087786902007805</v>
      </c>
      <c r="N10" s="721">
        <v>3.8121328301172847E-2</v>
      </c>
      <c r="O10" s="722">
        <v>0.50151458663435533</v>
      </c>
      <c r="P10" s="719">
        <v>1</v>
      </c>
    </row>
    <row r="11" spans="1:16" ht="20" customHeight="1" thickBot="1">
      <c r="A11" s="723" t="s">
        <v>507</v>
      </c>
      <c r="B11" s="719">
        <v>0.20926964138071422</v>
      </c>
      <c r="C11" s="423">
        <v>5.577065989239052E-4</v>
      </c>
      <c r="D11" s="321">
        <v>1.3942664973097629E-3</v>
      </c>
      <c r="E11" s="423">
        <v>1.5336931470407392E-3</v>
      </c>
      <c r="F11" s="321">
        <v>1.1096967052088404E-2</v>
      </c>
      <c r="G11" s="423">
        <v>1.6954280607286718E-3</v>
      </c>
      <c r="H11" s="321">
        <v>5.0709472507156081E-3</v>
      </c>
      <c r="I11" s="720">
        <v>2.134900860680709E-2</v>
      </c>
      <c r="J11" s="719">
        <v>0</v>
      </c>
      <c r="K11" s="423">
        <v>0.70117522723058257</v>
      </c>
      <c r="L11" s="321">
        <v>6.8207517048393604E-2</v>
      </c>
      <c r="M11" s="720">
        <v>0.76938274427897602</v>
      </c>
      <c r="N11" s="721">
        <v>2.9697876392697944E-3</v>
      </c>
      <c r="O11" s="722">
        <v>0.60425697446958615</v>
      </c>
      <c r="P11" s="719">
        <v>1</v>
      </c>
    </row>
    <row r="12" spans="1:16" ht="20" customHeight="1" thickBot="1">
      <c r="A12" s="723" t="s">
        <v>508</v>
      </c>
      <c r="B12" s="719">
        <v>0.25129352075899408</v>
      </c>
      <c r="C12" s="423">
        <v>1.3771847314283196E-4</v>
      </c>
      <c r="D12" s="321">
        <v>8.2631083885699181E-4</v>
      </c>
      <c r="E12" s="423">
        <v>2.3109159793367204E-3</v>
      </c>
      <c r="F12" s="321">
        <v>1.4347510532020236E-2</v>
      </c>
      <c r="G12" s="423">
        <v>3.8919240510164317E-3</v>
      </c>
      <c r="H12" s="321">
        <v>4.2899304383992153E-3</v>
      </c>
      <c r="I12" s="720">
        <v>2.580431031277243E-2</v>
      </c>
      <c r="J12" s="719">
        <v>0</v>
      </c>
      <c r="K12" s="423">
        <v>0.65306237682804047</v>
      </c>
      <c r="L12" s="321">
        <v>6.9839792100192949E-2</v>
      </c>
      <c r="M12" s="720">
        <v>0.72290216892823345</v>
      </c>
      <c r="N12" s="721">
        <v>9.0357090229012046E-3</v>
      </c>
      <c r="O12" s="722">
        <v>0.60923622711979719</v>
      </c>
      <c r="P12" s="719">
        <v>1</v>
      </c>
    </row>
    <row r="13" spans="1:16" ht="20" customHeight="1" thickBot="1">
      <c r="A13" s="723" t="s">
        <v>509</v>
      </c>
      <c r="B13" s="719">
        <v>0.40933780305499656</v>
      </c>
      <c r="C13" s="423">
        <v>8.4299025503265163E-4</v>
      </c>
      <c r="D13" s="321">
        <v>3.4422102080499941E-3</v>
      </c>
      <c r="E13" s="423">
        <v>7.4239341793208864E-3</v>
      </c>
      <c r="F13" s="321">
        <v>9.0972698355606986E-3</v>
      </c>
      <c r="G13" s="423">
        <v>1.898133057581854E-3</v>
      </c>
      <c r="H13" s="321">
        <v>1.754543717474626E-2</v>
      </c>
      <c r="I13" s="720">
        <v>4.0249974710292347E-2</v>
      </c>
      <c r="J13" s="719">
        <v>0</v>
      </c>
      <c r="K13" s="423">
        <v>0.5138601647764951</v>
      </c>
      <c r="L13" s="321">
        <v>3.6554867425732551E-2</v>
      </c>
      <c r="M13" s="720">
        <v>0.55041081725095253</v>
      </c>
      <c r="N13" s="721">
        <v>0</v>
      </c>
      <c r="O13" s="722">
        <v>0.39587665366588354</v>
      </c>
      <c r="P13" s="719">
        <v>1</v>
      </c>
    </row>
    <row r="14" spans="1:16" ht="20" customHeight="1" thickBot="1">
      <c r="A14" s="723" t="s">
        <v>510</v>
      </c>
      <c r="B14" s="719">
        <v>0.34841304794621103</v>
      </c>
      <c r="C14" s="423">
        <v>9.0340969403772192E-4</v>
      </c>
      <c r="D14" s="321">
        <v>5.2095120006685237E-3</v>
      </c>
      <c r="E14" s="423">
        <v>2.2282600103440409E-3</v>
      </c>
      <c r="F14" s="321">
        <v>8.8159234992671084E-3</v>
      </c>
      <c r="G14" s="423">
        <v>8.7120313844527703E-3</v>
      </c>
      <c r="H14" s="321">
        <v>6.5641748368780875E-3</v>
      </c>
      <c r="I14" s="720">
        <v>3.2433311425648252E-2</v>
      </c>
      <c r="J14" s="719">
        <v>0</v>
      </c>
      <c r="K14" s="423">
        <v>0.57507763677058132</v>
      </c>
      <c r="L14" s="321">
        <v>4.4076907267253433E-2</v>
      </c>
      <c r="M14" s="720">
        <v>0.61915318892329385</v>
      </c>
      <c r="N14" s="721">
        <v>0.11265293032226885</v>
      </c>
      <c r="O14" s="722">
        <v>0.35203346229506716</v>
      </c>
      <c r="P14" s="719">
        <v>1</v>
      </c>
    </row>
    <row r="15" spans="1:16" ht="20" customHeight="1" thickBot="1">
      <c r="A15" s="723" t="s">
        <v>511</v>
      </c>
      <c r="B15" s="719">
        <v>0.35668264332862576</v>
      </c>
      <c r="C15" s="423">
        <v>1.0929533075884892E-3</v>
      </c>
      <c r="D15" s="321">
        <v>1.1468731721831096E-2</v>
      </c>
      <c r="E15" s="423">
        <v>4.3290842810525601E-3</v>
      </c>
      <c r="F15" s="321">
        <v>5.2442350743319372E-3</v>
      </c>
      <c r="G15" s="423">
        <v>3.4486801058864064E-3</v>
      </c>
      <c r="H15" s="321">
        <v>7.0809538291007942E-3</v>
      </c>
      <c r="I15" s="720">
        <v>3.266463831979128E-2</v>
      </c>
      <c r="J15" s="719">
        <v>1.5651629780731623E-5</v>
      </c>
      <c r="K15" s="423">
        <v>0.57102826981719357</v>
      </c>
      <c r="L15" s="321">
        <v>3.9609109937204096E-2</v>
      </c>
      <c r="M15" s="720">
        <v>0.61063722323809999</v>
      </c>
      <c r="N15" s="721">
        <v>2.4726444727599822E-3</v>
      </c>
      <c r="O15" s="722">
        <v>0.41725789393860896</v>
      </c>
      <c r="P15" s="719">
        <v>1</v>
      </c>
    </row>
    <row r="16" spans="1:16" ht="20" customHeight="1" thickBot="1">
      <c r="A16" s="723" t="s">
        <v>512</v>
      </c>
      <c r="B16" s="719">
        <v>0.32957026317644189</v>
      </c>
      <c r="C16" s="423">
        <v>7.3960791439908757E-4</v>
      </c>
      <c r="D16" s="321">
        <v>4.5703268625424667E-3</v>
      </c>
      <c r="E16" s="423">
        <v>2.0731948599372815E-3</v>
      </c>
      <c r="F16" s="321">
        <v>5.4617199832547999E-3</v>
      </c>
      <c r="G16" s="423">
        <v>3.2176340868389692E-3</v>
      </c>
      <c r="H16" s="321">
        <v>9.7991680047824006E-3</v>
      </c>
      <c r="I16" s="720">
        <v>2.5861651711755005E-2</v>
      </c>
      <c r="J16" s="719">
        <v>7.7909329674071505E-5</v>
      </c>
      <c r="K16" s="423">
        <v>0.60125495584005761</v>
      </c>
      <c r="L16" s="321">
        <v>4.3235644516074798E-2</v>
      </c>
      <c r="M16" s="720">
        <v>0.64449038806913073</v>
      </c>
      <c r="N16" s="721">
        <v>5.6443717196351037E-2</v>
      </c>
      <c r="O16" s="722">
        <v>0.31771509555887095</v>
      </c>
      <c r="P16" s="719">
        <v>1</v>
      </c>
    </row>
    <row r="17" spans="1:16" ht="20" customHeight="1" thickBot="1">
      <c r="A17" s="723" t="s">
        <v>513</v>
      </c>
      <c r="B17" s="719">
        <v>0.37109642642140045</v>
      </c>
      <c r="C17" s="423">
        <v>1.0153422901943297E-3</v>
      </c>
      <c r="D17" s="321">
        <v>1.136547465854486E-2</v>
      </c>
      <c r="E17" s="423">
        <v>2.291333358256853E-3</v>
      </c>
      <c r="F17" s="321">
        <v>8.6723368840032553E-3</v>
      </c>
      <c r="G17" s="423">
        <v>3.1529417848291919E-3</v>
      </c>
      <c r="H17" s="321">
        <v>7.9372094997744638E-3</v>
      </c>
      <c r="I17" s="720">
        <v>3.4434638475602949E-2</v>
      </c>
      <c r="J17" s="719">
        <v>0</v>
      </c>
      <c r="K17" s="423">
        <v>0.54578875779194835</v>
      </c>
      <c r="L17" s="321">
        <v>4.8680177311047977E-2</v>
      </c>
      <c r="M17" s="720">
        <v>0.59446823631270707</v>
      </c>
      <c r="N17" s="721">
        <v>0.18090946857347898</v>
      </c>
      <c r="O17" s="722">
        <v>0.28490937912832193</v>
      </c>
      <c r="P17" s="719">
        <v>1</v>
      </c>
    </row>
    <row r="18" spans="1:16" ht="20" customHeight="1" thickBot="1">
      <c r="A18" s="723" t="s">
        <v>514</v>
      </c>
      <c r="B18" s="719">
        <v>0.32504284632276398</v>
      </c>
      <c r="C18" s="423">
        <v>9.4488137853262805E-4</v>
      </c>
      <c r="D18" s="321">
        <v>7.7944090697250256E-3</v>
      </c>
      <c r="E18" s="423">
        <v>3.1854493542972438E-3</v>
      </c>
      <c r="F18" s="321">
        <v>7.7810180087451762E-3</v>
      </c>
      <c r="G18" s="423">
        <v>5.4749149921246368E-3</v>
      </c>
      <c r="H18" s="321">
        <v>8.6938419988715019E-3</v>
      </c>
      <c r="I18" s="720">
        <v>3.387451480229621E-2</v>
      </c>
      <c r="J18" s="719">
        <v>0</v>
      </c>
      <c r="K18" s="423">
        <v>0.58299181055463145</v>
      </c>
      <c r="L18" s="321">
        <v>5.8090625425445186E-2</v>
      </c>
      <c r="M18" s="720">
        <v>0.64108243598007675</v>
      </c>
      <c r="N18" s="721">
        <v>5.4923842398574396E-2</v>
      </c>
      <c r="O18" s="722">
        <v>0.39245527334909025</v>
      </c>
      <c r="P18" s="719">
        <v>1</v>
      </c>
    </row>
    <row r="19" spans="1:16" ht="20" customHeight="1" thickBot="1">
      <c r="A19" s="723" t="s">
        <v>515</v>
      </c>
      <c r="B19" s="719">
        <v>0.28991958339885388</v>
      </c>
      <c r="C19" s="423">
        <v>7.6211094492249071E-4</v>
      </c>
      <c r="D19" s="321">
        <v>4.7540509999963437E-3</v>
      </c>
      <c r="E19" s="423">
        <v>2.7471100855363485E-3</v>
      </c>
      <c r="F19" s="321">
        <v>3.9436681526123516E-3</v>
      </c>
      <c r="G19" s="423">
        <v>8.1184563230706792E-3</v>
      </c>
      <c r="H19" s="321">
        <v>3.8405418155355079E-3</v>
      </c>
      <c r="I19" s="720">
        <v>2.4165938321673717E-2</v>
      </c>
      <c r="J19" s="719">
        <v>0</v>
      </c>
      <c r="K19" s="423">
        <v>0.64392743123996621</v>
      </c>
      <c r="L19" s="321">
        <v>4.1986315647044622E-2</v>
      </c>
      <c r="M19" s="720">
        <v>0.68591228410208782</v>
      </c>
      <c r="N19" s="721">
        <v>3.3967328698743103E-2</v>
      </c>
      <c r="O19" s="722">
        <v>0.47439724118763504</v>
      </c>
      <c r="P19" s="719">
        <v>1</v>
      </c>
    </row>
    <row r="20" spans="1:16" ht="20" customHeight="1" thickBot="1">
      <c r="A20" s="723" t="s">
        <v>516</v>
      </c>
      <c r="B20" s="719">
        <v>0.28850823187267571</v>
      </c>
      <c r="C20" s="423">
        <v>1.7010009661685486E-4</v>
      </c>
      <c r="D20" s="321">
        <v>3.1667777987297893E-3</v>
      </c>
      <c r="E20" s="423">
        <v>2.6244014906600462E-3</v>
      </c>
      <c r="F20" s="321">
        <v>5.0952268940888754E-3</v>
      </c>
      <c r="G20" s="423">
        <v>3.3125778815442362E-3</v>
      </c>
      <c r="H20" s="321">
        <v>6.9274479347904271E-3</v>
      </c>
      <c r="I20" s="720">
        <v>2.1296532096430228E-2</v>
      </c>
      <c r="J20" s="719">
        <v>0</v>
      </c>
      <c r="K20" s="423">
        <v>0.64109074013954026</v>
      </c>
      <c r="L20" s="321">
        <v>4.9102551890249466E-2</v>
      </c>
      <c r="M20" s="720">
        <v>0.69019523603089405</v>
      </c>
      <c r="N20" s="721">
        <v>0.10982342637970616</v>
      </c>
      <c r="O20" s="722">
        <v>0.39491799231341956</v>
      </c>
      <c r="P20" s="719">
        <v>1</v>
      </c>
    </row>
    <row r="21" spans="1:16" ht="20" customHeight="1" thickBot="1">
      <c r="A21" s="723" t="s">
        <v>517</v>
      </c>
      <c r="B21" s="719">
        <v>0.19133118291968726</v>
      </c>
      <c r="C21" s="423">
        <v>3.034450112122932E-4</v>
      </c>
      <c r="D21" s="321">
        <v>2.0725294265799624E-3</v>
      </c>
      <c r="E21" s="423">
        <v>9.103350336368796E-4</v>
      </c>
      <c r="F21" s="321">
        <v>3.0344501121229318E-3</v>
      </c>
      <c r="G21" s="423">
        <v>6.068900224245864E-4</v>
      </c>
      <c r="H21" s="321">
        <v>4.5516751681843977E-3</v>
      </c>
      <c r="I21" s="720">
        <v>1.147932477416105E-2</v>
      </c>
      <c r="J21" s="719">
        <v>0</v>
      </c>
      <c r="K21" s="423">
        <v>0.71433079754452289</v>
      </c>
      <c r="L21" s="321">
        <v>8.2858694761628784E-2</v>
      </c>
      <c r="M21" s="720">
        <v>0.79718949230615188</v>
      </c>
      <c r="N21" s="721">
        <v>3.1886001778187768E-2</v>
      </c>
      <c r="O21" s="722">
        <v>0.58851642699568207</v>
      </c>
      <c r="P21" s="719">
        <v>1</v>
      </c>
    </row>
    <row r="22" spans="1:16" ht="20" customHeight="1" thickBot="1">
      <c r="A22" s="723" t="s">
        <v>518</v>
      </c>
      <c r="B22" s="719">
        <v>0.22648507861192502</v>
      </c>
      <c r="C22" s="423">
        <v>3.8043541711740592E-4</v>
      </c>
      <c r="D22" s="321">
        <v>2.5163220677679897E-3</v>
      </c>
      <c r="E22" s="423">
        <v>1.1189029492106619E-3</v>
      </c>
      <c r="F22" s="321">
        <v>7.1363457605747522E-3</v>
      </c>
      <c r="G22" s="423">
        <v>2.4056728947496014E-3</v>
      </c>
      <c r="H22" s="321">
        <v>5.1149999363662062E-3</v>
      </c>
      <c r="I22" s="720">
        <v>1.8672679025786617E-2</v>
      </c>
      <c r="J22" s="719">
        <v>0</v>
      </c>
      <c r="K22" s="423">
        <v>0.69046672178790525</v>
      </c>
      <c r="L22" s="321">
        <v>6.4375836113849561E-2</v>
      </c>
      <c r="M22" s="720">
        <v>0.75484203200264355</v>
      </c>
      <c r="N22" s="721">
        <v>0.17075334101075909</v>
      </c>
      <c r="O22" s="722">
        <v>0.44602892003356903</v>
      </c>
      <c r="P22" s="719">
        <v>1</v>
      </c>
    </row>
    <row r="23" spans="1:16" ht="20" customHeight="1" thickBot="1">
      <c r="A23" s="723" t="s">
        <v>519</v>
      </c>
      <c r="B23" s="719">
        <v>0.35351857991109048</v>
      </c>
      <c r="C23" s="423">
        <v>6.7260572539929613E-4</v>
      </c>
      <c r="D23" s="321">
        <v>2.8632078390553148E-3</v>
      </c>
      <c r="E23" s="423">
        <v>1.3347486950701585E-3</v>
      </c>
      <c r="F23" s="321">
        <v>2.7612707046725774E-3</v>
      </c>
      <c r="G23" s="423">
        <v>3.3343307827127778E-3</v>
      </c>
      <c r="H23" s="321">
        <v>7.5959606588427179E-3</v>
      </c>
      <c r="I23" s="720">
        <v>1.8562124405752844E-2</v>
      </c>
      <c r="J23" s="719">
        <v>0</v>
      </c>
      <c r="K23" s="423">
        <v>0.59588831636025252</v>
      </c>
      <c r="L23" s="321">
        <v>3.203008251527039E-2</v>
      </c>
      <c r="M23" s="720">
        <v>0.62791929568315674</v>
      </c>
      <c r="N23" s="721">
        <v>3.525440489489564E-2</v>
      </c>
      <c r="O23" s="722">
        <v>0.4667680457874106</v>
      </c>
      <c r="P23" s="719">
        <v>1</v>
      </c>
    </row>
    <row r="24" spans="1:16" ht="20" customHeight="1" thickBot="1">
      <c r="A24" s="723" t="s">
        <v>520</v>
      </c>
      <c r="B24" s="719">
        <v>0.3583643140566663</v>
      </c>
      <c r="C24" s="423">
        <v>9.9758399312054567E-4</v>
      </c>
      <c r="D24" s="321">
        <v>4.7626483577409397E-3</v>
      </c>
      <c r="E24" s="423">
        <v>1.8954344788194078E-3</v>
      </c>
      <c r="F24" s="321">
        <v>3.6991838281039075E-3</v>
      </c>
      <c r="G24" s="423">
        <v>6.0428382795455551E-3</v>
      </c>
      <c r="H24" s="321">
        <v>4.1452465035606203E-3</v>
      </c>
      <c r="I24" s="720">
        <v>2.1542935440890976E-2</v>
      </c>
      <c r="J24" s="719">
        <v>2.7629998312329843E-5</v>
      </c>
      <c r="K24" s="423">
        <v>0.58497220156656304</v>
      </c>
      <c r="L24" s="321">
        <v>3.5092670018663952E-2</v>
      </c>
      <c r="M24" s="720">
        <v>0.62006470563929117</v>
      </c>
      <c r="N24" s="721">
        <v>8.6053671230235232E-2</v>
      </c>
      <c r="O24" s="722">
        <v>0.3804732081116366</v>
      </c>
      <c r="P24" s="719">
        <v>1</v>
      </c>
    </row>
    <row r="25" spans="1:16" ht="20" customHeight="1" thickBot="1">
      <c r="A25" s="723" t="s">
        <v>521</v>
      </c>
      <c r="B25" s="719">
        <v>0.23224662126494053</v>
      </c>
      <c r="C25" s="423">
        <v>6.1154576689065895E-4</v>
      </c>
      <c r="D25" s="321">
        <v>3.0452606208567078E-3</v>
      </c>
      <c r="E25" s="423">
        <v>1.5414331809328839E-3</v>
      </c>
      <c r="F25" s="321">
        <v>5.1509810171448001E-3</v>
      </c>
      <c r="G25" s="423">
        <v>4.8750715162654895E-3</v>
      </c>
      <c r="H25" s="321">
        <v>7.5834892697950506E-3</v>
      </c>
      <c r="I25" s="720">
        <v>2.2807781371885591E-2</v>
      </c>
      <c r="J25" s="719">
        <v>0</v>
      </c>
      <c r="K25" s="423">
        <v>0.67175818905230522</v>
      </c>
      <c r="L25" s="321">
        <v>7.3187006110430178E-2</v>
      </c>
      <c r="M25" s="720">
        <v>0.74494539626295475</v>
      </c>
      <c r="N25" s="721">
        <v>0.18397090482027173</v>
      </c>
      <c r="O25" s="722">
        <v>0.40272470687129286</v>
      </c>
      <c r="P25" s="719">
        <v>1</v>
      </c>
    </row>
    <row r="26" spans="1:16" ht="20" customHeight="1" thickBot="1">
      <c r="A26" s="723" t="s">
        <v>522</v>
      </c>
      <c r="B26" s="719">
        <v>0.37232702942758933</v>
      </c>
      <c r="C26" s="423">
        <v>1.0538745869058859E-3</v>
      </c>
      <c r="D26" s="321">
        <v>1.2227535324392724E-2</v>
      </c>
      <c r="E26" s="423">
        <v>7.7869996008866271E-3</v>
      </c>
      <c r="F26" s="321">
        <v>6.4123878870689134E-3</v>
      </c>
      <c r="G26" s="423">
        <v>4.8875830666270425E-3</v>
      </c>
      <c r="H26" s="321">
        <v>3.8710465196657947E-3</v>
      </c>
      <c r="I26" s="720">
        <v>3.6239426985546989E-2</v>
      </c>
      <c r="J26" s="719">
        <v>1.6818936911999457E-5</v>
      </c>
      <c r="K26" s="423">
        <v>0.55655897333172544</v>
      </c>
      <c r="L26" s="321">
        <v>3.4858592265071833E-2</v>
      </c>
      <c r="M26" s="720">
        <v>0.59141706102868996</v>
      </c>
      <c r="N26" s="721">
        <v>2.0011171137896953E-3</v>
      </c>
      <c r="O26" s="722">
        <v>0.38100610544228847</v>
      </c>
      <c r="P26" s="719">
        <v>1</v>
      </c>
    </row>
    <row r="27" spans="1:16" ht="20" customHeight="1" thickBot="1">
      <c r="A27" s="723" t="s">
        <v>523</v>
      </c>
      <c r="B27" s="719">
        <v>0.34095480853409377</v>
      </c>
      <c r="C27" s="423">
        <v>6.1447288544438147E-3</v>
      </c>
      <c r="D27" s="321">
        <v>1.9458583485671831E-2</v>
      </c>
      <c r="E27" s="423">
        <v>8.2963193701519056E-3</v>
      </c>
      <c r="F27" s="321">
        <v>1.1963747613613294E-2</v>
      </c>
      <c r="G27" s="423">
        <v>5.5298659366141848E-3</v>
      </c>
      <c r="H27" s="321">
        <v>1.3128093444355502E-2</v>
      </c>
      <c r="I27" s="720">
        <v>6.4521338704850537E-2</v>
      </c>
      <c r="J27" s="719">
        <v>6.6107183940396713E-6</v>
      </c>
      <c r="K27" s="423">
        <v>0.52606364971548469</v>
      </c>
      <c r="L27" s="321">
        <v>6.8453394005625334E-2</v>
      </c>
      <c r="M27" s="720">
        <v>0.59451717593547793</v>
      </c>
      <c r="N27" s="721">
        <v>4.5593794227771905E-2</v>
      </c>
      <c r="O27" s="722">
        <v>0.35564025501771707</v>
      </c>
      <c r="P27" s="719">
        <v>1</v>
      </c>
    </row>
    <row r="28" spans="1:16" ht="20" customHeight="1" thickBot="1">
      <c r="A28" s="723" t="s">
        <v>524</v>
      </c>
      <c r="B28" s="719">
        <v>0.51584248957704204</v>
      </c>
      <c r="C28" s="423">
        <v>2.2023756784372186E-3</v>
      </c>
      <c r="D28" s="321">
        <v>2.3077392037339751E-2</v>
      </c>
      <c r="E28" s="423">
        <v>4.5331839829883674E-3</v>
      </c>
      <c r="F28" s="321">
        <v>4.1460978022576497E-3</v>
      </c>
      <c r="G28" s="423">
        <v>2.4480233974981647E-3</v>
      </c>
      <c r="H28" s="321">
        <v>6.5398218363101786E-3</v>
      </c>
      <c r="I28" s="720">
        <v>4.2946894734831334E-2</v>
      </c>
      <c r="J28" s="719">
        <v>0</v>
      </c>
      <c r="K28" s="423">
        <v>0.41034581703878265</v>
      </c>
      <c r="L28" s="321">
        <v>3.086496122228842E-2</v>
      </c>
      <c r="M28" s="720">
        <v>0.44121094083401552</v>
      </c>
      <c r="N28" s="721">
        <v>0</v>
      </c>
      <c r="O28" s="722">
        <v>0.27471706211180635</v>
      </c>
      <c r="P28" s="719">
        <v>1</v>
      </c>
    </row>
    <row r="29" spans="1:16" ht="20" customHeight="1" thickBot="1">
      <c r="A29" s="723" t="s">
        <v>525</v>
      </c>
      <c r="B29" s="719">
        <v>0.34774514164519149</v>
      </c>
      <c r="C29" s="423">
        <v>1.3320793453005437E-3</v>
      </c>
      <c r="D29" s="321">
        <v>9.3491711569171354E-3</v>
      </c>
      <c r="E29" s="423">
        <v>4.4019733335144131E-3</v>
      </c>
      <c r="F29" s="321">
        <v>1.0817627359574276E-2</v>
      </c>
      <c r="G29" s="423">
        <v>8.3679368388410325E-3</v>
      </c>
      <c r="H29" s="321">
        <v>2.9872756430932759E-3</v>
      </c>
      <c r="I29" s="720">
        <v>3.7256063677240679E-2</v>
      </c>
      <c r="J29" s="719">
        <v>0</v>
      </c>
      <c r="K29" s="423">
        <v>0.56773657423597834</v>
      </c>
      <c r="L29" s="321">
        <v>4.7263069260203634E-2</v>
      </c>
      <c r="M29" s="720">
        <v>0.61499907761710582</v>
      </c>
      <c r="N29" s="721">
        <v>4.927674995274909E-2</v>
      </c>
      <c r="O29" s="722">
        <v>0.47533927280011667</v>
      </c>
      <c r="P29" s="719">
        <v>1</v>
      </c>
    </row>
    <row r="30" spans="1:16" ht="20" customHeight="1" thickBot="1">
      <c r="A30" s="723" t="s">
        <v>526</v>
      </c>
      <c r="B30" s="719">
        <v>0.51595034569802234</v>
      </c>
      <c r="C30" s="423">
        <v>6.6726637601504128E-3</v>
      </c>
      <c r="D30" s="321">
        <v>1.6222186986684931E-2</v>
      </c>
      <c r="E30" s="423">
        <v>6.8855125990531976E-3</v>
      </c>
      <c r="F30" s="321">
        <v>8.6215113559615746E-3</v>
      </c>
      <c r="G30" s="423">
        <v>4.2080147448256364E-3</v>
      </c>
      <c r="H30" s="321">
        <v>9.0953777007179853E-3</v>
      </c>
      <c r="I30" s="720">
        <v>5.1705267147393742E-2</v>
      </c>
      <c r="J30" s="719">
        <v>0</v>
      </c>
      <c r="K30" s="423">
        <v>0.40566359252345202</v>
      </c>
      <c r="L30" s="321">
        <v>2.6681247983291252E-2</v>
      </c>
      <c r="M30" s="720">
        <v>0.43234472716870342</v>
      </c>
      <c r="N30" s="721">
        <v>0.12500800449906682</v>
      </c>
      <c r="O30" s="722">
        <v>0.16835028435947519</v>
      </c>
      <c r="P30" s="719">
        <v>1</v>
      </c>
    </row>
    <row r="31" spans="1:16" ht="20" customHeight="1" thickBot="1">
      <c r="A31" s="582" t="s">
        <v>527</v>
      </c>
      <c r="B31" s="719">
        <v>0.2962216999212911</v>
      </c>
      <c r="C31" s="423">
        <v>1.574178023983707E-3</v>
      </c>
      <c r="D31" s="321">
        <v>7.4684789266124749E-3</v>
      </c>
      <c r="E31" s="423">
        <v>4.9223755628641308E-3</v>
      </c>
      <c r="F31" s="321">
        <v>9.3100216756402086E-3</v>
      </c>
      <c r="G31" s="423">
        <v>4.7232161248211314E-3</v>
      </c>
      <c r="H31" s="321">
        <v>6.0047934675704325E-3</v>
      </c>
      <c r="I31" s="720">
        <v>3.4003063781492086E-2</v>
      </c>
      <c r="J31" s="719">
        <v>0</v>
      </c>
      <c r="K31" s="423">
        <v>0.59704043618645142</v>
      </c>
      <c r="L31" s="321">
        <v>7.2736164216505403E-2</v>
      </c>
      <c r="M31" s="720">
        <v>0.66977591835008676</v>
      </c>
      <c r="N31" s="721">
        <v>1.7051321750256792E-4</v>
      </c>
      <c r="O31" s="722">
        <v>0.51988388731940949</v>
      </c>
      <c r="P31" s="719">
        <v>1</v>
      </c>
    </row>
    <row r="32" spans="1:16" ht="20" customHeight="1" thickBot="1">
      <c r="A32" s="723" t="s">
        <v>528</v>
      </c>
      <c r="B32" s="719">
        <v>0.87355424151139871</v>
      </c>
      <c r="C32" s="423">
        <v>0</v>
      </c>
      <c r="D32" s="321">
        <v>5.4545229151945658E-2</v>
      </c>
      <c r="E32" s="423">
        <v>0</v>
      </c>
      <c r="F32" s="321">
        <v>3.9669257565051387E-2</v>
      </c>
      <c r="G32" s="423">
        <v>0</v>
      </c>
      <c r="H32" s="321">
        <v>3.2231271771604252E-2</v>
      </c>
      <c r="I32" s="720">
        <v>0.12644575848860129</v>
      </c>
      <c r="J32" s="719">
        <v>0</v>
      </c>
      <c r="K32" s="423">
        <v>0</v>
      </c>
      <c r="L32" s="321">
        <v>0</v>
      </c>
      <c r="M32" s="720">
        <v>0</v>
      </c>
      <c r="N32" s="721">
        <v>0</v>
      </c>
      <c r="O32" s="722">
        <v>0</v>
      </c>
      <c r="P32" s="719">
        <v>1</v>
      </c>
    </row>
    <row r="33" spans="1:16" ht="3" customHeight="1" thickBot="1">
      <c r="A33" s="582"/>
      <c r="B33" s="719"/>
      <c r="C33" s="423"/>
      <c r="D33" s="321"/>
      <c r="E33" s="423"/>
      <c r="F33" s="321"/>
      <c r="G33" s="423"/>
      <c r="H33" s="321"/>
      <c r="I33" s="423"/>
      <c r="J33" s="321"/>
      <c r="K33" s="423"/>
      <c r="L33" s="321"/>
      <c r="M33" s="423"/>
      <c r="N33" s="721"/>
      <c r="O33" s="722"/>
      <c r="P33" s="719"/>
    </row>
    <row r="34" spans="1:16" ht="30" customHeight="1" thickBot="1">
      <c r="A34" s="724" t="s">
        <v>530</v>
      </c>
      <c r="B34" s="324">
        <v>0.33923687826536175</v>
      </c>
      <c r="C34" s="725">
        <v>1.8278968023002704E-3</v>
      </c>
      <c r="D34" s="726">
        <v>8.5781623582316547E-3</v>
      </c>
      <c r="E34" s="725">
        <v>3.5312474770207714E-3</v>
      </c>
      <c r="F34" s="726">
        <v>6.4789381034372666E-3</v>
      </c>
      <c r="G34" s="725">
        <v>4.8619095964763503E-3</v>
      </c>
      <c r="H34" s="726">
        <v>6.8244510392959463E-3</v>
      </c>
      <c r="I34" s="727">
        <v>3.210260537676226E-2</v>
      </c>
      <c r="J34" s="645">
        <v>1.1872843429911439E-5</v>
      </c>
      <c r="K34" s="438">
        <v>0.57944214521701176</v>
      </c>
      <c r="L34" s="486">
        <v>4.9206504893458389E-2</v>
      </c>
      <c r="M34" s="728">
        <v>0.62864865670649428</v>
      </c>
      <c r="N34" s="729">
        <v>8.1057748982761149E-2</v>
      </c>
      <c r="O34" s="730">
        <v>0.35857354514134221</v>
      </c>
      <c r="P34" s="645">
        <v>1</v>
      </c>
    </row>
    <row r="35" spans="1:16" ht="20" customHeight="1">
      <c r="A35" s="461" t="s">
        <v>346</v>
      </c>
      <c r="B35" s="731"/>
      <c r="C35" s="374"/>
      <c r="D35" s="374"/>
      <c r="E35" s="374"/>
      <c r="F35" s="374"/>
      <c r="G35" s="374"/>
      <c r="H35" s="732"/>
      <c r="I35" s="732"/>
      <c r="M35" s="46"/>
    </row>
    <row r="36" spans="1:16" ht="13.5" customHeight="1">
      <c r="B36" s="733"/>
      <c r="C36" s="461"/>
      <c r="D36" s="461"/>
      <c r="E36" s="461"/>
      <c r="F36" s="461"/>
      <c r="G36" s="461"/>
      <c r="H36" s="734"/>
      <c r="I36" s="734"/>
      <c r="M36" s="17"/>
    </row>
    <row r="37" spans="1:16" ht="14.25" customHeight="1">
      <c r="A37" s="461" t="s">
        <v>1170</v>
      </c>
      <c r="B37" s="118"/>
      <c r="C37" s="63"/>
      <c r="D37" s="63"/>
      <c r="E37" s="63"/>
      <c r="F37" s="63"/>
      <c r="G37" s="63"/>
      <c r="H37" s="735"/>
      <c r="I37" s="735"/>
      <c r="M37" s="17"/>
    </row>
    <row r="38" spans="1:16" ht="12" customHeight="1">
      <c r="M38" s="17"/>
    </row>
    <row r="39" spans="1:16" ht="12" customHeight="1">
      <c r="A39" s="367" t="s">
        <v>1171</v>
      </c>
      <c r="M39" s="17"/>
    </row>
    <row r="40" spans="1:16" ht="12" customHeight="1">
      <c r="A40" s="367" t="s">
        <v>1172</v>
      </c>
      <c r="M40" s="17"/>
    </row>
    <row r="41" spans="1:16" ht="12" customHeight="1">
      <c r="A41" s="461" t="s">
        <v>1173</v>
      </c>
      <c r="M41" s="17"/>
    </row>
    <row r="42" spans="1:16" ht="12" customHeight="1">
      <c r="A42" s="461" t="s">
        <v>1036</v>
      </c>
      <c r="M42" s="17"/>
    </row>
    <row r="43" spans="1:16" ht="12" customHeight="1">
      <c r="M43" s="17"/>
    </row>
    <row r="44" spans="1:16" ht="12" customHeight="1"/>
    <row r="45" spans="1:16" ht="12" customHeight="1">
      <c r="A45" s="3" t="s">
        <v>302</v>
      </c>
    </row>
  </sheetData>
  <pageMargins left="0.59055118110236227" right="0.51181102362204722" top="0.47244094488188981" bottom="0.44" header="0.31496062992125984" footer="0.32"/>
  <pageSetup paperSize="9" scale="59" orientation="landscape" horizontalDpi="4294967292" verticalDpi="4294967292"/>
  <headerFooter alignWithMargins="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1F57-10F6-3D47-96B6-874ED8D59BBC}">
  <sheetPr>
    <pageSetUpPr fitToPage="1"/>
  </sheetPr>
  <dimension ref="A1:G40"/>
  <sheetViews>
    <sheetView zoomScaleNormal="100" workbookViewId="0"/>
  </sheetViews>
  <sheetFormatPr baseColWidth="10" defaultColWidth="11.3984375" defaultRowHeight="13"/>
  <cols>
    <col min="1" max="1" width="34.796875" style="3" customWidth="1"/>
    <col min="2" max="2" width="19.3984375" style="3" customWidth="1"/>
    <col min="3" max="4" width="19.796875" style="3" customWidth="1"/>
    <col min="5" max="5" width="20.3984375" style="492" customWidth="1"/>
    <col min="6" max="6" width="3.19921875" style="3" customWidth="1"/>
    <col min="7" max="7" width="6.19921875" style="3" customWidth="1"/>
    <col min="8" max="16384" width="11.3984375" style="3"/>
  </cols>
  <sheetData>
    <row r="1" spans="1:7" ht="19.5" customHeight="1">
      <c r="A1" s="223" t="s">
        <v>2266</v>
      </c>
      <c r="B1" s="266"/>
      <c r="C1" s="266"/>
      <c r="D1" s="266"/>
      <c r="E1" s="327">
        <v>2013</v>
      </c>
    </row>
    <row r="2" spans="1:7" ht="33" customHeight="1">
      <c r="A2" s="223"/>
      <c r="B2" s="266"/>
      <c r="C2" s="266"/>
      <c r="D2" s="266"/>
      <c r="E2" s="327"/>
    </row>
    <row r="3" spans="1:7" ht="19.5" customHeight="1">
      <c r="A3" s="223" t="s">
        <v>2267</v>
      </c>
      <c r="B3" s="266"/>
      <c r="C3" s="266"/>
      <c r="D3" s="266"/>
      <c r="E3" s="327"/>
    </row>
    <row r="4" spans="1:7" ht="10.75" customHeight="1">
      <c r="A4" s="680"/>
      <c r="B4" s="263"/>
      <c r="C4" s="263"/>
      <c r="D4" s="263"/>
      <c r="E4" s="681"/>
    </row>
    <row r="5" spans="1:7" ht="24" customHeight="1">
      <c r="A5" s="682" t="s">
        <v>1141</v>
      </c>
      <c r="B5" s="465" t="s">
        <v>1142</v>
      </c>
      <c r="C5" s="414" t="s">
        <v>1143</v>
      </c>
      <c r="D5" s="465" t="s">
        <v>381</v>
      </c>
      <c r="E5" s="1538" t="s">
        <v>2268</v>
      </c>
    </row>
    <row r="6" spans="1:7" ht="15" customHeight="1">
      <c r="A6" s="269"/>
      <c r="B6" s="270"/>
      <c r="C6" s="271"/>
      <c r="D6" s="614"/>
      <c r="E6" s="1539" t="s">
        <v>2269</v>
      </c>
    </row>
    <row r="7" spans="1:7" ht="15" customHeight="1">
      <c r="A7" s="306"/>
      <c r="B7" s="270"/>
      <c r="C7" s="271"/>
      <c r="D7" s="270"/>
      <c r="E7" s="1539" t="s">
        <v>2270</v>
      </c>
    </row>
    <row r="8" spans="1:7" ht="24" customHeight="1">
      <c r="A8" s="228"/>
      <c r="B8" s="544"/>
      <c r="C8" s="545"/>
      <c r="D8" s="544"/>
      <c r="E8" s="1540"/>
    </row>
    <row r="9" spans="1:7" ht="45" customHeight="1" thickBot="1">
      <c r="A9" s="560" t="s">
        <v>495</v>
      </c>
      <c r="B9" s="561">
        <v>118795</v>
      </c>
      <c r="C9" s="562">
        <v>110616</v>
      </c>
      <c r="D9" s="561">
        <v>229411</v>
      </c>
      <c r="E9" s="1541">
        <v>0.15132005111285549</v>
      </c>
    </row>
    <row r="10" spans="1:7" ht="34.5" customHeight="1" thickBot="1">
      <c r="A10" s="560" t="s">
        <v>496</v>
      </c>
      <c r="B10" s="561">
        <v>51452</v>
      </c>
      <c r="C10" s="562">
        <v>50104</v>
      </c>
      <c r="D10" s="561">
        <v>101556</v>
      </c>
      <c r="E10" s="1541">
        <v>0.15153905114165431</v>
      </c>
    </row>
    <row r="11" spans="1:7" ht="32.25" customHeight="1" thickBot="1">
      <c r="A11" s="560" t="s">
        <v>497</v>
      </c>
      <c r="B11" s="561">
        <v>241144</v>
      </c>
      <c r="C11" s="562">
        <v>219028</v>
      </c>
      <c r="D11" s="561">
        <v>460172</v>
      </c>
      <c r="E11" s="1541">
        <v>7.8531670402361559E-2</v>
      </c>
    </row>
    <row r="12" spans="1:7" s="410" customFormat="1" ht="36" customHeight="1" thickBot="1">
      <c r="A12" s="599" t="s">
        <v>1024</v>
      </c>
      <c r="B12" s="555">
        <v>411391</v>
      </c>
      <c r="C12" s="556">
        <v>379748</v>
      </c>
      <c r="D12" s="555">
        <v>791139</v>
      </c>
      <c r="E12" s="1542">
        <v>9.832787112747185E-2</v>
      </c>
      <c r="G12" s="1526" t="s">
        <v>2271</v>
      </c>
    </row>
    <row r="13" spans="1:7" ht="16.5" customHeight="1">
      <c r="B13" s="189"/>
      <c r="C13" s="189"/>
      <c r="D13" s="189"/>
      <c r="E13" s="687"/>
      <c r="G13" s="245"/>
    </row>
    <row r="14" spans="1:7" s="68" customFormat="1" ht="24" customHeight="1" thickBot="1">
      <c r="A14" s="688" t="s">
        <v>2272</v>
      </c>
      <c r="B14" s="697">
        <v>39762</v>
      </c>
      <c r="C14" s="698">
        <v>37586</v>
      </c>
      <c r="D14" s="697">
        <v>77348</v>
      </c>
      <c r="E14" s="1543">
        <v>9.6133096408692956E-3</v>
      </c>
      <c r="G14" s="1526" t="s">
        <v>2273</v>
      </c>
    </row>
    <row r="15" spans="1:7" ht="16.5" customHeight="1">
      <c r="B15" s="189"/>
      <c r="C15" s="189"/>
      <c r="D15" s="189"/>
      <c r="E15" s="687"/>
      <c r="G15" s="245"/>
    </row>
    <row r="16" spans="1:7" s="68" customFormat="1" ht="24" customHeight="1" thickBot="1">
      <c r="A16" s="1527" t="s">
        <v>2274</v>
      </c>
      <c r="B16" s="1528">
        <v>246594</v>
      </c>
      <c r="C16" s="1529">
        <v>237972</v>
      </c>
      <c r="D16" s="1528">
        <v>484596</v>
      </c>
      <c r="E16" s="1544">
        <v>6.0228724708159188E-2</v>
      </c>
      <c r="G16" s="1526" t="s">
        <v>2033</v>
      </c>
    </row>
    <row r="17" spans="1:7" ht="36.5" customHeight="1">
      <c r="A17" s="223"/>
      <c r="B17" s="266"/>
      <c r="C17" s="266"/>
      <c r="D17" s="266"/>
      <c r="E17" s="327"/>
    </row>
    <row r="18" spans="1:7" ht="22.25" customHeight="1">
      <c r="A18" s="223" t="s">
        <v>2275</v>
      </c>
      <c r="B18" s="266"/>
      <c r="C18" s="266"/>
      <c r="D18" s="266"/>
      <c r="E18" s="327"/>
    </row>
    <row r="19" spans="1:7" ht="10.25" customHeight="1">
      <c r="A19" s="680"/>
      <c r="B19" s="263"/>
      <c r="C19" s="263"/>
      <c r="D19" s="263"/>
      <c r="E19" s="681"/>
    </row>
    <row r="20" spans="1:7" ht="24" customHeight="1">
      <c r="A20" s="682" t="s">
        <v>1141</v>
      </c>
      <c r="B20" s="465" t="s">
        <v>1142</v>
      </c>
      <c r="C20" s="414" t="s">
        <v>1143</v>
      </c>
      <c r="D20" s="465" t="s">
        <v>381</v>
      </c>
      <c r="E20" s="1538" t="s">
        <v>2268</v>
      </c>
    </row>
    <row r="21" spans="1:7" ht="15" customHeight="1">
      <c r="A21" s="269"/>
      <c r="B21" s="270"/>
      <c r="C21" s="271"/>
      <c r="D21" s="614"/>
      <c r="E21" s="1539" t="s">
        <v>2269</v>
      </c>
    </row>
    <row r="22" spans="1:7" ht="15" customHeight="1">
      <c r="A22" s="306"/>
      <c r="B22" s="270"/>
      <c r="C22" s="271"/>
      <c r="D22" s="270"/>
      <c r="E22" s="1539" t="s">
        <v>2270</v>
      </c>
    </row>
    <row r="23" spans="1:7" ht="24" customHeight="1">
      <c r="A23" s="228"/>
      <c r="B23" s="544"/>
      <c r="C23" s="545"/>
      <c r="D23" s="544"/>
      <c r="E23" s="1540"/>
    </row>
    <row r="24" spans="1:7" ht="45" customHeight="1" thickBot="1">
      <c r="A24" s="560" t="s">
        <v>495</v>
      </c>
      <c r="B24" s="561">
        <v>65643</v>
      </c>
      <c r="C24" s="562">
        <v>62212</v>
      </c>
      <c r="D24" s="561">
        <v>127855</v>
      </c>
      <c r="E24" s="1541">
        <v>8.4333467597604891E-2</v>
      </c>
    </row>
    <row r="25" spans="1:7" ht="34.5" customHeight="1" thickBot="1">
      <c r="A25" s="560" t="s">
        <v>496</v>
      </c>
      <c r="B25" s="561">
        <v>45392</v>
      </c>
      <c r="C25" s="562">
        <v>42567</v>
      </c>
      <c r="D25" s="561">
        <v>87959</v>
      </c>
      <c r="E25" s="1541">
        <v>0.13124998423892997</v>
      </c>
    </row>
    <row r="26" spans="1:7" ht="32.25" customHeight="1" thickBot="1">
      <c r="A26" s="560" t="s">
        <v>497</v>
      </c>
      <c r="B26" s="561">
        <v>236099</v>
      </c>
      <c r="C26" s="562">
        <v>216701</v>
      </c>
      <c r="D26" s="561">
        <v>452800</v>
      </c>
      <c r="E26" s="1541">
        <v>7.7273585438030382E-2</v>
      </c>
    </row>
    <row r="27" spans="1:7" s="410" customFormat="1" ht="36" customHeight="1" thickBot="1">
      <c r="A27" s="599" t="s">
        <v>1024</v>
      </c>
      <c r="B27" s="555">
        <v>347134</v>
      </c>
      <c r="C27" s="556">
        <v>321480</v>
      </c>
      <c r="D27" s="555">
        <v>668614</v>
      </c>
      <c r="E27" s="1542">
        <v>8.3099671771993885E-2</v>
      </c>
      <c r="G27" s="1526" t="s">
        <v>2276</v>
      </c>
    </row>
    <row r="28" spans="1:7" ht="16.5" customHeight="1">
      <c r="B28" s="189"/>
      <c r="C28" s="189"/>
      <c r="D28" s="189"/>
      <c r="E28" s="687"/>
      <c r="G28" s="245"/>
    </row>
    <row r="29" spans="1:7" s="68" customFormat="1" ht="24" customHeight="1" thickBot="1">
      <c r="A29" s="688" t="s">
        <v>2277</v>
      </c>
      <c r="B29" s="697">
        <v>30690</v>
      </c>
      <c r="C29" s="698">
        <v>32872</v>
      </c>
      <c r="D29" s="697">
        <v>63562</v>
      </c>
      <c r="E29" s="1543">
        <v>7.8998964083484263E-3</v>
      </c>
      <c r="G29" s="1526" t="s">
        <v>2278</v>
      </c>
    </row>
    <row r="30" spans="1:7" ht="16.5" customHeight="1">
      <c r="B30" s="189"/>
      <c r="C30" s="189"/>
      <c r="D30" s="189"/>
      <c r="E30" s="687"/>
      <c r="G30" s="245"/>
    </row>
    <row r="31" spans="1:7" s="68" customFormat="1" ht="24" customHeight="1" thickBot="1">
      <c r="A31" s="1527" t="s">
        <v>2279</v>
      </c>
      <c r="B31" s="1528">
        <v>222605</v>
      </c>
      <c r="C31" s="1529">
        <v>213304</v>
      </c>
      <c r="D31" s="1528">
        <v>435939</v>
      </c>
      <c r="E31" s="1544">
        <v>5.4181318088779538E-2</v>
      </c>
      <c r="G31" s="1526" t="s">
        <v>2280</v>
      </c>
    </row>
    <row r="32" spans="1:7" ht="7.75" customHeight="1">
      <c r="D32"/>
      <c r="E32"/>
      <c r="F32"/>
      <c r="G32" s="68"/>
    </row>
    <row r="33" spans="1:7">
      <c r="A33" s="219" t="s">
        <v>346</v>
      </c>
      <c r="D33"/>
      <c r="E33"/>
      <c r="F33"/>
      <c r="G33" s="245"/>
    </row>
    <row r="34" spans="1:7">
      <c r="D34"/>
      <c r="E34" s="1535"/>
      <c r="F34" s="1535"/>
      <c r="G34" s="1536" t="s">
        <v>2281</v>
      </c>
    </row>
    <row r="35" spans="1:7">
      <c r="A35" s="3" t="s">
        <v>2282</v>
      </c>
      <c r="D35"/>
      <c r="E35"/>
      <c r="F35"/>
    </row>
    <row r="36" spans="1:7">
      <c r="D36"/>
      <c r="E36"/>
      <c r="F36"/>
    </row>
    <row r="37" spans="1:7">
      <c r="A37" s="68" t="s">
        <v>2283</v>
      </c>
      <c r="D37"/>
      <c r="E37"/>
      <c r="F37"/>
    </row>
    <row r="40" spans="1:7">
      <c r="A40" s="367" t="s">
        <v>302</v>
      </c>
    </row>
  </sheetData>
  <pageMargins left="0.51181102362204722" right="0.6692913385826772" top="0.94488188976377963" bottom="0.47244094488188981" header="0.55118110236220474" footer="0.51181102362204722"/>
  <pageSetup paperSize="9" scale="74" orientation="portrait" horizontalDpi="1200" verticalDpi="1200"/>
  <headerFooter alignWithMargins="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EBA9E-F7E0-BF4D-8BAB-7BAE073A1710}">
  <sheetPr>
    <pageSetUpPr fitToPage="1"/>
  </sheetPr>
  <dimension ref="A1:I40"/>
  <sheetViews>
    <sheetView zoomScaleNormal="100" workbookViewId="0"/>
  </sheetViews>
  <sheetFormatPr baseColWidth="10" defaultColWidth="11.3984375" defaultRowHeight="13"/>
  <cols>
    <col min="1" max="1" width="25.796875" style="3" customWidth="1"/>
    <col min="2" max="5" width="22.59765625" style="3" customWidth="1"/>
    <col min="6" max="16384" width="11.3984375" style="3"/>
  </cols>
  <sheetData>
    <row r="1" spans="1:9" s="1" customFormat="1" ht="14" customHeight="1"/>
    <row r="2" spans="1:9" s="1" customFormat="1" ht="24" customHeight="1">
      <c r="A2" s="311" t="s">
        <v>2049</v>
      </c>
      <c r="C2" s="844"/>
      <c r="E2" s="844"/>
    </row>
    <row r="3" spans="1:9" ht="24" customHeight="1">
      <c r="A3" s="224" t="s">
        <v>445</v>
      </c>
      <c r="B3" s="267" t="s">
        <v>2050</v>
      </c>
      <c r="C3" s="1313" t="s">
        <v>2051</v>
      </c>
      <c r="D3" s="267" t="s">
        <v>2052</v>
      </c>
      <c r="E3" s="1313" t="s">
        <v>2051</v>
      </c>
    </row>
    <row r="4" spans="1:9" ht="20.25" customHeight="1">
      <c r="A4" s="269"/>
      <c r="B4" s="270" t="s">
        <v>2053</v>
      </c>
      <c r="C4" s="1313" t="s">
        <v>2054</v>
      </c>
      <c r="D4" s="270" t="s">
        <v>2055</v>
      </c>
      <c r="E4" s="1313" t="s">
        <v>2056</v>
      </c>
    </row>
    <row r="5" spans="1:9" ht="18.75" customHeight="1">
      <c r="A5" s="269"/>
      <c r="B5" s="270"/>
      <c r="C5" s="1313" t="s">
        <v>2057</v>
      </c>
      <c r="D5" s="270" t="s">
        <v>2058</v>
      </c>
      <c r="E5" s="1313" t="s">
        <v>2059</v>
      </c>
    </row>
    <row r="6" spans="1:9" ht="18.75" customHeight="1">
      <c r="A6" s="269"/>
      <c r="B6" s="270"/>
      <c r="C6" s="1313"/>
      <c r="D6" s="270"/>
      <c r="E6" s="1313" t="s">
        <v>2060</v>
      </c>
    </row>
    <row r="7" spans="1:9" ht="15" customHeight="1">
      <c r="A7" s="273"/>
      <c r="B7" s="274"/>
      <c r="C7" s="275"/>
      <c r="D7" s="274"/>
      <c r="E7" s="275"/>
    </row>
    <row r="8" spans="1:9" ht="1.25" customHeight="1" thickBot="1">
      <c r="A8" s="277">
        <v>1996</v>
      </c>
      <c r="B8" s="287" t="s">
        <v>153</v>
      </c>
      <c r="C8" s="288" t="s">
        <v>153</v>
      </c>
      <c r="D8" s="287" t="s">
        <v>153</v>
      </c>
      <c r="E8" s="288" t="s">
        <v>153</v>
      </c>
    </row>
    <row r="9" spans="1:9" ht="0.75" hidden="1" customHeight="1" thickBot="1">
      <c r="A9" s="280">
        <v>1997</v>
      </c>
      <c r="B9" s="289" t="s">
        <v>153</v>
      </c>
      <c r="C9" s="159" t="s">
        <v>153</v>
      </c>
      <c r="D9" s="289" t="s">
        <v>153</v>
      </c>
      <c r="E9" s="159" t="s">
        <v>153</v>
      </c>
      <c r="G9" s="8"/>
      <c r="H9" s="8"/>
      <c r="I9" s="8"/>
    </row>
    <row r="10" spans="1:9" ht="19.5" hidden="1" customHeight="1" thickBot="1">
      <c r="A10" s="280">
        <v>1998</v>
      </c>
      <c r="B10" s="289" t="s">
        <v>153</v>
      </c>
      <c r="C10" s="159" t="s">
        <v>153</v>
      </c>
      <c r="D10" s="289" t="s">
        <v>153</v>
      </c>
      <c r="E10" s="159" t="s">
        <v>153</v>
      </c>
    </row>
    <row r="11" spans="1:9" ht="0.5" customHeight="1" thickBot="1">
      <c r="A11" s="280">
        <v>1999</v>
      </c>
      <c r="B11" s="289" t="s">
        <v>153</v>
      </c>
      <c r="C11" s="159" t="s">
        <v>153</v>
      </c>
      <c r="D11" s="289" t="s">
        <v>153</v>
      </c>
      <c r="E11" s="159" t="s">
        <v>153</v>
      </c>
    </row>
    <row r="12" spans="1:9" ht="19.75" hidden="1" customHeight="1" thickBot="1">
      <c r="A12" s="280">
        <v>2000</v>
      </c>
      <c r="B12" s="289" t="s">
        <v>153</v>
      </c>
      <c r="C12" s="159" t="s">
        <v>153</v>
      </c>
      <c r="D12" s="289" t="s">
        <v>153</v>
      </c>
      <c r="E12" s="159" t="s">
        <v>153</v>
      </c>
    </row>
    <row r="13" spans="1:9" ht="20" hidden="1" customHeight="1" thickBot="1">
      <c r="A13" s="280">
        <v>2001</v>
      </c>
      <c r="B13" s="289" t="s">
        <v>153</v>
      </c>
      <c r="C13" s="159" t="s">
        <v>153</v>
      </c>
      <c r="D13" s="289" t="s">
        <v>153</v>
      </c>
      <c r="E13" s="159" t="s">
        <v>153</v>
      </c>
    </row>
    <row r="14" spans="1:9" ht="20" hidden="1" customHeight="1" thickBot="1">
      <c r="A14" s="280">
        <v>2002</v>
      </c>
      <c r="B14" s="289" t="s">
        <v>153</v>
      </c>
      <c r="C14" s="159" t="s">
        <v>153</v>
      </c>
      <c r="D14" s="289" t="s">
        <v>153</v>
      </c>
      <c r="E14" s="159" t="s">
        <v>153</v>
      </c>
    </row>
    <row r="15" spans="1:9" ht="20" customHeight="1" thickBot="1">
      <c r="A15" s="280">
        <v>2003</v>
      </c>
      <c r="B15" s="289" t="s">
        <v>153</v>
      </c>
      <c r="C15" s="159" t="s">
        <v>153</v>
      </c>
      <c r="D15" s="289" t="s">
        <v>153</v>
      </c>
      <c r="E15" s="159" t="s">
        <v>153</v>
      </c>
    </row>
    <row r="16" spans="1:9" ht="20" customHeight="1" thickBot="1">
      <c r="A16" s="280">
        <v>2004</v>
      </c>
      <c r="B16" s="289" t="s">
        <v>153</v>
      </c>
      <c r="C16" s="159" t="s">
        <v>153</v>
      </c>
      <c r="D16" s="289" t="s">
        <v>153</v>
      </c>
      <c r="E16" s="159" t="s">
        <v>153</v>
      </c>
    </row>
    <row r="17" spans="1:5" ht="20" customHeight="1" thickBot="1">
      <c r="A17" s="280">
        <v>2005</v>
      </c>
      <c r="B17" s="289">
        <v>333989</v>
      </c>
      <c r="C17" s="1371">
        <v>1660.1051811123543</v>
      </c>
      <c r="D17" s="289">
        <v>22830</v>
      </c>
      <c r="E17" s="1371">
        <v>2667.0642261250127</v>
      </c>
    </row>
    <row r="18" spans="1:5" ht="20" customHeight="1" thickBot="1">
      <c r="A18" s="280">
        <v>2006</v>
      </c>
      <c r="B18" s="289">
        <v>421280</v>
      </c>
      <c r="C18" s="1371">
        <v>1557.9783633108323</v>
      </c>
      <c r="D18" s="289">
        <v>89081</v>
      </c>
      <c r="E18" s="1371">
        <v>1978.6264621248356</v>
      </c>
    </row>
    <row r="19" spans="1:5" ht="20" customHeight="1" thickBot="1">
      <c r="A19" s="280">
        <v>2007</v>
      </c>
      <c r="B19" s="289">
        <v>379340</v>
      </c>
      <c r="C19" s="1371">
        <v>1590.2978354727945</v>
      </c>
      <c r="D19" s="289">
        <v>89884</v>
      </c>
      <c r="E19" s="1371">
        <v>1754.1422340537217</v>
      </c>
    </row>
    <row r="20" spans="1:5" ht="20" customHeight="1" thickBot="1">
      <c r="A20" s="280">
        <v>2008</v>
      </c>
      <c r="B20" s="289">
        <v>366771.18</v>
      </c>
      <c r="C20" s="1371">
        <v>1578.120089644023</v>
      </c>
      <c r="D20" s="289">
        <v>93001</v>
      </c>
      <c r="E20" s="1371">
        <v>1868.7691993608462</v>
      </c>
    </row>
    <row r="21" spans="1:5" ht="20" customHeight="1" thickBot="1">
      <c r="A21" s="280">
        <v>2009</v>
      </c>
      <c r="B21" s="289">
        <v>362663</v>
      </c>
      <c r="C21" s="1371">
        <v>1612.3001722893655</v>
      </c>
      <c r="D21" s="289">
        <v>134413</v>
      </c>
      <c r="E21" s="1371">
        <v>2044.9746449067488</v>
      </c>
    </row>
    <row r="22" spans="1:5" ht="20" customHeight="1" thickBot="1">
      <c r="A22" s="280">
        <v>2010</v>
      </c>
      <c r="B22" s="289">
        <v>395046</v>
      </c>
      <c r="C22" s="1371">
        <v>1691.2252211550283</v>
      </c>
      <c r="D22" s="289">
        <v>146763</v>
      </c>
      <c r="E22" s="1371">
        <v>2257.3946408066636</v>
      </c>
    </row>
    <row r="23" spans="1:5" ht="20" customHeight="1" thickBot="1">
      <c r="A23" s="280">
        <v>2011</v>
      </c>
      <c r="B23" s="289">
        <v>405039.2</v>
      </c>
      <c r="C23" s="1371">
        <v>1854.5427442725877</v>
      </c>
      <c r="D23" s="289">
        <v>139702</v>
      </c>
      <c r="E23" s="1371">
        <v>2879.8345178576574</v>
      </c>
    </row>
    <row r="24" spans="1:5" ht="20" customHeight="1" thickBot="1">
      <c r="A24" s="280">
        <v>2012</v>
      </c>
      <c r="B24" s="289">
        <v>449053</v>
      </c>
      <c r="C24" s="1371">
        <v>2048.5047188331882</v>
      </c>
      <c r="D24" s="289">
        <v>54476</v>
      </c>
      <c r="E24" s="1371">
        <v>2108.8560063694704</v>
      </c>
    </row>
    <row r="25" spans="1:5" ht="26.25" customHeight="1" thickBot="1">
      <c r="A25" s="283">
        <v>2013</v>
      </c>
      <c r="B25" s="290">
        <v>362218</v>
      </c>
      <c r="C25" s="1234">
        <v>2047.1942664126641</v>
      </c>
      <c r="D25" s="290">
        <v>20555</v>
      </c>
      <c r="E25" s="1234">
        <v>2601.3813270009482</v>
      </c>
    </row>
    <row r="26" spans="1:5" ht="18.5" customHeight="1">
      <c r="A26" s="189" t="s">
        <v>346</v>
      </c>
      <c r="B26" s="457"/>
      <c r="C26" s="457"/>
      <c r="D26" s="457"/>
      <c r="E26" s="457"/>
    </row>
    <row r="27" spans="1:5" ht="12.75" customHeight="1">
      <c r="A27" s="219"/>
      <c r="B27" s="459"/>
      <c r="C27" s="459"/>
      <c r="D27" s="459"/>
      <c r="E27" s="459"/>
    </row>
    <row r="28" spans="1:5" ht="12.75" customHeight="1">
      <c r="A28" s="3" t="s">
        <v>2061</v>
      </c>
      <c r="B28" s="459"/>
      <c r="C28" s="459"/>
      <c r="D28" s="459"/>
      <c r="E28" s="459"/>
    </row>
    <row r="29" spans="1:5" ht="12" customHeight="1"/>
    <row r="30" spans="1:5" ht="12" customHeight="1">
      <c r="A30" s="247" t="s">
        <v>2062</v>
      </c>
    </row>
    <row r="31" spans="1:5" ht="12" customHeight="1">
      <c r="A31" s="247" t="s">
        <v>2063</v>
      </c>
    </row>
    <row r="32" spans="1:5" ht="12" customHeight="1">
      <c r="A32" s="17" t="s">
        <v>2064</v>
      </c>
    </row>
    <row r="33" spans="1:1" ht="12" customHeight="1">
      <c r="A33" s="247" t="s">
        <v>2065</v>
      </c>
    </row>
    <row r="34" spans="1:1" ht="12" customHeight="1">
      <c r="A34" s="247" t="s">
        <v>2066</v>
      </c>
    </row>
    <row r="35" spans="1:1" ht="12" customHeight="1">
      <c r="A35" s="247" t="s">
        <v>2067</v>
      </c>
    </row>
    <row r="36" spans="1:1" ht="12" customHeight="1">
      <c r="A36" s="247" t="s">
        <v>2068</v>
      </c>
    </row>
    <row r="37" spans="1:1" ht="12" customHeight="1">
      <c r="A37" s="17" t="s">
        <v>2069</v>
      </c>
    </row>
    <row r="40" spans="1:1">
      <c r="A40" s="3" t="s">
        <v>302</v>
      </c>
    </row>
  </sheetData>
  <pageMargins left="0.51181102362204722" right="0.47244094488188981" top="0.70866141732283472" bottom="0.47244094488188981" header="0.55118110236220474" footer="0.51181102362204722"/>
  <pageSetup paperSize="9" scale="73" orientation="portrait" horizontalDpi="1200" verticalDpi="1200"/>
  <headerFooter alignWithMargins="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170FE-AE1A-A34C-8F5F-F4379AD6D3BA}">
  <sheetPr>
    <pageSetUpPr fitToPage="1"/>
  </sheetPr>
  <dimension ref="A1:G52"/>
  <sheetViews>
    <sheetView zoomScaleNormal="100" workbookViewId="0"/>
  </sheetViews>
  <sheetFormatPr baseColWidth="10" defaultColWidth="11.3984375" defaultRowHeight="13"/>
  <cols>
    <col min="1" max="1" width="33" style="3" customWidth="1"/>
    <col min="2" max="4" width="18.796875" style="3" customWidth="1"/>
    <col min="5" max="5" width="2.3984375" style="492" customWidth="1"/>
    <col min="6" max="6" width="6" style="3" customWidth="1"/>
    <col min="7" max="16384" width="11.3984375" style="3"/>
  </cols>
  <sheetData>
    <row r="1" spans="1:7" ht="19.25" customHeight="1">
      <c r="A1" s="223" t="s">
        <v>2250</v>
      </c>
      <c r="B1" s="266"/>
      <c r="C1" s="266"/>
      <c r="D1" s="266"/>
      <c r="E1" s="266"/>
    </row>
    <row r="2" spans="1:7" ht="28.75" customHeight="1">
      <c r="A2" s="223"/>
      <c r="B2" s="266"/>
      <c r="C2" s="266"/>
      <c r="D2" s="266"/>
      <c r="E2" s="266"/>
    </row>
    <row r="3" spans="1:7" ht="19.25" customHeight="1">
      <c r="A3" s="223" t="s">
        <v>2251</v>
      </c>
      <c r="B3" s="266"/>
      <c r="C3" s="266"/>
      <c r="D3" s="266"/>
      <c r="E3" s="266"/>
    </row>
    <row r="4" spans="1:7" ht="11.5" customHeight="1">
      <c r="A4" s="680"/>
      <c r="B4" s="263"/>
      <c r="C4" s="263"/>
      <c r="D4" s="263"/>
      <c r="E4" s="681"/>
    </row>
    <row r="5" spans="1:7" ht="24" customHeight="1">
      <c r="A5" s="682" t="s">
        <v>1141</v>
      </c>
      <c r="B5" s="465" t="s">
        <v>1142</v>
      </c>
      <c r="C5" s="414" t="s">
        <v>1143</v>
      </c>
      <c r="D5" s="465" t="s">
        <v>2252</v>
      </c>
      <c r="E5" s="364"/>
    </row>
    <row r="6" spans="1:7" ht="15" customHeight="1">
      <c r="A6" s="269"/>
      <c r="B6" s="270"/>
      <c r="C6" s="271"/>
      <c r="D6" s="614"/>
      <c r="E6" s="364"/>
    </row>
    <row r="7" spans="1:7" ht="15" customHeight="1">
      <c r="A7" s="306"/>
      <c r="B7" s="270"/>
      <c r="C7" s="271"/>
      <c r="D7" s="270"/>
      <c r="E7" s="364"/>
    </row>
    <row r="8" spans="1:7" ht="20.5" customHeight="1">
      <c r="A8" s="228"/>
      <c r="B8" s="544"/>
      <c r="C8" s="545"/>
      <c r="D8" s="544"/>
      <c r="E8" s="364"/>
    </row>
    <row r="9" spans="1:7" ht="42" customHeight="1" thickBot="1">
      <c r="A9" s="560" t="s">
        <v>495</v>
      </c>
      <c r="B9" s="561">
        <v>884720</v>
      </c>
      <c r="C9" s="562">
        <v>856772</v>
      </c>
      <c r="D9" s="561">
        <v>1741492</v>
      </c>
      <c r="E9" s="364"/>
    </row>
    <row r="10" spans="1:7" ht="34.5" customHeight="1" thickBot="1">
      <c r="A10" s="560" t="s">
        <v>496</v>
      </c>
      <c r="B10" s="561">
        <v>341362</v>
      </c>
      <c r="C10" s="562">
        <v>327361</v>
      </c>
      <c r="D10" s="561">
        <v>668723</v>
      </c>
      <c r="E10" s="364"/>
    </row>
    <row r="11" spans="1:7" ht="32.25" customHeight="1" thickBot="1">
      <c r="A11" s="560" t="s">
        <v>497</v>
      </c>
      <c r="B11" s="561">
        <v>2787498</v>
      </c>
      <c r="C11" s="562">
        <v>2918769</v>
      </c>
      <c r="D11" s="561">
        <v>5706267</v>
      </c>
      <c r="E11" s="364"/>
    </row>
    <row r="12" spans="1:7" s="410" customFormat="1" ht="36" customHeight="1" thickBot="1">
      <c r="A12" s="599" t="s">
        <v>1024</v>
      </c>
      <c r="B12" s="602">
        <v>4013580</v>
      </c>
      <c r="C12" s="601">
        <v>4102902</v>
      </c>
      <c r="D12" s="602">
        <v>8116482</v>
      </c>
      <c r="E12" s="364"/>
      <c r="F12" s="1526" t="s">
        <v>2253</v>
      </c>
    </row>
    <row r="13" spans="1:7" ht="16.5" customHeight="1">
      <c r="B13" s="189"/>
      <c r="C13" s="189"/>
      <c r="D13" s="189"/>
      <c r="E13" s="687"/>
      <c r="G13" s="245"/>
    </row>
    <row r="14" spans="1:7" s="68" customFormat="1" ht="24" customHeight="1" thickBot="1">
      <c r="A14" s="1527" t="s">
        <v>2254</v>
      </c>
      <c r="B14" s="1528">
        <v>234823</v>
      </c>
      <c r="C14" s="1529">
        <v>225978</v>
      </c>
      <c r="D14" s="1528">
        <v>460831</v>
      </c>
      <c r="E14" s="1530"/>
      <c r="F14" s="1526" t="s">
        <v>2255</v>
      </c>
      <c r="G14" s="1531"/>
    </row>
    <row r="15" spans="1:7" ht="28.25" customHeight="1">
      <c r="A15" s="223"/>
      <c r="B15" s="266"/>
      <c r="C15" s="266"/>
      <c r="D15" s="266"/>
      <c r="E15" s="266"/>
    </row>
    <row r="16" spans="1:7" ht="19.25" customHeight="1">
      <c r="A16" s="223" t="s">
        <v>2256</v>
      </c>
      <c r="B16" s="266"/>
      <c r="C16" s="266"/>
      <c r="D16" s="266"/>
      <c r="E16" s="266"/>
    </row>
    <row r="17" spans="1:7" ht="11.5" customHeight="1">
      <c r="A17" s="680"/>
      <c r="B17" s="263"/>
      <c r="C17" s="263"/>
      <c r="D17" s="263"/>
      <c r="E17" s="681"/>
    </row>
    <row r="18" spans="1:7" ht="24" customHeight="1">
      <c r="A18" s="682"/>
      <c r="B18" s="465" t="s">
        <v>1142</v>
      </c>
      <c r="C18" s="414" t="s">
        <v>1143</v>
      </c>
      <c r="D18" s="465" t="s">
        <v>2252</v>
      </c>
      <c r="E18" s="364"/>
    </row>
    <row r="19" spans="1:7" ht="15" customHeight="1">
      <c r="A19" s="269"/>
      <c r="B19" s="270"/>
      <c r="C19" s="271"/>
      <c r="D19" s="614"/>
      <c r="E19" s="364"/>
    </row>
    <row r="20" spans="1:7" ht="15" customHeight="1">
      <c r="A20" s="306"/>
      <c r="B20" s="270"/>
      <c r="C20" s="271"/>
      <c r="D20" s="270"/>
      <c r="E20" s="364"/>
    </row>
    <row r="21" spans="1:7" ht="15.5" customHeight="1">
      <c r="A21" s="228"/>
      <c r="B21" s="544"/>
      <c r="C21" s="545"/>
      <c r="D21" s="544"/>
      <c r="E21" s="364"/>
    </row>
    <row r="22" spans="1:7" s="410" customFormat="1" ht="36" customHeight="1" thickBot="1">
      <c r="A22" s="1532" t="s">
        <v>1024</v>
      </c>
      <c r="B22" s="1533">
        <v>3952323</v>
      </c>
      <c r="C22" s="1534">
        <v>4046976</v>
      </c>
      <c r="D22" s="1533">
        <v>7999269</v>
      </c>
      <c r="E22" s="364"/>
      <c r="F22" s="1526" t="s">
        <v>2031</v>
      </c>
    </row>
    <row r="23" spans="1:7" ht="16.5" customHeight="1">
      <c r="B23" s="189"/>
      <c r="C23" s="189"/>
      <c r="D23" s="189"/>
      <c r="E23" s="687"/>
      <c r="G23" s="245"/>
    </row>
    <row r="24" spans="1:7" s="68" customFormat="1" ht="24" customHeight="1" thickBot="1">
      <c r="A24" s="688" t="s">
        <v>2257</v>
      </c>
      <c r="B24" s="697">
        <v>237823</v>
      </c>
      <c r="C24" s="698">
        <v>228320</v>
      </c>
      <c r="D24" s="697">
        <v>466143</v>
      </c>
      <c r="E24" s="1530"/>
      <c r="F24" s="1526" t="s">
        <v>2032</v>
      </c>
      <c r="G24" s="1531"/>
    </row>
    <row r="25" spans="1:7" ht="31.75" customHeight="1">
      <c r="A25" s="223"/>
      <c r="B25" s="266"/>
      <c r="C25" s="266"/>
      <c r="D25" s="266"/>
      <c r="E25" s="266"/>
    </row>
    <row r="26" spans="1:7" ht="19.25" customHeight="1">
      <c r="A26" s="223" t="s">
        <v>2258</v>
      </c>
      <c r="B26" s="266"/>
      <c r="C26" s="266"/>
      <c r="D26" s="266"/>
      <c r="E26" s="266"/>
    </row>
    <row r="27" spans="1:7" ht="11.5" customHeight="1">
      <c r="A27" s="680"/>
      <c r="B27" s="263"/>
      <c r="C27" s="263"/>
      <c r="D27" s="263"/>
      <c r="E27" s="681"/>
    </row>
    <row r="28" spans="1:7" ht="24" customHeight="1">
      <c r="A28" s="682"/>
      <c r="B28" s="465" t="s">
        <v>1142</v>
      </c>
      <c r="C28" s="414" t="s">
        <v>1143</v>
      </c>
      <c r="D28" s="465" t="s">
        <v>2252</v>
      </c>
      <c r="E28" s="364"/>
    </row>
    <row r="29" spans="1:7" ht="15" customHeight="1">
      <c r="A29" s="269"/>
      <c r="B29" s="270"/>
      <c r="C29" s="271"/>
      <c r="D29" s="614"/>
      <c r="E29" s="364"/>
    </row>
    <row r="30" spans="1:7" ht="15" customHeight="1">
      <c r="A30" s="306"/>
      <c r="B30" s="270"/>
      <c r="C30" s="271"/>
      <c r="D30" s="270"/>
      <c r="E30" s="364"/>
    </row>
    <row r="31" spans="1:7" ht="15.5" customHeight="1">
      <c r="A31" s="228"/>
      <c r="B31" s="544"/>
      <c r="C31" s="545"/>
      <c r="D31" s="544"/>
      <c r="E31" s="364"/>
    </row>
    <row r="32" spans="1:7" s="410" customFormat="1" ht="36" customHeight="1" thickBot="1">
      <c r="A32" s="1532" t="s">
        <v>381</v>
      </c>
      <c r="B32" s="1533">
        <v>4001362</v>
      </c>
      <c r="C32" s="1534">
        <v>4090228</v>
      </c>
      <c r="D32" s="1533">
        <v>8091590</v>
      </c>
      <c r="E32" s="364"/>
      <c r="F32" s="1526" t="s">
        <v>2259</v>
      </c>
    </row>
    <row r="33" spans="1:6" ht="31.75" customHeight="1">
      <c r="A33" s="223"/>
      <c r="B33" s="266"/>
      <c r="C33" s="266"/>
      <c r="D33" s="266"/>
      <c r="E33" s="266"/>
    </row>
    <row r="34" spans="1:6" ht="19.25" customHeight="1">
      <c r="A34" s="223" t="s">
        <v>2260</v>
      </c>
      <c r="B34" s="266"/>
      <c r="C34" s="266"/>
      <c r="D34" s="266"/>
      <c r="E34" s="266"/>
    </row>
    <row r="35" spans="1:6" ht="11.5" customHeight="1">
      <c r="A35" s="680"/>
      <c r="B35" s="263"/>
      <c r="C35" s="263"/>
      <c r="D35" s="263"/>
      <c r="E35" s="681"/>
    </row>
    <row r="36" spans="1:6" ht="24" customHeight="1">
      <c r="A36" s="682"/>
      <c r="B36" s="465" t="s">
        <v>1142</v>
      </c>
      <c r="C36" s="414" t="s">
        <v>1143</v>
      </c>
      <c r="D36" s="465" t="s">
        <v>2252</v>
      </c>
      <c r="E36" s="364"/>
    </row>
    <row r="37" spans="1:6" ht="15" customHeight="1">
      <c r="A37" s="269"/>
      <c r="B37" s="270"/>
      <c r="C37" s="271"/>
      <c r="D37" s="614"/>
      <c r="E37" s="364"/>
    </row>
    <row r="38" spans="1:6" ht="15" customHeight="1">
      <c r="A38" s="306"/>
      <c r="B38" s="270"/>
      <c r="C38" s="271"/>
      <c r="D38" s="270"/>
      <c r="E38" s="364"/>
    </row>
    <row r="39" spans="1:6" ht="15.5" customHeight="1">
      <c r="A39" s="228"/>
      <c r="B39" s="544"/>
      <c r="C39" s="545"/>
      <c r="D39" s="544"/>
      <c r="E39" s="364"/>
    </row>
    <row r="40" spans="1:6" s="410" customFormat="1" ht="36" customHeight="1" thickBot="1">
      <c r="A40" s="1532" t="s">
        <v>381</v>
      </c>
      <c r="B40" s="1533">
        <v>3961094</v>
      </c>
      <c r="C40" s="1534">
        <v>4056628</v>
      </c>
      <c r="D40" s="1533">
        <v>8017722</v>
      </c>
      <c r="E40" s="364"/>
      <c r="F40" s="1526" t="s">
        <v>2034</v>
      </c>
    </row>
    <row r="41" spans="1:6" ht="7.25" customHeight="1">
      <c r="D41"/>
      <c r="E41"/>
      <c r="F41"/>
    </row>
    <row r="42" spans="1:6" ht="15.5" customHeight="1">
      <c r="A42" s="219" t="s">
        <v>346</v>
      </c>
      <c r="D42"/>
      <c r="E42"/>
      <c r="F42"/>
    </row>
    <row r="43" spans="1:6" ht="15" customHeight="1">
      <c r="D43" s="1535"/>
      <c r="E43" s="1535"/>
      <c r="F43" s="1536" t="s">
        <v>2261</v>
      </c>
    </row>
    <row r="44" spans="1:6">
      <c r="D44" s="16"/>
      <c r="E44" s="16"/>
      <c r="F44" s="1537"/>
    </row>
    <row r="45" spans="1:6">
      <c r="A45" s="3" t="s">
        <v>2262</v>
      </c>
      <c r="D45"/>
      <c r="E45"/>
      <c r="F45"/>
    </row>
    <row r="46" spans="1:6">
      <c r="D46"/>
      <c r="E46"/>
      <c r="F46"/>
    </row>
    <row r="47" spans="1:6" ht="15" customHeight="1">
      <c r="A47" s="2020" t="s">
        <v>2263</v>
      </c>
      <c r="B47" s="2035"/>
      <c r="C47" s="2035"/>
      <c r="D47" s="2035"/>
      <c r="E47" s="1412"/>
    </row>
    <row r="48" spans="1:6" ht="14.5" customHeight="1">
      <c r="A48" s="3" t="s">
        <v>2264</v>
      </c>
      <c r="D48"/>
      <c r="E48"/>
      <c r="F48"/>
    </row>
    <row r="49" spans="1:6" ht="15.5" customHeight="1">
      <c r="A49" s="3" t="s">
        <v>2265</v>
      </c>
      <c r="D49"/>
      <c r="E49"/>
      <c r="F49"/>
    </row>
    <row r="52" spans="1:6">
      <c r="A52" s="367" t="s">
        <v>302</v>
      </c>
    </row>
  </sheetData>
  <mergeCells count="1">
    <mergeCell ref="A47:D47"/>
  </mergeCells>
  <pageMargins left="0.67" right="0.67" top="0.72" bottom="0.49" header="0.56000000000000005" footer="0.4921259845"/>
  <pageSetup paperSize="9" scale="77" orientation="portrait" horizontalDpi="1200" verticalDpi="1200"/>
  <headerFooter alignWithMargins="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AD097-A01E-F54B-AEDE-FC547D90344C}">
  <sheetPr>
    <pageSetUpPr fitToPage="1"/>
  </sheetPr>
  <dimension ref="A1:G35"/>
  <sheetViews>
    <sheetView zoomScaleNormal="100" workbookViewId="0">
      <selection activeCell="A2" sqref="A2"/>
    </sheetView>
  </sheetViews>
  <sheetFormatPr baseColWidth="10" defaultColWidth="11.3984375" defaultRowHeight="13"/>
  <cols>
    <col min="1" max="1" width="32.59765625" style="3" customWidth="1"/>
    <col min="2" max="2" width="17.3984375" style="3" customWidth="1"/>
    <col min="3" max="3" width="16.3984375" style="3" customWidth="1"/>
    <col min="4" max="4" width="17.796875" style="3" customWidth="1"/>
    <col min="5" max="5" width="18.796875" style="492" customWidth="1"/>
    <col min="6" max="6" width="19.59765625" style="492" customWidth="1"/>
    <col min="7" max="7" width="18.19921875" style="3" customWidth="1"/>
    <col min="8" max="16384" width="11.3984375" style="3"/>
  </cols>
  <sheetData>
    <row r="1" spans="1:6" ht="54.75" customHeight="1">
      <c r="A1" s="2036" t="s">
        <v>1139</v>
      </c>
      <c r="B1" s="2026"/>
      <c r="C1" s="2026"/>
      <c r="D1" s="2026"/>
      <c r="E1" s="327">
        <v>2013</v>
      </c>
      <c r="F1" s="266"/>
    </row>
    <row r="2" spans="1:6" ht="28.25" customHeight="1">
      <c r="A2" s="678"/>
      <c r="B2" s="266"/>
      <c r="C2" s="266"/>
      <c r="D2" s="266"/>
      <c r="E2" s="266"/>
      <c r="F2" s="266"/>
    </row>
    <row r="3" spans="1:6" ht="39.75" customHeight="1">
      <c r="A3" s="2037" t="s">
        <v>1140</v>
      </c>
      <c r="B3" s="2018"/>
      <c r="C3" s="2018"/>
      <c r="D3" s="2018"/>
      <c r="E3" s="2018"/>
      <c r="F3" s="679"/>
    </row>
    <row r="4" spans="1:6" ht="12.75" customHeight="1">
      <c r="A4" s="680"/>
      <c r="B4" s="263"/>
      <c r="C4" s="263"/>
      <c r="D4" s="263"/>
      <c r="E4" s="263"/>
      <c r="F4" s="681"/>
    </row>
    <row r="5" spans="1:6" ht="24" customHeight="1">
      <c r="A5" s="682" t="s">
        <v>1141</v>
      </c>
      <c r="B5" s="465" t="s">
        <v>1142</v>
      </c>
      <c r="C5" s="414" t="s">
        <v>1143</v>
      </c>
      <c r="D5" s="465" t="s">
        <v>381</v>
      </c>
      <c r="E5" s="466" t="s">
        <v>1004</v>
      </c>
      <c r="F5" s="364"/>
    </row>
    <row r="6" spans="1:6" ht="15" customHeight="1">
      <c r="A6" s="269"/>
      <c r="B6" s="270"/>
      <c r="C6" s="271"/>
      <c r="D6" s="614"/>
      <c r="E6" s="683" t="s">
        <v>1144</v>
      </c>
      <c r="F6" s="364"/>
    </row>
    <row r="7" spans="1:6" ht="15" customHeight="1">
      <c r="A7" s="306"/>
      <c r="B7" s="270"/>
      <c r="C7" s="271"/>
      <c r="D7" s="270"/>
      <c r="E7" s="683"/>
      <c r="F7" s="364"/>
    </row>
    <row r="8" spans="1:6" ht="3.5" customHeight="1">
      <c r="A8" s="228"/>
      <c r="B8" s="544"/>
      <c r="C8" s="545"/>
      <c r="D8" s="544"/>
      <c r="E8" s="473"/>
      <c r="F8" s="364"/>
    </row>
    <row r="9" spans="1:6" ht="45" customHeight="1" thickBot="1">
      <c r="A9" s="560" t="s">
        <v>1145</v>
      </c>
      <c r="B9" s="561">
        <v>778192.79</v>
      </c>
      <c r="C9" s="562">
        <v>737871.97</v>
      </c>
      <c r="D9" s="561">
        <v>1516064.78</v>
      </c>
      <c r="E9" s="684">
        <v>0.18842633507985193</v>
      </c>
      <c r="F9" s="364"/>
    </row>
    <row r="10" spans="1:6" ht="34.5" customHeight="1" thickBot="1">
      <c r="A10" s="560" t="s">
        <v>1146</v>
      </c>
      <c r="B10" s="561">
        <v>339732.91</v>
      </c>
      <c r="C10" s="562">
        <v>330430.96000000002</v>
      </c>
      <c r="D10" s="561">
        <v>670163.89</v>
      </c>
      <c r="E10" s="684">
        <v>8.3292302124159251E-2</v>
      </c>
      <c r="F10" s="364"/>
    </row>
    <row r="11" spans="1:6" ht="32.25" customHeight="1" thickBot="1">
      <c r="A11" s="560" t="s">
        <v>1147</v>
      </c>
      <c r="B11" s="561">
        <v>2857894.64</v>
      </c>
      <c r="C11" s="562">
        <v>3001805.02</v>
      </c>
      <c r="D11" s="561">
        <v>5859699.6299999999</v>
      </c>
      <c r="E11" s="684">
        <v>0.72828136403885346</v>
      </c>
      <c r="F11" s="364"/>
    </row>
    <row r="12" spans="1:6" s="410" customFormat="1" ht="36" customHeight="1" thickBot="1">
      <c r="A12" s="599" t="s">
        <v>381</v>
      </c>
      <c r="B12" s="555">
        <v>3975820.33</v>
      </c>
      <c r="C12" s="556">
        <v>4070107.92</v>
      </c>
      <c r="D12" s="555">
        <v>8045928.29</v>
      </c>
      <c r="E12" s="685">
        <v>1</v>
      </c>
      <c r="F12" s="364"/>
    </row>
    <row r="13" spans="1:6" ht="17.25" customHeight="1">
      <c r="B13" s="189"/>
      <c r="C13" s="189"/>
      <c r="D13" s="189"/>
      <c r="E13" s="686"/>
      <c r="F13" s="687"/>
    </row>
    <row r="14" spans="1:6" ht="19.5" customHeight="1" thickBot="1">
      <c r="A14" s="688" t="s">
        <v>1148</v>
      </c>
      <c r="B14" s="689">
        <v>40.152143369999997</v>
      </c>
      <c r="C14" s="690">
        <v>42.373552539999999</v>
      </c>
      <c r="D14" s="689">
        <v>41.27324076</v>
      </c>
      <c r="E14" s="691" t="s">
        <v>153</v>
      </c>
      <c r="F14" s="687"/>
    </row>
    <row r="15" spans="1:6" ht="46.5" customHeight="1">
      <c r="A15" s="17"/>
      <c r="B15" s="219"/>
      <c r="C15" s="219"/>
      <c r="D15" s="219"/>
      <c r="E15" s="687"/>
      <c r="F15" s="687"/>
    </row>
    <row r="16" spans="1:6" ht="38.25" customHeight="1">
      <c r="A16" s="2038" t="s">
        <v>1149</v>
      </c>
      <c r="B16" s="2018"/>
      <c r="C16" s="2018"/>
      <c r="D16" s="2018"/>
      <c r="E16" s="2018"/>
      <c r="F16" s="679"/>
    </row>
    <row r="17" spans="1:7" ht="15" customHeight="1">
      <c r="A17" s="692"/>
      <c r="B17" s="266"/>
      <c r="C17" s="266"/>
      <c r="D17" s="266"/>
      <c r="E17" s="266"/>
      <c r="F17" s="266"/>
    </row>
    <row r="18" spans="1:7" ht="38.25" customHeight="1">
      <c r="A18" s="693"/>
      <c r="B18" s="694" t="s">
        <v>644</v>
      </c>
      <c r="C18" s="695" t="s">
        <v>645</v>
      </c>
      <c r="D18" s="694" t="s">
        <v>495</v>
      </c>
      <c r="E18" s="695" t="s">
        <v>381</v>
      </c>
    </row>
    <row r="19" spans="1:7" ht="39" customHeight="1" thickBot="1">
      <c r="A19" s="696" t="s">
        <v>381</v>
      </c>
      <c r="B19" s="697">
        <v>22738.65</v>
      </c>
      <c r="C19" s="698">
        <v>13397.85</v>
      </c>
      <c r="D19" s="697">
        <v>5061.54</v>
      </c>
      <c r="E19" s="699">
        <v>41198</v>
      </c>
      <c r="F19" s="490"/>
      <c r="G19" s="490"/>
    </row>
    <row r="20" spans="1:7" ht="39.75" customHeight="1">
      <c r="D20"/>
      <c r="E20"/>
      <c r="F20"/>
      <c r="G20"/>
    </row>
    <row r="21" spans="1:7" ht="42" customHeight="1">
      <c r="A21" s="2038" t="s">
        <v>1150</v>
      </c>
      <c r="B21" s="2018"/>
      <c r="C21" s="2018"/>
      <c r="D21" s="2018"/>
      <c r="E21" s="2018"/>
      <c r="F21" s="679"/>
    </row>
    <row r="22" spans="1:7" ht="15" customHeight="1">
      <c r="A22" s="692"/>
      <c r="B22" s="266"/>
      <c r="C22" s="266"/>
      <c r="D22" s="266"/>
      <c r="E22" s="266"/>
      <c r="F22" s="266"/>
    </row>
    <row r="23" spans="1:7" ht="38.25" customHeight="1">
      <c r="A23" s="693"/>
      <c r="B23" s="694" t="s">
        <v>644</v>
      </c>
      <c r="C23" s="695" t="s">
        <v>645</v>
      </c>
      <c r="D23" s="694" t="s">
        <v>495</v>
      </c>
      <c r="E23" s="695" t="s">
        <v>381</v>
      </c>
    </row>
    <row r="24" spans="1:7" ht="39" customHeight="1" thickBot="1">
      <c r="A24" s="696" t="s">
        <v>381</v>
      </c>
      <c r="B24" s="697">
        <v>18090.03</v>
      </c>
      <c r="C24" s="698">
        <v>9189.07</v>
      </c>
      <c r="D24" s="697">
        <v>3807.93</v>
      </c>
      <c r="E24" s="699">
        <v>31087.03</v>
      </c>
      <c r="F24" s="490"/>
      <c r="G24" s="490"/>
    </row>
    <row r="25" spans="1:7">
      <c r="D25"/>
      <c r="E25"/>
      <c r="F25"/>
      <c r="G25"/>
    </row>
    <row r="26" spans="1:7">
      <c r="A26" s="219" t="s">
        <v>346</v>
      </c>
      <c r="D26"/>
      <c r="E26"/>
      <c r="F26"/>
      <c r="G26"/>
    </row>
    <row r="27" spans="1:7">
      <c r="D27"/>
      <c r="E27"/>
      <c r="F27"/>
      <c r="G27"/>
    </row>
    <row r="28" spans="1:7">
      <c r="A28" s="3" t="s">
        <v>1869</v>
      </c>
      <c r="D28"/>
      <c r="E28"/>
      <c r="F28"/>
      <c r="G28"/>
    </row>
    <row r="29" spans="1:7">
      <c r="A29" s="3" t="s">
        <v>1151</v>
      </c>
      <c r="D29"/>
      <c r="E29"/>
      <c r="F29"/>
      <c r="G29"/>
    </row>
    <row r="30" spans="1:7">
      <c r="A30" s="3" t="s">
        <v>1152</v>
      </c>
      <c r="D30"/>
      <c r="E30"/>
      <c r="F30"/>
      <c r="G30"/>
    </row>
    <row r="31" spans="1:7">
      <c r="D31"/>
      <c r="E31"/>
      <c r="F31"/>
      <c r="G31"/>
    </row>
    <row r="32" spans="1:7">
      <c r="A32" s="3" t="s">
        <v>1153</v>
      </c>
      <c r="D32"/>
      <c r="E32"/>
      <c r="F32"/>
      <c r="G32"/>
    </row>
    <row r="35" spans="1:1">
      <c r="A35" s="367" t="s">
        <v>302</v>
      </c>
    </row>
  </sheetData>
  <mergeCells count="4">
    <mergeCell ref="A1:D1"/>
    <mergeCell ref="A3:E3"/>
    <mergeCell ref="A16:E16"/>
    <mergeCell ref="A21:E21"/>
  </mergeCells>
  <pageMargins left="0.5" right="0.45" top="0.71" bottom="0.47244094488188981" header="0.47244094488188981" footer="0.51181102362204722"/>
  <pageSetup paperSize="9" scale="77" orientation="portrait" horizontalDpi="1200" verticalDpi="1200"/>
  <headerFooter alignWithMargins="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8CFE4-09BB-A34A-A3B4-0C3A32819C92}">
  <sheetPr>
    <pageSetUpPr fitToPage="1"/>
  </sheetPr>
  <dimension ref="A1:H43"/>
  <sheetViews>
    <sheetView zoomScaleNormal="100" workbookViewId="0"/>
  </sheetViews>
  <sheetFormatPr baseColWidth="10" defaultColWidth="11.3984375" defaultRowHeight="13"/>
  <cols>
    <col min="1" max="1" width="14.796875" style="3" customWidth="1"/>
    <col min="2" max="6" width="21" style="3" customWidth="1"/>
    <col min="7" max="7" width="20.19921875" style="3" customWidth="1"/>
    <col min="8" max="8" width="12.19921875" style="3" customWidth="1"/>
    <col min="9" max="16384" width="11.3984375" style="3"/>
  </cols>
  <sheetData>
    <row r="1" spans="1:8" s="1" customFormat="1" ht="14" customHeight="1"/>
    <row r="2" spans="1:8" s="1" customFormat="1" ht="27.75" customHeight="1">
      <c r="A2" s="2010" t="s">
        <v>980</v>
      </c>
      <c r="B2" s="2011"/>
      <c r="C2" s="2011"/>
      <c r="D2" s="2011"/>
      <c r="E2" s="2011"/>
      <c r="F2" s="311">
        <v>2013</v>
      </c>
    </row>
    <row r="3" spans="1:8" ht="27" customHeight="1">
      <c r="A3" s="224" t="s">
        <v>67</v>
      </c>
      <c r="B3" s="267" t="s">
        <v>495</v>
      </c>
      <c r="C3" s="268" t="s">
        <v>496</v>
      </c>
      <c r="D3" s="267" t="s">
        <v>497</v>
      </c>
      <c r="E3" s="268" t="s">
        <v>381</v>
      </c>
      <c r="F3" s="225" t="s">
        <v>475</v>
      </c>
    </row>
    <row r="4" spans="1:8" ht="15" customHeight="1">
      <c r="A4" s="306"/>
      <c r="B4" s="270"/>
      <c r="C4" s="271"/>
      <c r="D4" s="332"/>
      <c r="E4" s="271"/>
      <c r="F4" s="332" t="s">
        <v>476</v>
      </c>
    </row>
    <row r="5" spans="1:8" ht="15" customHeight="1">
      <c r="A5" s="306"/>
      <c r="B5" s="270" t="s">
        <v>499</v>
      </c>
      <c r="C5" s="271" t="s">
        <v>500</v>
      </c>
      <c r="D5" s="270" t="s">
        <v>501</v>
      </c>
      <c r="E5" s="271"/>
      <c r="F5" s="332" t="s">
        <v>477</v>
      </c>
    </row>
    <row r="6" spans="1:8" ht="24" customHeight="1">
      <c r="A6" s="307"/>
      <c r="B6" s="229"/>
      <c r="C6" s="307"/>
      <c r="D6" s="229"/>
      <c r="E6" s="275"/>
      <c r="F6" s="274"/>
      <c r="H6" s="333"/>
    </row>
    <row r="7" spans="1:8" ht="30" customHeight="1" thickBot="1">
      <c r="A7" s="334" t="s">
        <v>502</v>
      </c>
      <c r="B7" s="335">
        <v>258457.98</v>
      </c>
      <c r="C7" s="336">
        <v>104608.26</v>
      </c>
      <c r="D7" s="335">
        <v>1046648.33</v>
      </c>
      <c r="E7" s="336">
        <v>1409714.57</v>
      </c>
      <c r="F7" s="337">
        <v>1.1657696923949488E-2</v>
      </c>
      <c r="H7" s="338"/>
    </row>
    <row r="8" spans="1:8" ht="20" customHeight="1" thickBot="1">
      <c r="A8" s="339" t="s">
        <v>503</v>
      </c>
      <c r="B8" s="335">
        <v>176771.31</v>
      </c>
      <c r="C8" s="336">
        <v>81599.23</v>
      </c>
      <c r="D8" s="335">
        <v>735454.92</v>
      </c>
      <c r="E8" s="336">
        <v>993825.51</v>
      </c>
      <c r="F8" s="337">
        <v>7.6028568265027229E-3</v>
      </c>
      <c r="H8" s="338"/>
    </row>
    <row r="9" spans="1:8" ht="20" customHeight="1" thickBot="1">
      <c r="A9" s="339" t="s">
        <v>504</v>
      </c>
      <c r="B9" s="335">
        <v>75256.78</v>
      </c>
      <c r="C9" s="336">
        <v>35544.75</v>
      </c>
      <c r="D9" s="335">
        <v>278198.28000000003</v>
      </c>
      <c r="E9" s="336">
        <v>388999.75</v>
      </c>
      <c r="F9" s="337">
        <v>1.0103744472567032E-2</v>
      </c>
      <c r="H9" s="338"/>
    </row>
    <row r="10" spans="1:8" ht="20" customHeight="1" thickBot="1">
      <c r="A10" s="339" t="s">
        <v>505</v>
      </c>
      <c r="B10" s="335">
        <v>6919.9</v>
      </c>
      <c r="C10" s="336">
        <v>3163.77</v>
      </c>
      <c r="D10" s="335">
        <v>25821.59</v>
      </c>
      <c r="E10" s="336">
        <v>35905.230000000003</v>
      </c>
      <c r="F10" s="337">
        <v>4.0738767685833009E-3</v>
      </c>
      <c r="H10" s="338"/>
    </row>
    <row r="11" spans="1:8" ht="20" customHeight="1" thickBot="1">
      <c r="A11" s="339" t="s">
        <v>506</v>
      </c>
      <c r="B11" s="335">
        <v>28753.72</v>
      </c>
      <c r="C11" s="336">
        <v>12812.87</v>
      </c>
      <c r="D11" s="335">
        <v>109502.12</v>
      </c>
      <c r="E11" s="336">
        <v>151068.74</v>
      </c>
      <c r="F11" s="337">
        <v>1.2701067953699689E-2</v>
      </c>
      <c r="H11" s="338"/>
    </row>
    <row r="12" spans="1:8" ht="20" customHeight="1" thickBot="1">
      <c r="A12" s="339" t="s">
        <v>507</v>
      </c>
      <c r="B12" s="335">
        <v>7172.22</v>
      </c>
      <c r="C12" s="336">
        <v>3371.54</v>
      </c>
      <c r="D12" s="335">
        <v>26350.71</v>
      </c>
      <c r="E12" s="336">
        <v>36894.47</v>
      </c>
      <c r="F12" s="337">
        <v>9.519637415942736E-3</v>
      </c>
      <c r="H12" s="338"/>
    </row>
    <row r="13" spans="1:8" ht="20" customHeight="1" thickBot="1">
      <c r="A13" s="339" t="s">
        <v>508</v>
      </c>
      <c r="B13" s="335">
        <v>7261.19</v>
      </c>
      <c r="C13" s="336">
        <v>3603.85</v>
      </c>
      <c r="D13" s="335">
        <v>30526.73</v>
      </c>
      <c r="E13" s="336">
        <v>41391.78</v>
      </c>
      <c r="F13" s="337">
        <v>5.0280808164199099E-3</v>
      </c>
      <c r="H13" s="338"/>
    </row>
    <row r="14" spans="1:8" ht="20" customHeight="1" thickBot="1">
      <c r="A14" s="339" t="s">
        <v>509</v>
      </c>
      <c r="B14" s="335">
        <v>7117.51</v>
      </c>
      <c r="C14" s="336">
        <v>3679.64</v>
      </c>
      <c r="D14" s="335">
        <v>28917.87</v>
      </c>
      <c r="E14" s="336">
        <v>39715.019999999997</v>
      </c>
      <c r="F14" s="337">
        <v>2.7348908139273867E-3</v>
      </c>
      <c r="H14" s="338"/>
    </row>
    <row r="15" spans="1:8" ht="20" customHeight="1" thickBot="1">
      <c r="A15" s="339" t="s">
        <v>510</v>
      </c>
      <c r="B15" s="335">
        <v>22138.35</v>
      </c>
      <c r="C15" s="336">
        <v>8981.1200000000008</v>
      </c>
      <c r="D15" s="335">
        <v>86442.15</v>
      </c>
      <c r="E15" s="336">
        <v>117561.63</v>
      </c>
      <c r="F15" s="337">
        <v>1.6800852938436743E-2</v>
      </c>
      <c r="H15" s="338"/>
    </row>
    <row r="16" spans="1:8" ht="20" customHeight="1" thickBot="1">
      <c r="A16" s="339" t="s">
        <v>511</v>
      </c>
      <c r="B16" s="335">
        <v>63891.12</v>
      </c>
      <c r="C16" s="336">
        <v>26671.94</v>
      </c>
      <c r="D16" s="335">
        <v>204412.54</v>
      </c>
      <c r="E16" s="336">
        <v>294975.59000000003</v>
      </c>
      <c r="F16" s="337">
        <v>2.224782481450336E-2</v>
      </c>
      <c r="H16" s="338"/>
    </row>
    <row r="17" spans="1:8" ht="20" customHeight="1" thickBot="1">
      <c r="A17" s="339" t="s">
        <v>512</v>
      </c>
      <c r="B17" s="335">
        <v>47106.04</v>
      </c>
      <c r="C17" s="336">
        <v>22792.240000000002</v>
      </c>
      <c r="D17" s="335">
        <v>192169.35</v>
      </c>
      <c r="E17" s="336">
        <v>262067.59</v>
      </c>
      <c r="F17" s="337">
        <v>9.3306266627033955E-3</v>
      </c>
      <c r="H17" s="338"/>
    </row>
    <row r="18" spans="1:8" ht="20" customHeight="1" thickBot="1">
      <c r="A18" s="339" t="s">
        <v>513</v>
      </c>
      <c r="B18" s="335">
        <v>28620.89</v>
      </c>
      <c r="C18" s="336">
        <v>13129.21</v>
      </c>
      <c r="D18" s="335">
        <v>140457.46</v>
      </c>
      <c r="E18" s="336">
        <v>182207.55</v>
      </c>
      <c r="F18" s="337">
        <v>1.0832715227158842E-2</v>
      </c>
      <c r="H18" s="338"/>
    </row>
    <row r="19" spans="1:8" ht="20" customHeight="1" thickBot="1">
      <c r="A19" s="339" t="s">
        <v>514</v>
      </c>
      <c r="B19" s="335">
        <v>49286.61</v>
      </c>
      <c r="C19" s="336">
        <v>21378.09</v>
      </c>
      <c r="D19" s="335">
        <v>205656.78</v>
      </c>
      <c r="E19" s="336">
        <v>276321.46999999997</v>
      </c>
      <c r="F19" s="337">
        <v>4.6353976774543264E-3</v>
      </c>
      <c r="H19" s="338"/>
    </row>
    <row r="20" spans="1:8" ht="20" customHeight="1" thickBot="1">
      <c r="A20" s="339" t="s">
        <v>515</v>
      </c>
      <c r="B20" s="335">
        <v>13672.54</v>
      </c>
      <c r="C20" s="336">
        <v>6767.6</v>
      </c>
      <c r="D20" s="335">
        <v>57701.71</v>
      </c>
      <c r="E20" s="336">
        <v>78141.87</v>
      </c>
      <c r="F20" s="337">
        <v>9.9946231416880253E-3</v>
      </c>
      <c r="H20" s="338"/>
    </row>
    <row r="21" spans="1:8" ht="20" customHeight="1" thickBot="1">
      <c r="A21" s="339" t="s">
        <v>516</v>
      </c>
      <c r="B21" s="335">
        <v>10288.049999999999</v>
      </c>
      <c r="C21" s="336">
        <v>4927.18</v>
      </c>
      <c r="D21" s="335">
        <v>39179.300000000003</v>
      </c>
      <c r="E21" s="336">
        <v>54394.47</v>
      </c>
      <c r="F21" s="337">
        <v>3.6939322747714764E-3</v>
      </c>
      <c r="H21" s="338"/>
    </row>
    <row r="22" spans="1:8" ht="20" customHeight="1" thickBot="1">
      <c r="A22" s="339" t="s">
        <v>517</v>
      </c>
      <c r="B22" s="335">
        <v>3295.49</v>
      </c>
      <c r="C22" s="336">
        <v>1664.39</v>
      </c>
      <c r="D22" s="335">
        <v>10916.39</v>
      </c>
      <c r="E22" s="336">
        <v>15876.26</v>
      </c>
      <c r="F22" s="337">
        <v>-3.7487449799197786E-3</v>
      </c>
      <c r="H22" s="338"/>
    </row>
    <row r="23" spans="1:8" ht="20" customHeight="1" thickBot="1">
      <c r="A23" s="339" t="s">
        <v>518</v>
      </c>
      <c r="B23" s="335">
        <v>95075.26</v>
      </c>
      <c r="C23" s="336">
        <v>46177.74</v>
      </c>
      <c r="D23" s="335">
        <v>348842.69</v>
      </c>
      <c r="E23" s="336">
        <v>490095.69</v>
      </c>
      <c r="F23" s="337">
        <v>8.550384675529616E-3</v>
      </c>
      <c r="H23" s="338"/>
    </row>
    <row r="24" spans="1:8" ht="20" customHeight="1" thickBot="1">
      <c r="A24" s="339" t="s">
        <v>519</v>
      </c>
      <c r="B24" s="335">
        <v>33451.97</v>
      </c>
      <c r="C24" s="336">
        <v>17662.41</v>
      </c>
      <c r="D24" s="335">
        <v>147336.47</v>
      </c>
      <c r="E24" s="336">
        <v>198450.83</v>
      </c>
      <c r="F24" s="337">
        <v>5.4188531078814047E-3</v>
      </c>
      <c r="H24" s="338"/>
    </row>
    <row r="25" spans="1:8" ht="20" customHeight="1" thickBot="1">
      <c r="A25" s="339" t="s">
        <v>520</v>
      </c>
      <c r="B25" s="335">
        <v>120521.21</v>
      </c>
      <c r="C25" s="336">
        <v>53933.74</v>
      </c>
      <c r="D25" s="335">
        <v>460313.12</v>
      </c>
      <c r="E25" s="336">
        <v>634768.07999999996</v>
      </c>
      <c r="F25" s="337">
        <v>1.4374609163286589E-2</v>
      </c>
      <c r="H25" s="338"/>
    </row>
    <row r="26" spans="1:8" ht="20" customHeight="1" thickBot="1">
      <c r="A26" s="339" t="s">
        <v>521</v>
      </c>
      <c r="B26" s="335">
        <v>49726.44</v>
      </c>
      <c r="C26" s="336">
        <v>24214.85</v>
      </c>
      <c r="D26" s="335">
        <v>184574.33</v>
      </c>
      <c r="E26" s="336">
        <v>258515.6</v>
      </c>
      <c r="F26" s="337">
        <v>1.5234470648043653E-2</v>
      </c>
      <c r="H26" s="338"/>
    </row>
    <row r="27" spans="1:8" ht="20" customHeight="1" thickBot="1">
      <c r="A27" s="339" t="s">
        <v>522</v>
      </c>
      <c r="B27" s="335">
        <v>59456.800000000003</v>
      </c>
      <c r="C27" s="336">
        <v>24624.04</v>
      </c>
      <c r="D27" s="335">
        <v>257453.73</v>
      </c>
      <c r="E27" s="336">
        <v>341534.59</v>
      </c>
      <c r="F27" s="337">
        <v>1.3252955751141245E-2</v>
      </c>
      <c r="H27" s="338"/>
    </row>
    <row r="28" spans="1:8" ht="20" customHeight="1" thickBot="1">
      <c r="A28" s="339" t="s">
        <v>523</v>
      </c>
      <c r="B28" s="335">
        <v>151269.5</v>
      </c>
      <c r="C28" s="336">
        <v>61586.15</v>
      </c>
      <c r="D28" s="335">
        <v>516029.06</v>
      </c>
      <c r="E28" s="336">
        <v>728884.68</v>
      </c>
      <c r="F28" s="337">
        <v>1.6641639470571096E-2</v>
      </c>
      <c r="H28" s="338"/>
    </row>
    <row r="29" spans="1:8" ht="20" customHeight="1" thickBot="1">
      <c r="A29" s="339" t="s">
        <v>524</v>
      </c>
      <c r="B29" s="335">
        <v>61510.85</v>
      </c>
      <c r="C29" s="336">
        <v>29205.439999999999</v>
      </c>
      <c r="D29" s="335">
        <v>237580.98</v>
      </c>
      <c r="E29" s="336">
        <v>328297.21999999997</v>
      </c>
      <c r="F29" s="337">
        <v>1.4983452970793223E-2</v>
      </c>
      <c r="H29" s="338"/>
    </row>
    <row r="30" spans="1:8" ht="20" customHeight="1" thickBot="1">
      <c r="A30" s="339" t="s">
        <v>525</v>
      </c>
      <c r="B30" s="335">
        <v>35343.230000000003</v>
      </c>
      <c r="C30" s="336">
        <v>15636.42</v>
      </c>
      <c r="D30" s="335">
        <v>125374.3</v>
      </c>
      <c r="E30" s="336">
        <v>176353.95</v>
      </c>
      <c r="F30" s="337">
        <v>9.8094477568299657E-3</v>
      </c>
      <c r="H30" s="338"/>
    </row>
    <row r="31" spans="1:8" ht="20" customHeight="1" thickBot="1">
      <c r="A31" s="339" t="s">
        <v>526</v>
      </c>
      <c r="B31" s="335">
        <v>88231.62</v>
      </c>
      <c r="C31" s="336">
        <v>35492.69</v>
      </c>
      <c r="D31" s="335">
        <v>308575.90999999997</v>
      </c>
      <c r="E31" s="336">
        <v>432300.26</v>
      </c>
      <c r="F31" s="337">
        <v>1.1519641100037826E-2</v>
      </c>
      <c r="H31" s="338"/>
    </row>
    <row r="32" spans="1:8" ht="20" customHeight="1" thickBot="1">
      <c r="A32" s="234" t="s">
        <v>527</v>
      </c>
      <c r="B32" s="335">
        <v>14661.62</v>
      </c>
      <c r="C32" s="336">
        <v>6437.01</v>
      </c>
      <c r="D32" s="335">
        <v>50614.07</v>
      </c>
      <c r="E32" s="336">
        <v>71712.72</v>
      </c>
      <c r="F32" s="337">
        <v>6.4236895656445327E-3</v>
      </c>
      <c r="H32" s="338"/>
    </row>
    <row r="33" spans="1:8" ht="20" customHeight="1" thickBot="1">
      <c r="A33" s="297" t="s">
        <v>981</v>
      </c>
      <c r="B33" s="335">
        <v>806.67</v>
      </c>
      <c r="C33" s="336">
        <v>493.75</v>
      </c>
      <c r="D33" s="335">
        <v>4652.58</v>
      </c>
      <c r="E33" s="336">
        <v>5953</v>
      </c>
      <c r="F33" s="337">
        <v>0.17067741180588739</v>
      </c>
      <c r="H33" s="338"/>
    </row>
    <row r="34" spans="1:8" ht="19.75" hidden="1" customHeight="1" thickBot="1">
      <c r="A34" s="234" t="s">
        <v>529</v>
      </c>
      <c r="B34" s="335">
        <v>0</v>
      </c>
      <c r="C34" s="336">
        <v>0</v>
      </c>
      <c r="D34" s="335">
        <v>0</v>
      </c>
      <c r="E34" s="336" t="s">
        <v>537</v>
      </c>
      <c r="F34" s="337" t="s">
        <v>153</v>
      </c>
      <c r="H34" s="338"/>
    </row>
    <row r="35" spans="1:8" ht="30" customHeight="1" thickBot="1">
      <c r="A35" s="354" t="s">
        <v>530</v>
      </c>
      <c r="B35" s="355">
        <v>1516064.79</v>
      </c>
      <c r="C35" s="356">
        <v>670159.94999999995</v>
      </c>
      <c r="D35" s="355">
        <v>5859703.4900000002</v>
      </c>
      <c r="E35" s="356">
        <v>8045928.2400000002</v>
      </c>
      <c r="F35" s="357">
        <v>1.1639174705699196E-2</v>
      </c>
      <c r="H35" s="338"/>
    </row>
    <row r="36" spans="1:8" ht="20" customHeight="1">
      <c r="A36" s="189" t="s">
        <v>346</v>
      </c>
      <c r="B36" s="189"/>
      <c r="C36" s="189"/>
      <c r="D36" s="189"/>
      <c r="E36" s="189"/>
      <c r="F36" s="189"/>
      <c r="H36" s="333"/>
    </row>
    <row r="37" spans="1:8">
      <c r="F37" s="492"/>
    </row>
    <row r="38" spans="1:8">
      <c r="A38" s="219" t="s">
        <v>982</v>
      </c>
      <c r="F38" s="492"/>
    </row>
    <row r="39" spans="1:8" ht="11.25" customHeight="1">
      <c r="A39" s="219"/>
      <c r="B39" s="219"/>
      <c r="C39" s="219"/>
      <c r="D39" s="219"/>
      <c r="E39" s="219"/>
      <c r="F39" s="219"/>
      <c r="H39" s="333"/>
    </row>
    <row r="40" spans="1:8" ht="14.25" customHeight="1">
      <c r="A40" s="219" t="s">
        <v>983</v>
      </c>
      <c r="B40" s="219"/>
      <c r="C40" s="219"/>
      <c r="D40" s="219"/>
      <c r="E40" s="219"/>
      <c r="F40" s="219"/>
      <c r="H40" s="333"/>
    </row>
    <row r="41" spans="1:8" ht="12" customHeight="1">
      <c r="A41" s="543"/>
    </row>
    <row r="42" spans="1:8" ht="12" customHeight="1"/>
    <row r="43" spans="1:8" ht="12" customHeight="1">
      <c r="A43" s="219" t="s">
        <v>302</v>
      </c>
    </row>
  </sheetData>
  <mergeCells count="1">
    <mergeCell ref="A2:E2"/>
  </mergeCells>
  <pageMargins left="0.5" right="0.36" top="0.87" bottom="0.49" header="0.51" footer="0.4921259845"/>
  <pageSetup paperSize="9" scale="67" orientation="portrait"/>
  <headerFooter alignWithMargins="0"/>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8046-0A35-F745-BF81-3ED68905576A}">
  <dimension ref="A1:K48"/>
  <sheetViews>
    <sheetView zoomScaleNormal="100" workbookViewId="0">
      <selection activeCell="A37" sqref="A37"/>
    </sheetView>
  </sheetViews>
  <sheetFormatPr baseColWidth="10" defaultColWidth="11.3984375" defaultRowHeight="13"/>
  <cols>
    <col min="1" max="1" width="18.59765625" style="3" customWidth="1"/>
    <col min="2" max="2" width="14.796875" style="369" customWidth="1"/>
    <col min="3" max="3" width="14.796875" style="245" customWidth="1"/>
    <col min="4" max="4" width="16" style="369" customWidth="1"/>
    <col min="5" max="5" width="15.796875" style="245" customWidth="1"/>
    <col min="6" max="6" width="16" style="369" customWidth="1"/>
    <col min="7" max="7" width="14.796875" style="245" customWidth="1"/>
    <col min="8" max="8" width="7.3984375" style="3" customWidth="1"/>
    <col min="9" max="9" width="8" style="3" customWidth="1"/>
    <col min="10" max="10" width="7.796875" style="3" customWidth="1"/>
    <col min="11" max="11" width="9" style="3" customWidth="1"/>
    <col min="12" max="16384" width="11.3984375" style="3"/>
  </cols>
  <sheetData>
    <row r="1" spans="1:11" s="1" customFormat="1" ht="18.75" customHeight="1">
      <c r="A1" s="631"/>
      <c r="B1" s="632"/>
      <c r="C1" s="221"/>
      <c r="D1" s="358"/>
      <c r="E1" s="221"/>
      <c r="F1" s="358"/>
      <c r="G1" s="221"/>
    </row>
    <row r="2" spans="1:11" s="1" customFormat="1" ht="27" customHeight="1">
      <c r="A2" s="2039" t="s">
        <v>1214</v>
      </c>
      <c r="B2" s="2011"/>
      <c r="C2" s="2011"/>
      <c r="D2" s="2011"/>
      <c r="E2" s="2011"/>
      <c r="F2" s="2011"/>
      <c r="G2" s="569">
        <v>2013</v>
      </c>
    </row>
    <row r="3" spans="1:11" ht="27" customHeight="1">
      <c r="A3" s="224" t="s">
        <v>1049</v>
      </c>
      <c r="B3" s="781" t="s">
        <v>1050</v>
      </c>
      <c r="C3" s="305"/>
      <c r="D3" s="781" t="s">
        <v>1051</v>
      </c>
      <c r="E3" s="305"/>
      <c r="F3" s="781" t="s">
        <v>381</v>
      </c>
      <c r="G3" s="305" t="s">
        <v>475</v>
      </c>
    </row>
    <row r="4" spans="1:11" ht="15" customHeight="1">
      <c r="A4" s="306"/>
      <c r="B4" s="614" t="s">
        <v>1003</v>
      </c>
      <c r="C4" s="306" t="s">
        <v>1004</v>
      </c>
      <c r="D4" s="614" t="s">
        <v>1003</v>
      </c>
      <c r="E4" s="306" t="s">
        <v>1004</v>
      </c>
      <c r="F4" s="614"/>
      <c r="G4" s="306" t="s">
        <v>476</v>
      </c>
    </row>
    <row r="5" spans="1:11" ht="15" customHeight="1">
      <c r="A5" s="306"/>
      <c r="B5" s="614"/>
      <c r="C5" s="306"/>
      <c r="D5" s="614"/>
      <c r="E5" s="306"/>
      <c r="F5" s="614"/>
      <c r="G5" s="306" t="s">
        <v>477</v>
      </c>
    </row>
    <row r="6" spans="1:11" ht="19.5" customHeight="1">
      <c r="A6" s="307"/>
      <c r="B6" s="362"/>
      <c r="C6" s="307"/>
      <c r="D6" s="362"/>
      <c r="E6" s="307"/>
      <c r="F6" s="362"/>
      <c r="G6" s="307"/>
    </row>
    <row r="7" spans="1:11" ht="30" customHeight="1" thickBot="1">
      <c r="A7" s="334" t="s">
        <v>1052</v>
      </c>
      <c r="B7" s="287">
        <v>233740.71</v>
      </c>
      <c r="C7" s="308">
        <v>5.8790561594618131E-2</v>
      </c>
      <c r="D7" s="287">
        <v>221151.21</v>
      </c>
      <c r="E7" s="308">
        <v>5.4335465876295487E-2</v>
      </c>
      <c r="F7" s="287">
        <v>454891.86</v>
      </c>
      <c r="G7" s="308">
        <v>1.6121982924824356E-2</v>
      </c>
      <c r="I7" s="639"/>
      <c r="J7" s="639"/>
      <c r="K7" s="639"/>
    </row>
    <row r="8" spans="1:11" ht="20" customHeight="1" thickBot="1">
      <c r="A8" s="339" t="s">
        <v>1053</v>
      </c>
      <c r="B8" s="287">
        <v>201180.19</v>
      </c>
      <c r="C8" s="308">
        <v>5.0600925922625883E-2</v>
      </c>
      <c r="D8" s="287">
        <v>191377.39</v>
      </c>
      <c r="E8" s="308">
        <v>4.7020224957573117E-2</v>
      </c>
      <c r="F8" s="287">
        <v>392557.6</v>
      </c>
      <c r="G8" s="308">
        <v>1.286513784400619E-2</v>
      </c>
      <c r="I8" s="639"/>
      <c r="J8" s="639"/>
      <c r="K8" s="639"/>
    </row>
    <row r="9" spans="1:11" ht="20" customHeight="1" thickBot="1">
      <c r="A9" s="339" t="s">
        <v>1054</v>
      </c>
      <c r="B9" s="287">
        <v>209232.28</v>
      </c>
      <c r="C9" s="308">
        <v>5.2626190982830452E-2</v>
      </c>
      <c r="D9" s="287">
        <v>198252.64</v>
      </c>
      <c r="E9" s="308">
        <v>4.8709430780891926E-2</v>
      </c>
      <c r="F9" s="287">
        <v>407484.89</v>
      </c>
      <c r="G9" s="308">
        <v>-9.8937033489260983E-3</v>
      </c>
      <c r="I9" s="639"/>
      <c r="J9" s="639"/>
      <c r="K9" s="639"/>
    </row>
    <row r="10" spans="1:11" ht="20" customHeight="1" thickBot="1">
      <c r="A10" s="339" t="s">
        <v>1055</v>
      </c>
      <c r="B10" s="287">
        <v>134039.64000000001</v>
      </c>
      <c r="C10" s="308">
        <v>3.3713706574864263E-2</v>
      </c>
      <c r="D10" s="287">
        <v>127090.74</v>
      </c>
      <c r="E10" s="308">
        <v>3.1225398072491407E-2</v>
      </c>
      <c r="F10" s="287">
        <v>261130.38</v>
      </c>
      <c r="G10" s="308">
        <v>-3.6484887056415748E-3</v>
      </c>
      <c r="I10" s="639"/>
      <c r="J10" s="639"/>
      <c r="K10" s="639"/>
    </row>
    <row r="11" spans="1:11" ht="20" customHeight="1" thickBot="1">
      <c r="A11" s="640" t="s">
        <v>1056</v>
      </c>
      <c r="B11" s="644">
        <v>778192.79</v>
      </c>
      <c r="C11" s="782">
        <v>0.19573137752932612</v>
      </c>
      <c r="D11" s="644">
        <v>737871.97</v>
      </c>
      <c r="E11" s="782">
        <v>0.18129051723031461</v>
      </c>
      <c r="F11" s="644">
        <v>1516064.78</v>
      </c>
      <c r="G11" s="782">
        <v>4.7554847761924583E-3</v>
      </c>
      <c r="I11" s="639"/>
      <c r="J11" s="639"/>
      <c r="K11" s="639"/>
    </row>
    <row r="12" spans="1:11" ht="20" customHeight="1" thickBot="1">
      <c r="A12" s="339" t="s">
        <v>1057</v>
      </c>
      <c r="B12" s="287">
        <v>90506.26</v>
      </c>
      <c r="C12" s="308">
        <v>2.2764172544990229E-2</v>
      </c>
      <c r="D12" s="287">
        <v>87401.79</v>
      </c>
      <c r="E12" s="308">
        <v>2.1474071871784666E-2</v>
      </c>
      <c r="F12" s="287">
        <v>177908.02</v>
      </c>
      <c r="G12" s="308">
        <v>-2.20025757718685E-2</v>
      </c>
      <c r="I12" s="639"/>
      <c r="J12" s="639"/>
      <c r="K12" s="639"/>
    </row>
    <row r="13" spans="1:11" ht="20" customHeight="1" thickBot="1">
      <c r="A13" s="339" t="s">
        <v>1058</v>
      </c>
      <c r="B13" s="287">
        <v>249226.67</v>
      </c>
      <c r="C13" s="308">
        <v>6.2685596760857651E-2</v>
      </c>
      <c r="D13" s="287">
        <v>243029.19</v>
      </c>
      <c r="E13" s="308">
        <v>5.9710748406887455E-2</v>
      </c>
      <c r="F13" s="287">
        <v>492255.87</v>
      </c>
      <c r="G13" s="308">
        <v>1.1151642282745405E-2</v>
      </c>
      <c r="I13" s="639"/>
      <c r="J13" s="639"/>
      <c r="K13" s="639"/>
    </row>
    <row r="14" spans="1:11" ht="20" customHeight="1" thickBot="1">
      <c r="A14" s="640" t="s">
        <v>1059</v>
      </c>
      <c r="B14" s="644">
        <v>339732.91</v>
      </c>
      <c r="C14" s="782">
        <v>8.5449764275439474E-2</v>
      </c>
      <c r="D14" s="644">
        <v>330430.96000000002</v>
      </c>
      <c r="E14" s="782">
        <v>8.1184815364797505E-2</v>
      </c>
      <c r="F14" s="644">
        <v>670163.89</v>
      </c>
      <c r="G14" s="782">
        <v>2.1330494072532712E-3</v>
      </c>
      <c r="I14" s="639"/>
      <c r="J14" s="639"/>
      <c r="K14" s="639"/>
    </row>
    <row r="15" spans="1:11" ht="20" customHeight="1" thickBot="1">
      <c r="A15" s="339" t="s">
        <v>1060</v>
      </c>
      <c r="B15" s="287">
        <v>272299.09999999998</v>
      </c>
      <c r="C15" s="308">
        <v>6.8488784049253043E-2</v>
      </c>
      <c r="D15" s="287">
        <v>265121.53000000003</v>
      </c>
      <c r="E15" s="308">
        <v>6.5138697845633545E-2</v>
      </c>
      <c r="F15" s="287">
        <v>537420.66</v>
      </c>
      <c r="G15" s="308">
        <v>1.0106617222088105E-2</v>
      </c>
      <c r="I15" s="639"/>
      <c r="J15" s="639"/>
      <c r="K15" s="639"/>
    </row>
    <row r="16" spans="1:11" ht="20" customHeight="1" thickBot="1">
      <c r="A16" s="339" t="s">
        <v>1061</v>
      </c>
      <c r="B16" s="287">
        <v>285522.78999999998</v>
      </c>
      <c r="C16" s="308">
        <v>7.1814812114510213E-2</v>
      </c>
      <c r="D16" s="287">
        <v>278913.89</v>
      </c>
      <c r="E16" s="308">
        <v>6.8527394231846325E-2</v>
      </c>
      <c r="F16" s="287">
        <v>564436.66</v>
      </c>
      <c r="G16" s="308">
        <v>2.4420106347284261E-2</v>
      </c>
      <c r="I16" s="639"/>
      <c r="J16" s="639"/>
      <c r="K16" s="639"/>
    </row>
    <row r="17" spans="1:11" ht="20" customHeight="1" thickBot="1">
      <c r="A17" s="339" t="s">
        <v>1062</v>
      </c>
      <c r="B17" s="287">
        <v>281300.08</v>
      </c>
      <c r="C17" s="308">
        <v>7.0752714320971341E-2</v>
      </c>
      <c r="D17" s="287">
        <v>276753.69</v>
      </c>
      <c r="E17" s="308">
        <v>6.7996646634372285E-2</v>
      </c>
      <c r="F17" s="287">
        <v>558053.78</v>
      </c>
      <c r="G17" s="308">
        <v>3.8744560464719145E-3</v>
      </c>
      <c r="I17" s="639"/>
      <c r="J17" s="639"/>
      <c r="K17" s="639"/>
    </row>
    <row r="18" spans="1:11" ht="20" customHeight="1" thickBot="1">
      <c r="A18" s="339" t="s">
        <v>1063</v>
      </c>
      <c r="B18" s="287">
        <v>310782.14</v>
      </c>
      <c r="C18" s="308">
        <v>7.8168054440226675E-2</v>
      </c>
      <c r="D18" s="287">
        <v>306102.46999999997</v>
      </c>
      <c r="E18" s="308">
        <v>7.5207457889716098E-2</v>
      </c>
      <c r="F18" s="287">
        <v>616884.64</v>
      </c>
      <c r="G18" s="308">
        <v>-1.279797112369364E-2</v>
      </c>
      <c r="I18" s="639"/>
      <c r="J18" s="639"/>
      <c r="K18" s="639"/>
    </row>
    <row r="19" spans="1:11" ht="20" customHeight="1" thickBot="1">
      <c r="A19" s="339" t="s">
        <v>1064</v>
      </c>
      <c r="B19" s="287">
        <v>338021.95</v>
      </c>
      <c r="C19" s="308">
        <v>8.5019422897311861E-2</v>
      </c>
      <c r="D19" s="287">
        <v>328492.77</v>
      </c>
      <c r="E19" s="308">
        <v>8.0708614232518933E-2</v>
      </c>
      <c r="F19" s="287">
        <v>666514.71</v>
      </c>
      <c r="G19" s="308">
        <v>9.7295023905291725E-3</v>
      </c>
      <c r="I19" s="639"/>
      <c r="J19" s="639"/>
      <c r="K19" s="639"/>
    </row>
    <row r="20" spans="1:11" ht="20" customHeight="1" thickBot="1">
      <c r="A20" s="339" t="s">
        <v>1065</v>
      </c>
      <c r="B20" s="287">
        <v>301957.82</v>
      </c>
      <c r="C20" s="308">
        <v>7.594855776593909E-2</v>
      </c>
      <c r="D20" s="287">
        <v>295113.38</v>
      </c>
      <c r="E20" s="308">
        <v>7.2507507368502408E-2</v>
      </c>
      <c r="F20" s="287">
        <v>597071.21</v>
      </c>
      <c r="G20" s="308">
        <v>3.1861018503364577E-2</v>
      </c>
      <c r="I20" s="639"/>
      <c r="J20" s="639"/>
      <c r="K20" s="639"/>
    </row>
    <row r="21" spans="1:11" ht="20" customHeight="1" thickBot="1">
      <c r="A21" s="339" t="s">
        <v>1066</v>
      </c>
      <c r="B21" s="287">
        <v>255247.88</v>
      </c>
      <c r="C21" s="308">
        <v>6.4200054030107548E-2</v>
      </c>
      <c r="D21" s="287">
        <v>252166.81</v>
      </c>
      <c r="E21" s="308">
        <v>6.1955804356165572E-2</v>
      </c>
      <c r="F21" s="287">
        <v>507414.72</v>
      </c>
      <c r="G21" s="308">
        <v>2.5512967461643801E-2</v>
      </c>
      <c r="I21" s="639"/>
      <c r="J21" s="639"/>
      <c r="K21" s="639"/>
    </row>
    <row r="22" spans="1:11" ht="20" customHeight="1" thickBot="1">
      <c r="A22" s="339" t="s">
        <v>1067</v>
      </c>
      <c r="B22" s="287">
        <v>222700.16</v>
      </c>
      <c r="C22" s="308">
        <v>5.6013637819493721E-2</v>
      </c>
      <c r="D22" s="287">
        <v>229582.1</v>
      </c>
      <c r="E22" s="308">
        <v>5.6406882695139937E-2</v>
      </c>
      <c r="F22" s="287">
        <v>452282.3</v>
      </c>
      <c r="G22" s="308">
        <v>2.5047196369102089E-3</v>
      </c>
      <c r="I22" s="639"/>
      <c r="J22" s="639"/>
      <c r="K22" s="639"/>
    </row>
    <row r="23" spans="1:11" ht="20" customHeight="1" thickBot="1">
      <c r="A23" s="339" t="s">
        <v>1068</v>
      </c>
      <c r="B23" s="287">
        <v>200058.74</v>
      </c>
      <c r="C23" s="308">
        <v>5.0318858347404238E-2</v>
      </c>
      <c r="D23" s="287">
        <v>213932.21</v>
      </c>
      <c r="E23" s="308">
        <v>5.2561802832982375E-2</v>
      </c>
      <c r="F23" s="287">
        <v>413991</v>
      </c>
      <c r="G23" s="308">
        <v>2.215169386809716E-2</v>
      </c>
      <c r="I23" s="639"/>
      <c r="J23" s="639"/>
      <c r="K23" s="639"/>
    </row>
    <row r="24" spans="1:11" ht="20" customHeight="1" thickBot="1">
      <c r="A24" s="339" t="s">
        <v>1069</v>
      </c>
      <c r="B24" s="287">
        <v>148174.29</v>
      </c>
      <c r="C24" s="308">
        <v>3.7268859682097359E-2</v>
      </c>
      <c r="D24" s="287">
        <v>172267.31</v>
      </c>
      <c r="E24" s="308">
        <v>4.2324998104718563E-2</v>
      </c>
      <c r="F24" s="287">
        <v>320441.63</v>
      </c>
      <c r="G24" s="308">
        <v>4.4415427258060941E-2</v>
      </c>
      <c r="I24" s="639"/>
      <c r="J24" s="639"/>
      <c r="K24" s="639"/>
    </row>
    <row r="25" spans="1:11" ht="20" customHeight="1" thickBot="1">
      <c r="A25" s="339" t="s">
        <v>1070</v>
      </c>
      <c r="B25" s="287">
        <v>111156.22</v>
      </c>
      <c r="C25" s="308">
        <v>2.7958059161088903E-2</v>
      </c>
      <c r="D25" s="287">
        <v>144583.76999999999</v>
      </c>
      <c r="E25" s="308">
        <v>3.5523325877806204E-2</v>
      </c>
      <c r="F25" s="287">
        <v>255739.96</v>
      </c>
      <c r="G25" s="308">
        <v>7.4516134394869375E-3</v>
      </c>
      <c r="I25" s="639"/>
      <c r="J25" s="639"/>
      <c r="K25" s="639"/>
    </row>
    <row r="26" spans="1:11" ht="20" customHeight="1" thickBot="1">
      <c r="A26" s="339" t="s">
        <v>1071</v>
      </c>
      <c r="B26" s="287">
        <v>76143.98</v>
      </c>
      <c r="C26" s="308">
        <v>1.9151765844509377E-2</v>
      </c>
      <c r="D26" s="287">
        <v>118676.41</v>
      </c>
      <c r="E26" s="308">
        <v>2.9158049941830536E-2</v>
      </c>
      <c r="F26" s="287">
        <v>194820.43</v>
      </c>
      <c r="G26" s="308">
        <v>2.0329344323313719E-2</v>
      </c>
      <c r="I26" s="639"/>
      <c r="J26" s="639"/>
      <c r="K26" s="639"/>
    </row>
    <row r="27" spans="1:11" ht="20" customHeight="1" thickBot="1">
      <c r="A27" s="339" t="s">
        <v>1072</v>
      </c>
      <c r="B27" s="287">
        <v>39302.67</v>
      </c>
      <c r="C27" s="308">
        <v>9.8854240729736396E-3</v>
      </c>
      <c r="D27" s="287">
        <v>78344.89</v>
      </c>
      <c r="E27" s="308">
        <v>1.9248848320464192E-2</v>
      </c>
      <c r="F27" s="287">
        <v>117647.55</v>
      </c>
      <c r="G27" s="308">
        <v>1.5465345714241324E-2</v>
      </c>
      <c r="I27" s="639"/>
      <c r="J27" s="639"/>
      <c r="K27" s="639"/>
    </row>
    <row r="28" spans="1:11" ht="20" customHeight="1" thickBot="1">
      <c r="A28" s="339" t="s">
        <v>1073</v>
      </c>
      <c r="B28" s="287">
        <v>13001.47</v>
      </c>
      <c r="C28" s="308">
        <v>3.2701351974826283E-3</v>
      </c>
      <c r="D28" s="287">
        <v>33514.47</v>
      </c>
      <c r="E28" s="308">
        <v>8.2342951731854824E-3</v>
      </c>
      <c r="F28" s="287">
        <v>46515.96</v>
      </c>
      <c r="G28" s="308">
        <v>5.1956510529977087E-2</v>
      </c>
      <c r="I28" s="639"/>
      <c r="J28" s="639"/>
      <c r="K28" s="639"/>
    </row>
    <row r="29" spans="1:11" ht="20" customHeight="1" thickBot="1">
      <c r="A29" s="339" t="s">
        <v>1074</v>
      </c>
      <c r="B29" s="287">
        <v>2043.29</v>
      </c>
      <c r="C29" s="308">
        <v>5.1392915936923135E-4</v>
      </c>
      <c r="D29" s="287">
        <v>7331.68</v>
      </c>
      <c r="E29" s="308">
        <v>1.8013478129100813E-3</v>
      </c>
      <c r="F29" s="287">
        <v>9375.01</v>
      </c>
      <c r="G29" s="308">
        <v>-9.1213584588179936E-3</v>
      </c>
      <c r="I29" s="639"/>
      <c r="J29" s="639"/>
      <c r="K29" s="639"/>
    </row>
    <row r="30" spans="1:11" ht="20" customHeight="1" thickBot="1">
      <c r="A30" s="339" t="s">
        <v>1075</v>
      </c>
      <c r="B30" s="287">
        <v>181.96</v>
      </c>
      <c r="C30" s="308">
        <v>4.5766655657701717E-5</v>
      </c>
      <c r="D30" s="287">
        <v>907.55</v>
      </c>
      <c r="E30" s="308">
        <v>2.2297934547150779E-4</v>
      </c>
      <c r="F30" s="287">
        <v>1089.51</v>
      </c>
      <c r="G30" s="308">
        <v>-6.3204552916712843E-3</v>
      </c>
      <c r="I30" s="639"/>
      <c r="J30" s="639"/>
      <c r="K30" s="639"/>
    </row>
    <row r="31" spans="1:11" ht="20" customHeight="1" thickBot="1">
      <c r="A31" s="640" t="s">
        <v>1076</v>
      </c>
      <c r="B31" s="644">
        <v>2857894.64</v>
      </c>
      <c r="C31" s="782">
        <v>0.71881886071043866</v>
      </c>
      <c r="D31" s="644">
        <v>3001805.02</v>
      </c>
      <c r="E31" s="782">
        <v>0.73752467477569983</v>
      </c>
      <c r="F31" s="644">
        <v>5859699.6299999999</v>
      </c>
      <c r="G31" s="782">
        <v>1.4538245502390712E-2</v>
      </c>
      <c r="I31" s="639"/>
      <c r="J31" s="639"/>
      <c r="K31" s="639"/>
    </row>
    <row r="32" spans="1:11" ht="0.5" customHeight="1" thickBot="1">
      <c r="A32" s="339" t="s">
        <v>529</v>
      </c>
      <c r="B32" s="287">
        <v>0</v>
      </c>
      <c r="C32" s="308">
        <v>0</v>
      </c>
      <c r="D32" s="287">
        <v>0</v>
      </c>
      <c r="E32" s="308">
        <v>0</v>
      </c>
      <c r="F32" s="287" t="s">
        <v>537</v>
      </c>
      <c r="G32" s="308" t="s">
        <v>153</v>
      </c>
      <c r="I32" s="639"/>
      <c r="J32" s="639"/>
      <c r="K32" s="639"/>
    </row>
    <row r="33" spans="1:11" s="200" customFormat="1" ht="21" customHeight="1" thickBot="1">
      <c r="A33" s="354" t="s">
        <v>381</v>
      </c>
      <c r="B33" s="363">
        <v>3975820.33</v>
      </c>
      <c r="C33" s="310">
        <v>1</v>
      </c>
      <c r="D33" s="363">
        <v>4070107.92</v>
      </c>
      <c r="E33" s="310">
        <v>1</v>
      </c>
      <c r="F33" s="363">
        <v>8045928.29</v>
      </c>
      <c r="G33" s="310">
        <v>1.1639222967195289E-2</v>
      </c>
      <c r="I33" s="646"/>
      <c r="J33" s="646"/>
      <c r="K33" s="646"/>
    </row>
    <row r="34" spans="1:11" ht="20" customHeight="1">
      <c r="A34" s="189" t="s">
        <v>346</v>
      </c>
      <c r="B34" s="365"/>
      <c r="C34" s="301"/>
      <c r="D34" s="365"/>
      <c r="E34" s="301"/>
      <c r="F34" s="365"/>
      <c r="G34" s="301"/>
    </row>
    <row r="35" spans="1:11" ht="12.75" customHeight="1">
      <c r="A35" s="219"/>
      <c r="B35" s="366"/>
      <c r="C35" s="218"/>
      <c r="D35" s="366"/>
      <c r="E35" s="218"/>
      <c r="F35" s="366"/>
      <c r="G35" s="218"/>
    </row>
    <row r="36" spans="1:11" ht="16.5" customHeight="1">
      <c r="A36" s="219" t="s">
        <v>1215</v>
      </c>
      <c r="B36" s="366"/>
      <c r="C36" s="218"/>
      <c r="D36" s="366"/>
      <c r="E36" s="218"/>
      <c r="F36" s="366"/>
      <c r="G36" s="218"/>
    </row>
    <row r="37" spans="1:11" ht="12" customHeight="1">
      <c r="A37" s="219"/>
      <c r="B37" s="366"/>
      <c r="C37" s="218"/>
      <c r="D37" s="366"/>
      <c r="E37" s="218"/>
      <c r="F37" s="366"/>
      <c r="G37" s="218"/>
    </row>
    <row r="38" spans="1:11" ht="14.25" customHeight="1">
      <c r="A38" s="219"/>
      <c r="B38" s="366"/>
      <c r="C38" s="218"/>
      <c r="D38" s="366"/>
      <c r="E38" s="218"/>
      <c r="F38" s="366"/>
      <c r="G38" s="218"/>
    </row>
    <row r="39" spans="1:11" ht="15.75" customHeight="1">
      <c r="A39" s="219" t="s">
        <v>302</v>
      </c>
      <c r="B39" s="366"/>
      <c r="C39" s="218"/>
      <c r="D39" s="366"/>
      <c r="E39" s="218"/>
      <c r="F39" s="366"/>
      <c r="G39" s="218"/>
    </row>
    <row r="40" spans="1:11" ht="18" customHeight="1">
      <c r="A40"/>
    </row>
    <row r="41" spans="1:11" ht="30" customHeight="1"/>
    <row r="42" spans="1:11" ht="30" customHeight="1">
      <c r="I42" s="647"/>
    </row>
    <row r="43" spans="1:11" ht="30" customHeight="1"/>
    <row r="44" spans="1:11" ht="30" customHeight="1"/>
    <row r="45" spans="1:11" ht="30" customHeight="1"/>
    <row r="46" spans="1:11" ht="30" customHeight="1"/>
    <row r="47" spans="1:11" ht="30" customHeight="1"/>
    <row r="48" spans="1:11" ht="30" customHeight="1"/>
  </sheetData>
  <mergeCells count="1">
    <mergeCell ref="A2:F2"/>
  </mergeCells>
  <pageMargins left="0.65" right="0.54" top="0.85" bottom="0.49" header="0.44" footer="0.4921259845"/>
  <pageSetup paperSize="9" scale="80" orientation="portrait"/>
  <headerFooter alignWithMargins="0"/>
  <rowBreaks count="1" manualBreakCount="1">
    <brk id="39" max="16383" man="1"/>
  </rowBreaks>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5DE22-697A-BC4B-A836-F102EACBF257}">
  <sheetPr>
    <pageSetUpPr fitToPage="1"/>
  </sheetPr>
  <dimension ref="A1:I52"/>
  <sheetViews>
    <sheetView zoomScaleNormal="100" workbookViewId="0">
      <selection activeCell="J6" sqref="J6"/>
    </sheetView>
  </sheetViews>
  <sheetFormatPr baseColWidth="10" defaultColWidth="11.3984375" defaultRowHeight="13"/>
  <cols>
    <col min="1" max="1" width="26.796875" style="3" customWidth="1"/>
    <col min="2" max="2" width="20.19921875" style="3" customWidth="1"/>
    <col min="3" max="5" width="15.59765625" style="3" customWidth="1"/>
    <col min="6" max="6" width="14.796875" style="3" customWidth="1"/>
    <col min="7" max="7" width="16.3984375" style="3" customWidth="1"/>
    <col min="8" max="8" width="15.796875" style="3" customWidth="1"/>
    <col min="9" max="9" width="14.59765625" style="3" customWidth="1"/>
    <col min="10" max="16384" width="11.3984375" style="3"/>
  </cols>
  <sheetData>
    <row r="1" spans="1:9" s="1" customFormat="1" ht="14" customHeight="1">
      <c r="A1" s="191"/>
      <c r="B1" s="191"/>
      <c r="C1" s="191"/>
      <c r="D1" s="191"/>
      <c r="E1" s="191"/>
      <c r="F1" s="191"/>
      <c r="G1" s="191"/>
    </row>
    <row r="2" spans="1:9" s="1" customFormat="1" ht="22.5" customHeight="1">
      <c r="A2" s="464" t="s">
        <v>1202</v>
      </c>
      <c r="B2" s="464"/>
      <c r="C2" s="191"/>
      <c r="D2" s="191"/>
      <c r="E2" s="191"/>
      <c r="F2" s="191"/>
      <c r="G2" s="569"/>
      <c r="H2" s="569">
        <v>2013</v>
      </c>
      <c r="I2" s="569"/>
    </row>
    <row r="3" spans="1:9" s="1" customFormat="1" ht="10.5" customHeight="1">
      <c r="A3" s="570"/>
      <c r="B3" s="570"/>
      <c r="C3" s="571"/>
      <c r="D3" s="571"/>
      <c r="E3" s="571"/>
      <c r="F3" s="571"/>
      <c r="G3" s="771"/>
      <c r="H3" s="771"/>
      <c r="I3" s="198"/>
    </row>
    <row r="4" spans="1:9" s="1" customFormat="1" ht="81.75" customHeight="1">
      <c r="A4" s="572" t="s">
        <v>1008</v>
      </c>
      <c r="B4" s="573"/>
      <c r="C4" s="574" t="s">
        <v>1203</v>
      </c>
      <c r="D4" s="575" t="s">
        <v>1010</v>
      </c>
      <c r="E4" s="574" t="s">
        <v>1204</v>
      </c>
      <c r="F4" s="576" t="s">
        <v>1122</v>
      </c>
      <c r="G4" s="772" t="s">
        <v>1205</v>
      </c>
      <c r="H4" s="773" t="s">
        <v>1206</v>
      </c>
    </row>
    <row r="5" spans="1:9" ht="8.25" customHeight="1">
      <c r="A5" s="577"/>
      <c r="B5" s="544"/>
      <c r="C5" s="545"/>
      <c r="D5" s="544"/>
      <c r="E5" s="545"/>
      <c r="F5" s="544"/>
      <c r="G5" s="774"/>
      <c r="H5" s="775"/>
    </row>
    <row r="6" spans="1:9" ht="48.75" customHeight="1" thickBot="1">
      <c r="A6" s="579" t="s">
        <v>1012</v>
      </c>
      <c r="B6" s="580" t="s">
        <v>1013</v>
      </c>
      <c r="C6" s="581">
        <v>514305.03</v>
      </c>
      <c r="D6" s="389">
        <v>124582.75</v>
      </c>
      <c r="E6" s="581">
        <v>1272335.28</v>
      </c>
      <c r="F6" s="389">
        <v>1911223.03</v>
      </c>
      <c r="G6" s="776">
        <v>1244189.17</v>
      </c>
      <c r="H6" s="777">
        <v>1396918.03</v>
      </c>
    </row>
    <row r="7" spans="1:9" ht="19.5" customHeight="1" thickBot="1">
      <c r="A7" s="234"/>
      <c r="B7" s="582"/>
      <c r="C7" s="583"/>
      <c r="D7" s="584"/>
      <c r="E7" s="583"/>
      <c r="F7" s="584"/>
      <c r="G7" s="593"/>
      <c r="H7" s="594"/>
    </row>
    <row r="8" spans="1:9" ht="21" customHeight="1" thickBot="1">
      <c r="A8" s="585" t="s">
        <v>1014</v>
      </c>
      <c r="B8" s="586" t="s">
        <v>1015</v>
      </c>
      <c r="C8" s="583">
        <v>2771.22</v>
      </c>
      <c r="D8" s="584">
        <v>9826.0300000000007</v>
      </c>
      <c r="E8" s="583">
        <v>512626.77</v>
      </c>
      <c r="F8" s="584">
        <v>525224.06000000006</v>
      </c>
      <c r="G8" s="593">
        <v>272503.52</v>
      </c>
      <c r="H8" s="594">
        <v>522452.80000000005</v>
      </c>
    </row>
    <row r="9" spans="1:9" ht="20" customHeight="1" thickBot="1">
      <c r="A9" s="587" t="s">
        <v>1016</v>
      </c>
      <c r="B9" s="586" t="s">
        <v>1017</v>
      </c>
      <c r="C9" s="583">
        <v>13005.05</v>
      </c>
      <c r="D9" s="584">
        <v>6834.68</v>
      </c>
      <c r="E9" s="583">
        <v>81365.64</v>
      </c>
      <c r="F9" s="584">
        <v>101205.32</v>
      </c>
      <c r="G9" s="593">
        <v>54152.34</v>
      </c>
      <c r="H9" s="594">
        <v>88200.320000000007</v>
      </c>
    </row>
    <row r="10" spans="1:9" ht="20" customHeight="1" thickBot="1">
      <c r="A10" s="587" t="s">
        <v>1018</v>
      </c>
      <c r="B10" s="586" t="s">
        <v>1019</v>
      </c>
      <c r="C10" s="583">
        <v>5353.61</v>
      </c>
      <c r="D10" s="584">
        <v>18682.95</v>
      </c>
      <c r="E10" s="583">
        <v>240277.95</v>
      </c>
      <c r="F10" s="584">
        <v>264314.59000000003</v>
      </c>
      <c r="G10" s="593">
        <v>117546.08</v>
      </c>
      <c r="H10" s="594">
        <v>258960.90000000002</v>
      </c>
    </row>
    <row r="11" spans="1:9" ht="20" customHeight="1" thickBot="1">
      <c r="A11" s="587"/>
      <c r="B11" s="586" t="s">
        <v>1020</v>
      </c>
      <c r="C11" s="583">
        <v>9822.49</v>
      </c>
      <c r="D11" s="584">
        <v>3478</v>
      </c>
      <c r="E11" s="583">
        <v>35362.15</v>
      </c>
      <c r="F11" s="584">
        <v>48662.63</v>
      </c>
      <c r="G11" s="593">
        <v>25524.89</v>
      </c>
      <c r="H11" s="594">
        <v>38840.15</v>
      </c>
    </row>
    <row r="12" spans="1:9" ht="20" customHeight="1" thickBot="1">
      <c r="A12" s="587"/>
      <c r="B12" s="586" t="s">
        <v>1021</v>
      </c>
      <c r="C12" s="583">
        <v>7370.97</v>
      </c>
      <c r="D12" s="584">
        <v>30160.35</v>
      </c>
      <c r="E12" s="583">
        <v>303484.36</v>
      </c>
      <c r="F12" s="584">
        <v>341015.68</v>
      </c>
      <c r="G12" s="593">
        <v>143107.79</v>
      </c>
      <c r="H12" s="594">
        <v>333644.70999999996</v>
      </c>
    </row>
    <row r="13" spans="1:9" ht="20" customHeight="1" thickBot="1">
      <c r="A13" s="587"/>
      <c r="B13" s="586" t="s">
        <v>1022</v>
      </c>
      <c r="C13" s="583">
        <v>10346.31</v>
      </c>
      <c r="D13" s="390" t="s">
        <v>153</v>
      </c>
      <c r="E13" s="588" t="s">
        <v>153</v>
      </c>
      <c r="F13" s="584">
        <v>10346.31</v>
      </c>
      <c r="G13" s="593">
        <v>9555.7099999999991</v>
      </c>
      <c r="H13" s="778" t="s">
        <v>153</v>
      </c>
    </row>
    <row r="14" spans="1:9" ht="20" customHeight="1" thickBot="1">
      <c r="A14" s="589"/>
      <c r="B14" s="586" t="s">
        <v>381</v>
      </c>
      <c r="C14" s="583">
        <v>48669.61</v>
      </c>
      <c r="D14" s="584">
        <v>68982.06</v>
      </c>
      <c r="E14" s="583">
        <v>1173116.94</v>
      </c>
      <c r="F14" s="584">
        <v>1290768.58</v>
      </c>
      <c r="G14" s="593">
        <v>622390.37</v>
      </c>
      <c r="H14" s="594">
        <v>1242099</v>
      </c>
    </row>
    <row r="15" spans="1:9" ht="18.75" customHeight="1" thickBot="1">
      <c r="A15" s="509"/>
      <c r="B15" s="590"/>
      <c r="C15" s="583"/>
      <c r="D15" s="584"/>
      <c r="E15" s="583"/>
      <c r="F15" s="584"/>
      <c r="G15" s="593"/>
      <c r="H15" s="594"/>
    </row>
    <row r="16" spans="1:9" ht="20" customHeight="1" thickBot="1">
      <c r="A16" s="509" t="s">
        <v>988</v>
      </c>
      <c r="B16" s="590"/>
      <c r="C16" s="583">
        <v>18</v>
      </c>
      <c r="D16" s="584">
        <v>99.58</v>
      </c>
      <c r="E16" s="583">
        <v>4713.25</v>
      </c>
      <c r="F16" s="584">
        <v>4830.83</v>
      </c>
      <c r="G16" s="593">
        <v>2555.9899999999998</v>
      </c>
      <c r="H16" s="594">
        <v>4812.83</v>
      </c>
    </row>
    <row r="17" spans="1:8" ht="20.25" customHeight="1" thickBot="1">
      <c r="A17" s="509"/>
      <c r="B17" s="590"/>
      <c r="C17" s="583"/>
      <c r="D17" s="584"/>
      <c r="E17" s="583"/>
      <c r="F17" s="584"/>
      <c r="G17" s="593"/>
      <c r="H17" s="594"/>
    </row>
    <row r="18" spans="1:8" ht="58.5" customHeight="1" thickBot="1">
      <c r="A18" s="585" t="s">
        <v>1157</v>
      </c>
      <c r="B18" s="586" t="s">
        <v>1013</v>
      </c>
      <c r="C18" s="583">
        <v>878577.03</v>
      </c>
      <c r="D18" s="584">
        <v>191302.39999999999</v>
      </c>
      <c r="E18" s="583">
        <v>1265136.58</v>
      </c>
      <c r="F18" s="584">
        <v>2335015.9700000002</v>
      </c>
      <c r="G18" s="593">
        <v>1415358.67</v>
      </c>
      <c r="H18" s="594">
        <v>1456438.98</v>
      </c>
    </row>
    <row r="19" spans="1:8" ht="20" customHeight="1" thickBot="1">
      <c r="A19" s="354"/>
      <c r="B19" s="586" t="s">
        <v>1015</v>
      </c>
      <c r="C19" s="583">
        <v>2702.41</v>
      </c>
      <c r="D19" s="584">
        <v>36414.49</v>
      </c>
      <c r="E19" s="583">
        <v>482362.05</v>
      </c>
      <c r="F19" s="584">
        <v>521478.94</v>
      </c>
      <c r="G19" s="593">
        <v>235703.2</v>
      </c>
      <c r="H19" s="594">
        <v>518776.54</v>
      </c>
    </row>
    <row r="20" spans="1:8" ht="20" customHeight="1" thickBot="1">
      <c r="A20" s="354"/>
      <c r="B20" s="586" t="s">
        <v>1017</v>
      </c>
      <c r="C20" s="583">
        <v>12644.26</v>
      </c>
      <c r="D20" s="584">
        <v>37278.65</v>
      </c>
      <c r="E20" s="583">
        <v>201306.55</v>
      </c>
      <c r="F20" s="584">
        <v>251229.5</v>
      </c>
      <c r="G20" s="593">
        <v>107310.68</v>
      </c>
      <c r="H20" s="594">
        <v>238585.19999999998</v>
      </c>
    </row>
    <row r="21" spans="1:8" ht="20" customHeight="1" thickBot="1">
      <c r="A21" s="354"/>
      <c r="B21" s="586" t="s">
        <v>1019</v>
      </c>
      <c r="C21" s="583">
        <v>10357.15</v>
      </c>
      <c r="D21" s="584">
        <v>89050.2</v>
      </c>
      <c r="E21" s="583">
        <v>551968.39</v>
      </c>
      <c r="F21" s="584">
        <v>651375.67000000004</v>
      </c>
      <c r="G21" s="593">
        <v>234141.85</v>
      </c>
      <c r="H21" s="594">
        <v>641018.59</v>
      </c>
    </row>
    <row r="22" spans="1:8" ht="20" customHeight="1" thickBot="1">
      <c r="A22" s="354"/>
      <c r="B22" s="586" t="s">
        <v>1020</v>
      </c>
      <c r="C22" s="583">
        <v>21354.11</v>
      </c>
      <c r="D22" s="584">
        <v>29929.69</v>
      </c>
      <c r="E22" s="583">
        <v>193609.63</v>
      </c>
      <c r="F22" s="584">
        <v>244893.42</v>
      </c>
      <c r="G22" s="593">
        <v>90213.06</v>
      </c>
      <c r="H22" s="594">
        <v>223539.32</v>
      </c>
    </row>
    <row r="23" spans="1:8" ht="20" customHeight="1" thickBot="1">
      <c r="A23" s="354"/>
      <c r="B23" s="586" t="s">
        <v>1021</v>
      </c>
      <c r="C23" s="583">
        <v>12436.46</v>
      </c>
      <c r="D23" s="584">
        <v>92520.17</v>
      </c>
      <c r="E23" s="583">
        <v>715154.93</v>
      </c>
      <c r="F23" s="584">
        <v>820111.57</v>
      </c>
      <c r="G23" s="593">
        <v>295730.08</v>
      </c>
      <c r="H23" s="594">
        <v>807675.10000000009</v>
      </c>
    </row>
    <row r="24" spans="1:8" ht="20" customHeight="1" thickBot="1">
      <c r="A24" s="354"/>
      <c r="B24" s="586" t="s">
        <v>1022</v>
      </c>
      <c r="C24" s="583">
        <v>15000.71</v>
      </c>
      <c r="D24" s="390" t="s">
        <v>153</v>
      </c>
      <c r="E24" s="588" t="s">
        <v>153</v>
      </c>
      <c r="F24" s="584">
        <v>15000.71</v>
      </c>
      <c r="G24" s="593">
        <v>13022.35</v>
      </c>
      <c r="H24" s="778" t="s">
        <v>153</v>
      </c>
    </row>
    <row r="25" spans="1:8" ht="20" customHeight="1" thickBot="1">
      <c r="A25" s="354"/>
      <c r="B25" s="586" t="s">
        <v>381</v>
      </c>
      <c r="C25" s="583">
        <v>953072.13</v>
      </c>
      <c r="D25" s="584">
        <v>476495.61</v>
      </c>
      <c r="E25" s="583">
        <v>3409538.13</v>
      </c>
      <c r="F25" s="584">
        <v>4839105.8600000003</v>
      </c>
      <c r="G25" s="593">
        <v>2391479.87</v>
      </c>
      <c r="H25" s="594">
        <v>3886033.7399999998</v>
      </c>
    </row>
    <row r="26" spans="1:8" ht="39.75" customHeight="1" thickBot="1">
      <c r="A26" s="591"/>
      <c r="B26" s="592" t="s">
        <v>1207</v>
      </c>
      <c r="C26" s="593">
        <v>122888.8</v>
      </c>
      <c r="D26" s="594">
        <v>64051.07</v>
      </c>
      <c r="E26" s="593">
        <v>426705.36</v>
      </c>
      <c r="F26" s="594">
        <v>613645.23</v>
      </c>
      <c r="G26" s="593">
        <v>290784.25</v>
      </c>
      <c r="H26" s="594">
        <v>490756.43</v>
      </c>
    </row>
    <row r="27" spans="1:8" ht="45" customHeight="1" thickBot="1">
      <c r="A27" s="591"/>
      <c r="B27" s="595" t="s">
        <v>1208</v>
      </c>
      <c r="C27" s="593">
        <v>543620.49</v>
      </c>
      <c r="D27" s="594">
        <v>260204.52</v>
      </c>
      <c r="E27" s="593">
        <v>1984446.23</v>
      </c>
      <c r="F27" s="594">
        <v>2788271.23</v>
      </c>
      <c r="G27" s="593">
        <v>1451197.34</v>
      </c>
      <c r="H27" s="594">
        <v>2244650.75</v>
      </c>
    </row>
    <row r="28" spans="1:8" ht="45" customHeight="1" thickBot="1">
      <c r="A28" s="596"/>
      <c r="B28" s="595" t="s">
        <v>1209</v>
      </c>
      <c r="C28" s="593">
        <v>74495.100000000006</v>
      </c>
      <c r="D28" s="594">
        <v>285193.2</v>
      </c>
      <c r="E28" s="593">
        <v>2144401.5500000003</v>
      </c>
      <c r="F28" s="594">
        <v>2504089.8099999996</v>
      </c>
      <c r="G28" s="593">
        <v>976121.22000000009</v>
      </c>
      <c r="H28" s="594">
        <v>2429594.7500000005</v>
      </c>
    </row>
    <row r="29" spans="1:8" ht="15.75" customHeight="1" thickBot="1">
      <c r="A29" s="597"/>
      <c r="B29" s="598"/>
      <c r="C29" s="583"/>
      <c r="D29" s="584"/>
      <c r="E29" s="583"/>
      <c r="F29" s="584"/>
      <c r="G29" s="593"/>
      <c r="H29" s="594"/>
    </row>
    <row r="30" spans="1:8" ht="27.75" customHeight="1" thickBot="1">
      <c r="A30" s="599" t="s">
        <v>1028</v>
      </c>
      <c r="B30" s="600"/>
      <c r="C30" s="601">
        <v>1516064.78</v>
      </c>
      <c r="D30" s="602">
        <v>670159.96</v>
      </c>
      <c r="E30" s="601">
        <v>5859703.5599999996</v>
      </c>
      <c r="F30" s="602">
        <v>8045928.2999999998</v>
      </c>
      <c r="G30" s="779">
        <v>4260615.38</v>
      </c>
      <c r="H30" s="780">
        <v>6529863.5199999996</v>
      </c>
    </row>
    <row r="31" spans="1:8" ht="15.75" customHeight="1">
      <c r="A31" s="461" t="s">
        <v>346</v>
      </c>
      <c r="B31" s="461"/>
      <c r="C31" s="461"/>
      <c r="D31" s="461"/>
      <c r="E31" s="461"/>
      <c r="F31" s="461"/>
      <c r="G31" s="461"/>
    </row>
    <row r="32" spans="1:8" ht="13.5" customHeight="1">
      <c r="A32" s="367"/>
      <c r="B32" s="367"/>
      <c r="C32" s="461"/>
      <c r="D32" s="461"/>
      <c r="E32" s="461"/>
      <c r="F32" s="461"/>
      <c r="G32" s="461"/>
    </row>
    <row r="33" spans="1:7" ht="13.5" customHeight="1">
      <c r="A33" s="461" t="s">
        <v>1210</v>
      </c>
      <c r="B33" s="461"/>
      <c r="C33" s="461"/>
      <c r="D33" s="461"/>
      <c r="E33" s="461"/>
      <c r="F33" s="461"/>
      <c r="G33" s="461"/>
    </row>
    <row r="34" spans="1:7" ht="16.5" customHeight="1">
      <c r="A34" s="461"/>
      <c r="B34" s="461"/>
      <c r="C34" s="461"/>
      <c r="D34" s="461"/>
      <c r="E34" s="461"/>
      <c r="F34" s="461"/>
      <c r="G34" s="461"/>
    </row>
    <row r="35" spans="1:7" ht="12" customHeight="1">
      <c r="A35" s="461" t="s">
        <v>1211</v>
      </c>
      <c r="B35" s="461"/>
      <c r="C35" s="63"/>
      <c r="D35" s="63"/>
      <c r="E35" s="63"/>
      <c r="F35" s="63"/>
      <c r="G35" s="63"/>
    </row>
    <row r="36" spans="1:7" ht="12" customHeight="1">
      <c r="A36" s="219" t="s">
        <v>1212</v>
      </c>
      <c r="B36" s="219"/>
    </row>
    <row r="37" spans="1:7" ht="12" customHeight="1">
      <c r="A37" s="219" t="s">
        <v>1032</v>
      </c>
      <c r="B37" s="219"/>
    </row>
    <row r="38" spans="1:7" ht="12" customHeight="1">
      <c r="A38" s="219" t="s">
        <v>1033</v>
      </c>
      <c r="B38" s="219"/>
    </row>
    <row r="39" spans="1:7" ht="12" customHeight="1">
      <c r="A39" s="219" t="s">
        <v>1034</v>
      </c>
      <c r="B39" s="219"/>
    </row>
    <row r="40" spans="1:7" ht="12" customHeight="1">
      <c r="A40" s="219" t="s">
        <v>1035</v>
      </c>
      <c r="B40" s="219"/>
    </row>
    <row r="41" spans="1:7" ht="12" customHeight="1">
      <c r="A41" s="3" t="s">
        <v>1036</v>
      </c>
    </row>
    <row r="42" spans="1:7" ht="12" customHeight="1">
      <c r="A42" s="3" t="s">
        <v>1213</v>
      </c>
    </row>
    <row r="43" spans="1:7" ht="12" customHeight="1"/>
    <row r="44" spans="1:7" ht="12" customHeight="1"/>
    <row r="45" spans="1:7" ht="12" customHeight="1">
      <c r="A45" s="461" t="s">
        <v>302</v>
      </c>
      <c r="B45" s="461"/>
      <c r="C45" s="219"/>
      <c r="D45" s="219"/>
      <c r="E45" s="219"/>
      <c r="F45" s="219"/>
    </row>
    <row r="50" spans="1:9">
      <c r="A50" s="46"/>
      <c r="B50" s="46"/>
      <c r="C50" s="603"/>
      <c r="D50" s="604"/>
      <c r="E50" s="603"/>
      <c r="F50" s="604"/>
      <c r="G50" s="738"/>
      <c r="H50" s="604"/>
      <c r="I50" s="604"/>
    </row>
    <row r="51" spans="1:9">
      <c r="A51" s="605"/>
      <c r="B51" s="605"/>
      <c r="C51" s="605"/>
      <c r="D51" s="606"/>
      <c r="E51" s="605"/>
      <c r="F51" s="607"/>
      <c r="G51" s="17"/>
      <c r="H51" s="607"/>
      <c r="I51" s="17"/>
    </row>
    <row r="52" spans="1:9">
      <c r="A52" s="17"/>
      <c r="B52" s="17"/>
      <c r="C52" s="17"/>
      <c r="D52" s="17"/>
      <c r="E52" s="17"/>
      <c r="F52" s="17"/>
      <c r="G52" s="17"/>
      <c r="H52" s="17"/>
      <c r="I52" s="17"/>
    </row>
  </sheetData>
  <pageMargins left="0.55118110236220474" right="0.45" top="0.59055118110236227" bottom="0.47244094488188981" header="0.43307086614173229" footer="0.31496062992125984"/>
  <pageSetup paperSize="9" scale="65" orientation="portrait"/>
  <headerFooter alignWithMargins="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60E9A-6536-F748-8CAB-89FC4E6C9240}">
  <sheetPr>
    <pageSetUpPr fitToPage="1"/>
  </sheetPr>
  <dimension ref="A1:M31"/>
  <sheetViews>
    <sheetView zoomScaleNormal="100" workbookViewId="0">
      <selection activeCell="A24" sqref="A24:IV24"/>
    </sheetView>
  </sheetViews>
  <sheetFormatPr baseColWidth="10" defaultColWidth="11.3984375" defaultRowHeight="13"/>
  <cols>
    <col min="1" max="1" width="12.796875" style="3" customWidth="1"/>
    <col min="2" max="8" width="11.796875" style="3" customWidth="1"/>
    <col min="9" max="9" width="18.3984375" style="3" customWidth="1"/>
    <col min="10" max="16384" width="11.3984375" style="3"/>
  </cols>
  <sheetData>
    <row r="1" spans="1:13" s="1" customFormat="1" ht="14" customHeight="1"/>
    <row r="2" spans="1:13" s="1" customFormat="1" ht="24" customHeight="1">
      <c r="A2" s="311" t="s">
        <v>1190</v>
      </c>
      <c r="I2" s="327"/>
      <c r="K2" s="198"/>
    </row>
    <row r="3" spans="1:13" ht="24" customHeight="1">
      <c r="A3" s="745"/>
      <c r="B3" s="2040" t="s">
        <v>1191</v>
      </c>
      <c r="C3" s="2041"/>
      <c r="D3" s="2041"/>
      <c r="E3" s="2041"/>
      <c r="F3" s="2041"/>
      <c r="G3" s="2041"/>
      <c r="H3" s="746"/>
      <c r="I3" s="747"/>
      <c r="K3" s="748"/>
    </row>
    <row r="4" spans="1:13" ht="24" customHeight="1">
      <c r="A4" s="749" t="s">
        <v>460</v>
      </c>
      <c r="B4" s="750" t="s">
        <v>1192</v>
      </c>
      <c r="C4" s="751" t="s">
        <v>1193</v>
      </c>
      <c r="D4" s="270" t="s">
        <v>1194</v>
      </c>
      <c r="E4" s="751" t="s">
        <v>1195</v>
      </c>
      <c r="F4" s="270" t="s">
        <v>1196</v>
      </c>
      <c r="G4" s="751" t="s">
        <v>1197</v>
      </c>
      <c r="H4" s="270" t="s">
        <v>381</v>
      </c>
      <c r="I4" s="751" t="s">
        <v>381</v>
      </c>
      <c r="K4" s="748"/>
    </row>
    <row r="5" spans="1:13" ht="15" customHeight="1">
      <c r="A5" s="749"/>
      <c r="B5" s="750"/>
      <c r="C5" s="752">
        <v>10000</v>
      </c>
      <c r="D5" s="614">
        <v>50000</v>
      </c>
      <c r="E5" s="752">
        <v>100000</v>
      </c>
      <c r="F5" s="614">
        <v>500000</v>
      </c>
      <c r="G5" s="752">
        <v>500000</v>
      </c>
      <c r="H5" s="753" t="s">
        <v>1198</v>
      </c>
      <c r="I5" s="754" t="s">
        <v>1199</v>
      </c>
      <c r="K5" s="748"/>
    </row>
    <row r="6" spans="1:13" ht="15" customHeight="1">
      <c r="A6" s="749"/>
      <c r="B6" s="750"/>
      <c r="C6" s="751"/>
      <c r="D6" s="270"/>
      <c r="E6" s="751"/>
      <c r="F6" s="270"/>
      <c r="G6" s="751"/>
      <c r="H6" s="270"/>
      <c r="I6" s="754" t="s">
        <v>1200</v>
      </c>
      <c r="K6" s="17"/>
    </row>
    <row r="7" spans="1:13" ht="18" customHeight="1">
      <c r="A7" s="755"/>
      <c r="B7" s="756"/>
      <c r="C7" s="757"/>
      <c r="D7" s="274"/>
      <c r="E7" s="757"/>
      <c r="F7" s="274"/>
      <c r="G7" s="757"/>
      <c r="H7" s="274"/>
      <c r="I7" s="757"/>
      <c r="K7" s="758"/>
    </row>
    <row r="8" spans="1:13" ht="2.25" customHeight="1" thickBot="1">
      <c r="A8" s="759">
        <v>1996</v>
      </c>
      <c r="B8" s="760">
        <v>2.0177619127218216E-2</v>
      </c>
      <c r="C8" s="761">
        <v>1.2597566015413125E-2</v>
      </c>
      <c r="D8" s="740">
        <v>7.1120514742348845E-2</v>
      </c>
      <c r="E8" s="761">
        <v>5.3778502452829641E-2</v>
      </c>
      <c r="F8" s="740">
        <v>0.36511082288179453</v>
      </c>
      <c r="G8" s="761">
        <v>0.47721497478039565</v>
      </c>
      <c r="H8" s="740">
        <v>1</v>
      </c>
      <c r="I8" s="762">
        <v>7232667</v>
      </c>
    </row>
    <row r="9" spans="1:13" ht="19.5" hidden="1" customHeight="1" thickBot="1">
      <c r="A9" s="763">
        <v>1997</v>
      </c>
      <c r="B9" s="764">
        <v>1.7402128744798396E-2</v>
      </c>
      <c r="C9" s="765">
        <v>1.4513151507136559E-2</v>
      </c>
      <c r="D9" s="433">
        <v>8.0494622309686584E-2</v>
      </c>
      <c r="E9" s="765">
        <v>3.5460102030395756E-2</v>
      </c>
      <c r="F9" s="433">
        <v>0.34210501223593653</v>
      </c>
      <c r="G9" s="765">
        <v>0.51002498317204614</v>
      </c>
      <c r="H9" s="433">
        <v>1</v>
      </c>
      <c r="I9" s="766">
        <v>7236471</v>
      </c>
      <c r="K9" s="8"/>
      <c r="L9" s="8"/>
      <c r="M9" s="8"/>
    </row>
    <row r="10" spans="1:13" ht="0.75" hidden="1" customHeight="1" thickBot="1">
      <c r="A10" s="763">
        <v>1998</v>
      </c>
      <c r="B10" s="764">
        <v>1.490840183853178E-2</v>
      </c>
      <c r="C10" s="765">
        <v>1.032214600618327E-2</v>
      </c>
      <c r="D10" s="433">
        <v>7.6140816476353498E-2</v>
      </c>
      <c r="E10" s="765">
        <v>5.6174768706983583E-2</v>
      </c>
      <c r="F10" s="433">
        <v>0.34220161255156173</v>
      </c>
      <c r="G10" s="765">
        <v>0.50025225442038612</v>
      </c>
      <c r="H10" s="433">
        <v>1</v>
      </c>
      <c r="I10" s="766">
        <v>7246652</v>
      </c>
    </row>
    <row r="11" spans="1:13" ht="19.75" hidden="1" customHeight="1" thickBot="1">
      <c r="A11" s="763">
        <v>1999</v>
      </c>
      <c r="B11" s="764">
        <v>1.1856091803011722E-2</v>
      </c>
      <c r="C11" s="765">
        <v>1.2297050391416079E-2</v>
      </c>
      <c r="D11" s="433">
        <v>6.9524424924530884E-2</v>
      </c>
      <c r="E11" s="765">
        <v>7.5584785910891711E-2</v>
      </c>
      <c r="F11" s="433">
        <v>0.360776059607258</v>
      </c>
      <c r="G11" s="765">
        <v>0.46996158736289156</v>
      </c>
      <c r="H11" s="433">
        <v>1</v>
      </c>
      <c r="I11" s="766">
        <v>7270524</v>
      </c>
    </row>
    <row r="12" spans="1:13" ht="19.75" hidden="1" customHeight="1" thickBot="1">
      <c r="A12" s="763">
        <v>2000</v>
      </c>
      <c r="B12" s="764">
        <v>1.0957985099474708E-2</v>
      </c>
      <c r="C12" s="765">
        <v>1.2166775657859692E-2</v>
      </c>
      <c r="D12" s="433">
        <v>6.756095879031751E-2</v>
      </c>
      <c r="E12" s="765">
        <v>8.7049575140813365E-2</v>
      </c>
      <c r="F12" s="433">
        <v>0.3644487016237738</v>
      </c>
      <c r="G12" s="765">
        <v>0.45781600368776093</v>
      </c>
      <c r="H12" s="433">
        <v>1</v>
      </c>
      <c r="I12" s="766">
        <v>7265113</v>
      </c>
    </row>
    <row r="13" spans="1:13" ht="20" hidden="1" customHeight="1" thickBot="1">
      <c r="A13" s="763">
        <v>2001</v>
      </c>
      <c r="B13" s="764">
        <v>9.7170954862656738E-3</v>
      </c>
      <c r="C13" s="765">
        <v>8.4238568425089536E-3</v>
      </c>
      <c r="D13" s="433">
        <v>7.0587792166880103E-2</v>
      </c>
      <c r="E13" s="765">
        <v>8.5394018668547678E-2</v>
      </c>
      <c r="F13" s="433">
        <v>0.38803350203052983</v>
      </c>
      <c r="G13" s="765">
        <v>0.43784373480526773</v>
      </c>
      <c r="H13" s="433">
        <v>1</v>
      </c>
      <c r="I13" s="766">
        <v>7301050</v>
      </c>
    </row>
    <row r="14" spans="1:13" ht="20" hidden="1" customHeight="1" thickBot="1">
      <c r="A14" s="763">
        <v>2002</v>
      </c>
      <c r="B14" s="764">
        <v>7.1399045507496896E-3</v>
      </c>
      <c r="C14" s="765">
        <v>8.4501124357966827E-3</v>
      </c>
      <c r="D14" s="433">
        <v>8.2630643642516793E-2</v>
      </c>
      <c r="E14" s="765">
        <v>8.6587817285975782E-2</v>
      </c>
      <c r="F14" s="433">
        <v>0.46525750220977596</v>
      </c>
      <c r="G14" s="765">
        <v>0.34993401987518508</v>
      </c>
      <c r="H14" s="433">
        <v>1</v>
      </c>
      <c r="I14" s="766">
        <v>7344636</v>
      </c>
    </row>
    <row r="15" spans="1:13" ht="20" customHeight="1" thickBot="1">
      <c r="A15" s="763">
        <v>2003</v>
      </c>
      <c r="B15" s="764">
        <v>7.150880180844566E-3</v>
      </c>
      <c r="C15" s="765">
        <v>8.7914320736236836E-3</v>
      </c>
      <c r="D15" s="433">
        <v>9.1365786917605774E-2</v>
      </c>
      <c r="E15" s="765">
        <v>9.1794541322986076E-2</v>
      </c>
      <c r="F15" s="433">
        <v>0.39422862118090168</v>
      </c>
      <c r="G15" s="765">
        <v>0.40666873832403821</v>
      </c>
      <c r="H15" s="433">
        <v>1</v>
      </c>
      <c r="I15" s="766">
        <v>7372519</v>
      </c>
    </row>
    <row r="16" spans="1:13" ht="20" customHeight="1" thickBot="1">
      <c r="A16" s="763">
        <v>2004</v>
      </c>
      <c r="B16" s="764">
        <v>7.7472964436898599E-3</v>
      </c>
      <c r="C16" s="765">
        <v>9.9496072922614521E-3</v>
      </c>
      <c r="D16" s="433">
        <v>8.4360383162269723E-2</v>
      </c>
      <c r="E16" s="765">
        <v>8.7130573562410135E-2</v>
      </c>
      <c r="F16" s="433">
        <v>0.4055192258310571</v>
      </c>
      <c r="G16" s="765">
        <v>0.40529291370831172</v>
      </c>
      <c r="H16" s="433">
        <v>1</v>
      </c>
      <c r="I16" s="766">
        <v>7383608</v>
      </c>
    </row>
    <row r="17" spans="1:9" ht="20" customHeight="1" thickBot="1">
      <c r="A17" s="763">
        <v>2005</v>
      </c>
      <c r="B17" s="764">
        <v>6.7133654607136909E-3</v>
      </c>
      <c r="C17" s="765">
        <v>1.2687692501726945E-2</v>
      </c>
      <c r="D17" s="433">
        <v>6.1558517163579914E-2</v>
      </c>
      <c r="E17" s="765">
        <v>7.6843120678933355E-2</v>
      </c>
      <c r="F17" s="433">
        <v>0.44768226437071562</v>
      </c>
      <c r="G17" s="765">
        <v>0.39451503982433056</v>
      </c>
      <c r="H17" s="433">
        <v>1</v>
      </c>
      <c r="I17" s="766">
        <v>7435865.1099999994</v>
      </c>
    </row>
    <row r="18" spans="1:9" ht="20" customHeight="1" thickBot="1">
      <c r="A18" s="763">
        <v>2006</v>
      </c>
      <c r="B18" s="764">
        <v>7.1853695026195359E-3</v>
      </c>
      <c r="C18" s="765">
        <v>1.372064238505178E-2</v>
      </c>
      <c r="D18" s="433">
        <v>6.1945155197761226E-2</v>
      </c>
      <c r="E18" s="765">
        <v>6.457386448023035E-2</v>
      </c>
      <c r="F18" s="433">
        <v>0.46584421080154392</v>
      </c>
      <c r="G18" s="765">
        <v>0.38673075763279313</v>
      </c>
      <c r="H18" s="433">
        <v>1</v>
      </c>
      <c r="I18" s="766">
        <v>7478426.8200000003</v>
      </c>
    </row>
    <row r="19" spans="1:9" ht="20" customHeight="1" thickBot="1">
      <c r="A19" s="763">
        <v>2007</v>
      </c>
      <c r="B19" s="764">
        <v>7.1980711154289783E-3</v>
      </c>
      <c r="C19" s="765">
        <v>1.2343838327748843E-2</v>
      </c>
      <c r="D19" s="433">
        <v>6.7439082875348361E-2</v>
      </c>
      <c r="E19" s="765">
        <v>7.4639267399113043E-2</v>
      </c>
      <c r="F19" s="433">
        <v>0.46148331085748551</v>
      </c>
      <c r="G19" s="765">
        <v>0.37689642942487517</v>
      </c>
      <c r="H19" s="433">
        <v>1</v>
      </c>
      <c r="I19" s="766">
        <v>7537587.3800000008</v>
      </c>
    </row>
    <row r="20" spans="1:9" ht="20" customHeight="1" thickBot="1">
      <c r="A20" s="763">
        <v>2008</v>
      </c>
      <c r="B20" s="764">
        <v>6.9627679229906266E-3</v>
      </c>
      <c r="C20" s="765">
        <v>1.2572266289028763E-2</v>
      </c>
      <c r="D20" s="433">
        <v>5.983244585510189E-2</v>
      </c>
      <c r="E20" s="765">
        <v>8.6450164267034141E-2</v>
      </c>
      <c r="F20" s="433">
        <v>0.47186244785894577</v>
      </c>
      <c r="G20" s="765">
        <v>0.36231990780689871</v>
      </c>
      <c r="H20" s="433">
        <v>1</v>
      </c>
      <c r="I20" s="766">
        <v>7615563.3200000012</v>
      </c>
    </row>
    <row r="21" spans="1:9" ht="20" customHeight="1" thickBot="1">
      <c r="A21" s="763">
        <v>2009</v>
      </c>
      <c r="B21" s="764">
        <v>6.3913502466724755E-3</v>
      </c>
      <c r="C21" s="765">
        <v>9.8410456994261122E-3</v>
      </c>
      <c r="D21" s="433">
        <v>6.2372686693507221E-2</v>
      </c>
      <c r="E21" s="765">
        <v>7.9508990308726282E-2</v>
      </c>
      <c r="F21" s="433">
        <v>0.49598894141884953</v>
      </c>
      <c r="G21" s="765">
        <v>0.34589698563281829</v>
      </c>
      <c r="H21" s="433">
        <v>1</v>
      </c>
      <c r="I21" s="766">
        <v>7708851.5100000007</v>
      </c>
    </row>
    <row r="22" spans="1:9" ht="20" customHeight="1" thickBot="1">
      <c r="A22" s="763">
        <v>2010</v>
      </c>
      <c r="B22" s="764">
        <v>5.7207975361098567E-3</v>
      </c>
      <c r="C22" s="765">
        <v>9.3032219077996709E-3</v>
      </c>
      <c r="D22" s="433">
        <v>6.5866593411382734E-2</v>
      </c>
      <c r="E22" s="765">
        <v>8.3353119647634463E-2</v>
      </c>
      <c r="F22" s="433">
        <v>0.42223916523240013</v>
      </c>
      <c r="G22" s="765">
        <v>0.41351710226467314</v>
      </c>
      <c r="H22" s="433">
        <v>1</v>
      </c>
      <c r="I22" s="766">
        <v>7779661.79</v>
      </c>
    </row>
    <row r="23" spans="1:9" ht="20" customHeight="1" thickBot="1">
      <c r="A23" s="763">
        <v>2011</v>
      </c>
      <c r="B23" s="764">
        <v>3.7567063861609906E-3</v>
      </c>
      <c r="C23" s="765">
        <v>9.5105052831467238E-3</v>
      </c>
      <c r="D23" s="433">
        <v>4.0288220495756394E-2</v>
      </c>
      <c r="E23" s="765">
        <v>2.1479441738656572E-2</v>
      </c>
      <c r="F23" s="433">
        <v>0.51493663214479735</v>
      </c>
      <c r="G23" s="765">
        <v>0.41002849395148178</v>
      </c>
      <c r="H23" s="433">
        <v>1</v>
      </c>
      <c r="I23" s="766">
        <v>7862770.4600000018</v>
      </c>
    </row>
    <row r="24" spans="1:9" ht="20" customHeight="1" thickBot="1">
      <c r="A24" s="763">
        <v>2012</v>
      </c>
      <c r="B24" s="764">
        <v>4.2861697681109753E-3</v>
      </c>
      <c r="C24" s="765">
        <v>7.8754263047143194E-3</v>
      </c>
      <c r="D24" s="433">
        <v>4.0068195652905293E-2</v>
      </c>
      <c r="E24" s="765">
        <v>2.1194152574099283E-2</v>
      </c>
      <c r="F24" s="433">
        <v>0.51816637024027934</v>
      </c>
      <c r="G24" s="765">
        <v>0.4084096854598912</v>
      </c>
      <c r="H24" s="433">
        <v>1</v>
      </c>
      <c r="I24" s="766">
        <v>7953357.3899999969</v>
      </c>
    </row>
    <row r="25" spans="1:9" ht="26.25" customHeight="1" thickBot="1">
      <c r="A25" s="767">
        <v>2013</v>
      </c>
      <c r="B25" s="768">
        <v>4.0508079149186643E-3</v>
      </c>
      <c r="C25" s="769">
        <v>8.0048824297935667E-3</v>
      </c>
      <c r="D25" s="566">
        <v>2.6526482999514774E-2</v>
      </c>
      <c r="E25" s="769">
        <v>4.0768630812641753E-2</v>
      </c>
      <c r="F25" s="566">
        <v>0.51287063484380113</v>
      </c>
      <c r="G25" s="769">
        <v>0.40777856099932996</v>
      </c>
      <c r="H25" s="566">
        <v>1</v>
      </c>
      <c r="I25" s="770">
        <v>8045928.290000001</v>
      </c>
    </row>
    <row r="26" spans="1:9" ht="20" customHeight="1">
      <c r="A26" s="189" t="s">
        <v>346</v>
      </c>
      <c r="B26" s="457"/>
      <c r="C26" s="457"/>
      <c r="D26" s="457"/>
      <c r="E26" s="457"/>
      <c r="F26" s="457"/>
      <c r="G26" s="457"/>
      <c r="H26" s="457"/>
      <c r="I26" s="610"/>
    </row>
    <row r="27" spans="1:9" ht="13.5" customHeight="1">
      <c r="A27" s="219"/>
      <c r="B27" s="459"/>
      <c r="C27" s="459"/>
      <c r="D27" s="459"/>
      <c r="E27" s="459"/>
      <c r="F27" s="459"/>
      <c r="G27" s="459"/>
      <c r="H27" s="459"/>
      <c r="I27" s="611"/>
    </row>
    <row r="28" spans="1:9">
      <c r="A28" s="3" t="s">
        <v>1201</v>
      </c>
    </row>
    <row r="31" spans="1:9">
      <c r="A31" s="3" t="s">
        <v>302</v>
      </c>
    </row>
  </sheetData>
  <mergeCells count="1">
    <mergeCell ref="B3:G3"/>
  </mergeCells>
  <pageMargins left="0.53" right="0.61" top="1.03" bottom="0.49" header="0.56000000000000005" footer="0.4921259845"/>
  <pageSetup paperSize="9" scale="79" orientation="portrait" horizontalDpi="4294967292" verticalDpi="4294967292"/>
  <headerFooter alignWithMargins="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3CF9F-568E-7442-8328-45A522A9B45A}">
  <sheetPr>
    <pageSetUpPr fitToPage="1"/>
  </sheetPr>
  <dimension ref="A1:S42"/>
  <sheetViews>
    <sheetView zoomScaleNormal="100" workbookViewId="0"/>
  </sheetViews>
  <sheetFormatPr baseColWidth="10" defaultColWidth="11.3984375" defaultRowHeight="13"/>
  <cols>
    <col min="1" max="1" width="13.3984375" style="3" customWidth="1"/>
    <col min="2" max="2" width="11.3984375" style="3" customWidth="1"/>
    <col min="3" max="7" width="10.796875" style="3" customWidth="1"/>
    <col min="8" max="11" width="10.3984375" style="3" customWidth="1"/>
    <col min="12" max="13" width="11.3984375" style="3"/>
    <col min="14" max="14" width="11.59765625" style="3" customWidth="1"/>
    <col min="15" max="16384" width="11.3984375" style="3"/>
  </cols>
  <sheetData>
    <row r="1" spans="1:19" s="1" customFormat="1" ht="14" customHeight="1"/>
    <row r="2" spans="1:19" s="1" customFormat="1" ht="27.5" customHeight="1">
      <c r="A2" s="125" t="s">
        <v>1186</v>
      </c>
      <c r="B2" s="360"/>
      <c r="C2" s="360"/>
      <c r="D2" s="360"/>
      <c r="E2" s="360"/>
      <c r="F2" s="360"/>
      <c r="G2" s="360"/>
      <c r="H2" s="360"/>
      <c r="I2" s="125"/>
      <c r="J2" s="125"/>
      <c r="K2" s="125"/>
      <c r="L2" s="125"/>
      <c r="M2" s="125"/>
      <c r="N2" s="125"/>
      <c r="O2" s="125"/>
      <c r="P2" s="125"/>
      <c r="Q2" s="125"/>
      <c r="R2" s="125"/>
      <c r="S2" s="125"/>
    </row>
    <row r="3" spans="1:19" ht="24" customHeight="1">
      <c r="A3" s="612" t="s">
        <v>67</v>
      </c>
      <c r="B3" s="271">
        <v>1996</v>
      </c>
      <c r="C3" s="270">
        <v>1997</v>
      </c>
      <c r="D3" s="271">
        <v>1998</v>
      </c>
      <c r="E3" s="743">
        <v>1999</v>
      </c>
      <c r="F3" s="744">
        <v>2000</v>
      </c>
      <c r="G3" s="270">
        <v>2001</v>
      </c>
      <c r="H3" s="271">
        <v>2002</v>
      </c>
      <c r="I3" s="270">
        <v>2003</v>
      </c>
      <c r="J3" s="271">
        <v>2004</v>
      </c>
      <c r="K3" s="270">
        <v>2005</v>
      </c>
      <c r="L3" s="271">
        <v>2006</v>
      </c>
      <c r="M3" s="270">
        <v>2007</v>
      </c>
      <c r="N3" s="271">
        <v>2008</v>
      </c>
      <c r="O3" s="270">
        <v>2009</v>
      </c>
      <c r="P3" s="271">
        <v>2010</v>
      </c>
      <c r="Q3" s="270">
        <v>2011</v>
      </c>
      <c r="R3" s="271">
        <v>2012</v>
      </c>
      <c r="S3" s="270">
        <v>2013</v>
      </c>
    </row>
    <row r="4" spans="1:19" ht="15" customHeight="1">
      <c r="A4" s="613"/>
      <c r="B4" s="271"/>
      <c r="C4" s="270"/>
      <c r="D4" s="271"/>
      <c r="E4" s="614"/>
      <c r="F4" s="272"/>
      <c r="G4" s="270"/>
      <c r="H4" s="271"/>
      <c r="I4" s="270"/>
      <c r="J4" s="271"/>
      <c r="K4" s="270"/>
      <c r="L4" s="271"/>
      <c r="M4" s="270"/>
      <c r="N4" s="271"/>
      <c r="O4" s="270"/>
      <c r="P4" s="271"/>
      <c r="Q4" s="270"/>
      <c r="R4" s="271"/>
      <c r="S4" s="270"/>
    </row>
    <row r="5" spans="1:19" ht="16" customHeight="1">
      <c r="A5" s="615"/>
      <c r="B5" s="275"/>
      <c r="C5" s="274"/>
      <c r="D5" s="275"/>
      <c r="E5" s="362"/>
      <c r="F5" s="276"/>
      <c r="G5" s="274"/>
      <c r="H5" s="275"/>
      <c r="I5" s="274"/>
      <c r="J5" s="275"/>
      <c r="K5" s="274"/>
      <c r="L5" s="275"/>
      <c r="M5" s="274"/>
      <c r="N5" s="275"/>
      <c r="O5" s="274"/>
      <c r="P5" s="275"/>
      <c r="Q5" s="274"/>
      <c r="R5" s="275"/>
      <c r="S5" s="274"/>
    </row>
    <row r="6" spans="1:19" ht="30" customHeight="1" thickBot="1">
      <c r="A6" s="616" t="s">
        <v>502</v>
      </c>
      <c r="B6" s="353">
        <v>1199.2165</v>
      </c>
      <c r="C6" s="352">
        <v>1199.4290000000001</v>
      </c>
      <c r="D6" s="353">
        <v>1207.0740000000001</v>
      </c>
      <c r="E6" s="352">
        <v>1216.8320000000001</v>
      </c>
      <c r="F6" s="353">
        <v>1223.231</v>
      </c>
      <c r="G6" s="352">
        <v>1239.626</v>
      </c>
      <c r="H6" s="288">
        <v>1250.672</v>
      </c>
      <c r="I6" s="287">
        <v>1258.383</v>
      </c>
      <c r="J6" s="288">
        <v>1266.164</v>
      </c>
      <c r="K6" s="287">
        <v>1274.5540000000001</v>
      </c>
      <c r="L6" s="288">
        <v>1284.816</v>
      </c>
      <c r="M6" s="287">
        <v>1294.1980000000001</v>
      </c>
      <c r="N6" s="288">
        <v>1316.357</v>
      </c>
      <c r="O6" s="287">
        <v>1340.59105</v>
      </c>
      <c r="P6" s="288">
        <v>1355.9901</v>
      </c>
      <c r="Q6" s="287">
        <v>1374.0552</v>
      </c>
      <c r="R6" s="288">
        <v>1393.46992</v>
      </c>
      <c r="S6" s="287">
        <v>1409.7145700000001</v>
      </c>
    </row>
    <row r="7" spans="1:19" ht="20" customHeight="1" thickBot="1">
      <c r="A7" s="617" t="s">
        <v>503</v>
      </c>
      <c r="B7" s="159">
        <v>954.42533333333336</v>
      </c>
      <c r="C7" s="289">
        <v>955.745</v>
      </c>
      <c r="D7" s="159">
        <v>956.16700000000003</v>
      </c>
      <c r="E7" s="289">
        <v>958.23900000000003</v>
      </c>
      <c r="F7" s="159">
        <v>954.48099999999999</v>
      </c>
      <c r="G7" s="289">
        <v>952.85</v>
      </c>
      <c r="H7" s="288">
        <v>954.625</v>
      </c>
      <c r="I7" s="287">
        <v>957.29200000000003</v>
      </c>
      <c r="J7" s="288">
        <v>958.36199999999997</v>
      </c>
      <c r="K7" s="287">
        <v>958.48299999999995</v>
      </c>
      <c r="L7" s="288">
        <v>959.95899999999995</v>
      </c>
      <c r="M7" s="287">
        <v>957.92399999999998</v>
      </c>
      <c r="N7" s="288">
        <v>962.11</v>
      </c>
      <c r="O7" s="287">
        <v>971.65823</v>
      </c>
      <c r="P7" s="288">
        <v>976.29255000000001</v>
      </c>
      <c r="Q7" s="287">
        <v>981.41813000000002</v>
      </c>
      <c r="R7" s="288">
        <v>986.32661000000019</v>
      </c>
      <c r="S7" s="287">
        <v>993.82551000000001</v>
      </c>
    </row>
    <row r="8" spans="1:19" ht="20" customHeight="1" thickBot="1">
      <c r="A8" s="617" t="s">
        <v>504</v>
      </c>
      <c r="B8" s="159">
        <v>355.20933333333329</v>
      </c>
      <c r="C8" s="289">
        <v>348.89299999999997</v>
      </c>
      <c r="D8" s="159">
        <v>350.06599999999997</v>
      </c>
      <c r="E8" s="289">
        <v>352.411</v>
      </c>
      <c r="F8" s="159">
        <v>353.15</v>
      </c>
      <c r="G8" s="289">
        <v>354.15800000000002</v>
      </c>
      <c r="H8" s="288">
        <v>355.97699999999998</v>
      </c>
      <c r="I8" s="287">
        <v>357.26400000000001</v>
      </c>
      <c r="J8" s="288">
        <v>357.85</v>
      </c>
      <c r="K8" s="287">
        <v>359.13200000000001</v>
      </c>
      <c r="L8" s="288">
        <v>360.56599999999997</v>
      </c>
      <c r="M8" s="287">
        <v>362.70699999999999</v>
      </c>
      <c r="N8" s="288">
        <v>367.20100000000002</v>
      </c>
      <c r="O8" s="287">
        <v>373.03219000000001</v>
      </c>
      <c r="P8" s="288">
        <v>376.34426000000002</v>
      </c>
      <c r="Q8" s="287">
        <v>380.53512000000001</v>
      </c>
      <c r="R8" s="288">
        <v>385.10871000000009</v>
      </c>
      <c r="S8" s="287">
        <v>388.99975000000001</v>
      </c>
    </row>
    <row r="9" spans="1:19" ht="20" customHeight="1" thickBot="1">
      <c r="A9" s="617" t="s">
        <v>505</v>
      </c>
      <c r="B9" s="159">
        <v>36.368000000000002</v>
      </c>
      <c r="C9" s="289">
        <v>36.186</v>
      </c>
      <c r="D9" s="159">
        <v>36.098999999999997</v>
      </c>
      <c r="E9" s="289">
        <v>35.978999999999999</v>
      </c>
      <c r="F9" s="159">
        <v>35.866999999999997</v>
      </c>
      <c r="G9" s="289">
        <v>35.615000000000002</v>
      </c>
      <c r="H9" s="288">
        <v>35.512999999999998</v>
      </c>
      <c r="I9" s="287">
        <v>35.411000000000001</v>
      </c>
      <c r="J9" s="288">
        <v>35.371000000000002</v>
      </c>
      <c r="K9" s="287">
        <v>35.234999999999999</v>
      </c>
      <c r="L9" s="288">
        <v>35.198</v>
      </c>
      <c r="M9" s="287">
        <v>34.997</v>
      </c>
      <c r="N9" s="288">
        <v>35.139000000000003</v>
      </c>
      <c r="O9" s="287">
        <v>35.467970000000001</v>
      </c>
      <c r="P9" s="288">
        <v>35.459830000000004</v>
      </c>
      <c r="Q9" s="287">
        <v>35.56306</v>
      </c>
      <c r="R9" s="288">
        <v>35.759550000000011</v>
      </c>
      <c r="S9" s="287">
        <v>35.905230000000003</v>
      </c>
    </row>
    <row r="10" spans="1:19" ht="20" customHeight="1" thickBot="1">
      <c r="A10" s="617" t="s">
        <v>506</v>
      </c>
      <c r="B10" s="159">
        <v>123.14033333333333</v>
      </c>
      <c r="C10" s="289">
        <v>125.687</v>
      </c>
      <c r="D10" s="159">
        <v>126.86</v>
      </c>
      <c r="E10" s="289">
        <v>128.81</v>
      </c>
      <c r="F10" s="159">
        <v>129.66300000000001</v>
      </c>
      <c r="G10" s="289">
        <v>131.005</v>
      </c>
      <c r="H10" s="288">
        <v>132.84700000000001</v>
      </c>
      <c r="I10" s="287">
        <v>134.74299999999999</v>
      </c>
      <c r="J10" s="288">
        <v>136.28</v>
      </c>
      <c r="K10" s="287">
        <v>137.24100000000001</v>
      </c>
      <c r="L10" s="288">
        <v>138.61500000000001</v>
      </c>
      <c r="M10" s="287">
        <v>139.95599999999999</v>
      </c>
      <c r="N10" s="288">
        <v>142.45699999999999</v>
      </c>
      <c r="O10" s="287">
        <v>144.71596</v>
      </c>
      <c r="P10" s="288">
        <v>146.07723999999999</v>
      </c>
      <c r="Q10" s="287">
        <v>147.38660999999999</v>
      </c>
      <c r="R10" s="288">
        <v>149.17407000000003</v>
      </c>
      <c r="S10" s="287">
        <v>151.06873999999999</v>
      </c>
    </row>
    <row r="11" spans="1:19" ht="20" customHeight="1" thickBot="1">
      <c r="A11" s="617" t="s">
        <v>507</v>
      </c>
      <c r="B11" s="159">
        <v>31.320666666666668</v>
      </c>
      <c r="C11" s="289">
        <v>32.598999999999997</v>
      </c>
      <c r="D11" s="159">
        <v>32.813000000000002</v>
      </c>
      <c r="E11" s="289">
        <v>33.084000000000003</v>
      </c>
      <c r="F11" s="159">
        <v>33.305</v>
      </c>
      <c r="G11" s="289">
        <v>33.408000000000001</v>
      </c>
      <c r="H11" s="288">
        <v>33.604999999999997</v>
      </c>
      <c r="I11" s="287">
        <v>33.81</v>
      </c>
      <c r="J11" s="288">
        <v>33.92</v>
      </c>
      <c r="K11" s="287">
        <v>33.914000000000001</v>
      </c>
      <c r="L11" s="288">
        <v>34.131999999999998</v>
      </c>
      <c r="M11" s="287">
        <v>34.375</v>
      </c>
      <c r="N11" s="288">
        <v>34.761000000000003</v>
      </c>
      <c r="O11" s="287">
        <v>35.340879999999999</v>
      </c>
      <c r="P11" s="288">
        <v>35.846150000000002</v>
      </c>
      <c r="Q11" s="287">
        <v>36.11777</v>
      </c>
      <c r="R11" s="288">
        <v>36.546560000000007</v>
      </c>
      <c r="S11" s="287">
        <v>36.894469999999998</v>
      </c>
    </row>
    <row r="12" spans="1:19" ht="20" customHeight="1" thickBot="1">
      <c r="A12" s="617" t="s">
        <v>508</v>
      </c>
      <c r="B12" s="159">
        <v>35.374666666666663</v>
      </c>
      <c r="C12" s="289">
        <v>36.639000000000003</v>
      </c>
      <c r="D12" s="159">
        <v>37.06</v>
      </c>
      <c r="E12" s="289">
        <v>37.383000000000003</v>
      </c>
      <c r="F12" s="159">
        <v>37.726999999999997</v>
      </c>
      <c r="G12" s="289">
        <v>38.101999999999997</v>
      </c>
      <c r="H12" s="288">
        <v>38.57</v>
      </c>
      <c r="I12" s="287">
        <v>38.756999999999998</v>
      </c>
      <c r="J12" s="288">
        <v>39.061</v>
      </c>
      <c r="K12" s="287">
        <v>39.344000000000001</v>
      </c>
      <c r="L12" s="288">
        <v>39.613</v>
      </c>
      <c r="M12" s="287">
        <v>39.749000000000002</v>
      </c>
      <c r="N12" s="288">
        <v>40.006999999999998</v>
      </c>
      <c r="O12" s="287">
        <v>40.48612</v>
      </c>
      <c r="P12" s="288">
        <v>40.618650000000002</v>
      </c>
      <c r="Q12" s="287">
        <v>40.89772</v>
      </c>
      <c r="R12" s="288">
        <v>41.184699999999992</v>
      </c>
      <c r="S12" s="287">
        <v>41.391779999999997</v>
      </c>
    </row>
    <row r="13" spans="1:19" ht="20" customHeight="1" thickBot="1">
      <c r="A13" s="617" t="s">
        <v>509</v>
      </c>
      <c r="B13" s="159">
        <v>40.003999999999998</v>
      </c>
      <c r="C13" s="289">
        <v>39.656999999999996</v>
      </c>
      <c r="D13" s="159">
        <v>39.433999999999997</v>
      </c>
      <c r="E13" s="289">
        <v>39.328000000000003</v>
      </c>
      <c r="F13" s="159">
        <v>38.896000000000001</v>
      </c>
      <c r="G13" s="289">
        <v>38.71</v>
      </c>
      <c r="H13" s="288">
        <v>38.902000000000001</v>
      </c>
      <c r="I13" s="287">
        <v>38.851999999999997</v>
      </c>
      <c r="J13" s="288">
        <v>38.762</v>
      </c>
      <c r="K13" s="287">
        <v>38.53</v>
      </c>
      <c r="L13" s="288">
        <v>38.357999999999997</v>
      </c>
      <c r="M13" s="287">
        <v>38.159999999999997</v>
      </c>
      <c r="N13" s="288">
        <v>38.316000000000003</v>
      </c>
      <c r="O13" s="287">
        <v>38.635449999999999</v>
      </c>
      <c r="P13" s="288">
        <v>38.770910000000001</v>
      </c>
      <c r="Q13" s="287">
        <v>39.196379999999998</v>
      </c>
      <c r="R13" s="288">
        <v>39.606700000000018</v>
      </c>
      <c r="S13" s="287">
        <v>39.715019999999996</v>
      </c>
    </row>
    <row r="14" spans="1:19" ht="20" customHeight="1" thickBot="1">
      <c r="A14" s="617" t="s">
        <v>510</v>
      </c>
      <c r="B14" s="159">
        <v>93.447500000000005</v>
      </c>
      <c r="C14" s="289">
        <v>94.822999999999993</v>
      </c>
      <c r="D14" s="159">
        <v>96.433999999999997</v>
      </c>
      <c r="E14" s="289">
        <v>97.8</v>
      </c>
      <c r="F14" s="159">
        <v>98.813000000000002</v>
      </c>
      <c r="G14" s="289">
        <v>99.87</v>
      </c>
      <c r="H14" s="288">
        <v>101.169</v>
      </c>
      <c r="I14" s="287">
        <v>102.21</v>
      </c>
      <c r="J14" s="288">
        <v>103.786</v>
      </c>
      <c r="K14" s="287">
        <v>105.4</v>
      </c>
      <c r="L14" s="288">
        <v>106.727</v>
      </c>
      <c r="M14" s="287">
        <v>107.822</v>
      </c>
      <c r="N14" s="288">
        <v>109.42</v>
      </c>
      <c r="O14" s="287">
        <v>110.83247</v>
      </c>
      <c r="P14" s="288">
        <v>111.85171000000001</v>
      </c>
      <c r="Q14" s="287">
        <v>113.90156</v>
      </c>
      <c r="R14" s="288">
        <v>115.61913</v>
      </c>
      <c r="S14" s="287">
        <v>117.56163000000001</v>
      </c>
    </row>
    <row r="15" spans="1:19" ht="20" customHeight="1" thickBot="1">
      <c r="A15" s="617" t="s">
        <v>511</v>
      </c>
      <c r="B15" s="159">
        <v>230.77500000000001</v>
      </c>
      <c r="C15" s="289">
        <v>232.33199999999999</v>
      </c>
      <c r="D15" s="159">
        <v>234.69200000000001</v>
      </c>
      <c r="E15" s="289">
        <v>237.166</v>
      </c>
      <c r="F15" s="159">
        <v>238.928</v>
      </c>
      <c r="G15" s="289">
        <v>240.34899999999999</v>
      </c>
      <c r="H15" s="288">
        <v>243.904</v>
      </c>
      <c r="I15" s="287">
        <v>247.29599999999999</v>
      </c>
      <c r="J15" s="288">
        <v>250.41499999999999</v>
      </c>
      <c r="K15" s="287">
        <v>253.935</v>
      </c>
      <c r="L15" s="288">
        <v>259.53100000000001</v>
      </c>
      <c r="M15" s="287">
        <v>262.267</v>
      </c>
      <c r="N15" s="288">
        <v>267.50599999999997</v>
      </c>
      <c r="O15" s="287">
        <v>271.45028000000002</v>
      </c>
      <c r="P15" s="288">
        <v>275.94372999999996</v>
      </c>
      <c r="Q15" s="287">
        <v>281.69963000000001</v>
      </c>
      <c r="R15" s="288">
        <v>288.55584999999991</v>
      </c>
      <c r="S15" s="287">
        <v>294.97559000000001</v>
      </c>
    </row>
    <row r="16" spans="1:19" ht="20" customHeight="1" thickBot="1">
      <c r="A16" s="617" t="s">
        <v>512</v>
      </c>
      <c r="B16" s="159">
        <v>243.12833333333333</v>
      </c>
      <c r="C16" s="289">
        <v>246.23500000000001</v>
      </c>
      <c r="D16" s="159">
        <v>247.476</v>
      </c>
      <c r="E16" s="289">
        <v>247.21600000000001</v>
      </c>
      <c r="F16" s="159">
        <v>247.09200000000001</v>
      </c>
      <c r="G16" s="289">
        <v>246.81299999999999</v>
      </c>
      <c r="H16" s="288">
        <v>247.749</v>
      </c>
      <c r="I16" s="287">
        <v>248.85599999999999</v>
      </c>
      <c r="J16" s="288">
        <v>249.40299999999999</v>
      </c>
      <c r="K16" s="287">
        <v>249.66800000000001</v>
      </c>
      <c r="L16" s="288">
        <v>250.441</v>
      </c>
      <c r="M16" s="287">
        <v>250.59800000000001</v>
      </c>
      <c r="N16" s="288">
        <v>252.36</v>
      </c>
      <c r="O16" s="287">
        <v>254.99254000000002</v>
      </c>
      <c r="P16" s="288">
        <v>256.14870000000002</v>
      </c>
      <c r="Q16" s="287">
        <v>257.90082000000001</v>
      </c>
      <c r="R16" s="288">
        <v>259.64493999999996</v>
      </c>
      <c r="S16" s="287">
        <v>262.06759</v>
      </c>
    </row>
    <row r="17" spans="1:19" ht="20" customHeight="1" thickBot="1">
      <c r="A17" s="617" t="s">
        <v>513</v>
      </c>
      <c r="B17" s="159">
        <v>202.74700000000001</v>
      </c>
      <c r="C17" s="289">
        <v>197.077</v>
      </c>
      <c r="D17" s="159">
        <v>191.46899999999999</v>
      </c>
      <c r="E17" s="289">
        <v>189.38900000000001</v>
      </c>
      <c r="F17" s="159">
        <v>186.785</v>
      </c>
      <c r="G17" s="289">
        <v>185.79499999999999</v>
      </c>
      <c r="H17" s="288">
        <v>185.3</v>
      </c>
      <c r="I17" s="287">
        <v>183.86500000000001</v>
      </c>
      <c r="J17" s="288">
        <v>183.321</v>
      </c>
      <c r="K17" s="287">
        <v>182.30600000000001</v>
      </c>
      <c r="L17" s="288">
        <v>179.208</v>
      </c>
      <c r="M17" s="287">
        <v>178.434</v>
      </c>
      <c r="N17" s="288">
        <v>179.02199999999999</v>
      </c>
      <c r="O17" s="287">
        <v>176.78048999999999</v>
      </c>
      <c r="P17" s="288">
        <v>177.93715</v>
      </c>
      <c r="Q17" s="287">
        <v>179.96482999999998</v>
      </c>
      <c r="R17" s="288">
        <v>180.25489999999999</v>
      </c>
      <c r="S17" s="287">
        <v>182.20755</v>
      </c>
    </row>
    <row r="18" spans="1:19" ht="20" customHeight="1" thickBot="1">
      <c r="A18" s="617" t="s">
        <v>514</v>
      </c>
      <c r="B18" s="159">
        <v>253.10658333333333</v>
      </c>
      <c r="C18" s="289">
        <v>257.21300000000002</v>
      </c>
      <c r="D18" s="159">
        <v>259.18</v>
      </c>
      <c r="E18" s="289">
        <v>260.99099999999999</v>
      </c>
      <c r="F18" s="159">
        <v>261.58999999999997</v>
      </c>
      <c r="G18" s="289">
        <v>262.416</v>
      </c>
      <c r="H18" s="288">
        <v>263.71300000000002</v>
      </c>
      <c r="I18" s="287">
        <v>265.19299999999998</v>
      </c>
      <c r="J18" s="288">
        <v>265.84899999999999</v>
      </c>
      <c r="K18" s="287">
        <v>266.108</v>
      </c>
      <c r="L18" s="288">
        <v>267.05399999999997</v>
      </c>
      <c r="M18" s="287">
        <v>267.55099999999999</v>
      </c>
      <c r="N18" s="288">
        <v>269.89800000000002</v>
      </c>
      <c r="O18" s="287">
        <v>271.36428000000001</v>
      </c>
      <c r="P18" s="288">
        <v>272.59865000000002</v>
      </c>
      <c r="Q18" s="287">
        <v>272.86408</v>
      </c>
      <c r="R18" s="288">
        <v>275.0465200000001</v>
      </c>
      <c r="S18" s="287">
        <v>276.32146999999998</v>
      </c>
    </row>
    <row r="19" spans="1:19" ht="20" customHeight="1" thickBot="1">
      <c r="A19" s="617" t="s">
        <v>515</v>
      </c>
      <c r="B19" s="159">
        <v>75.640500000000003</v>
      </c>
      <c r="C19" s="289">
        <v>75.384</v>
      </c>
      <c r="D19" s="159">
        <v>75.146000000000001</v>
      </c>
      <c r="E19" s="289">
        <v>75.436999999999998</v>
      </c>
      <c r="F19" s="159">
        <v>75.233999999999995</v>
      </c>
      <c r="G19" s="289">
        <v>74.863</v>
      </c>
      <c r="H19" s="288">
        <v>75.316999999999993</v>
      </c>
      <c r="I19" s="287">
        <v>75.382999999999996</v>
      </c>
      <c r="J19" s="288">
        <v>75.372</v>
      </c>
      <c r="K19" s="287">
        <v>75.081000000000003</v>
      </c>
      <c r="L19" s="288">
        <v>75.346000000000004</v>
      </c>
      <c r="M19" s="287">
        <v>75.5</v>
      </c>
      <c r="N19" s="288">
        <v>76.042000000000002</v>
      </c>
      <c r="O19" s="287">
        <v>75.37675999999999</v>
      </c>
      <c r="P19" s="288">
        <v>75.719740000000002</v>
      </c>
      <c r="Q19" s="287">
        <v>76.611449999999991</v>
      </c>
      <c r="R19" s="288">
        <v>77.368599999999986</v>
      </c>
      <c r="S19" s="287">
        <v>78.141869999999997</v>
      </c>
    </row>
    <row r="20" spans="1:19" ht="20" customHeight="1" thickBot="1">
      <c r="A20" s="617" t="s">
        <v>516</v>
      </c>
      <c r="B20" s="159">
        <v>54.664083333333338</v>
      </c>
      <c r="C20" s="289">
        <v>55.189</v>
      </c>
      <c r="D20" s="159">
        <v>55.002000000000002</v>
      </c>
      <c r="E20" s="289">
        <v>54.866999999999997</v>
      </c>
      <c r="F20" s="159">
        <v>54.45</v>
      </c>
      <c r="G20" s="289">
        <v>54.061999999999998</v>
      </c>
      <c r="H20" s="288">
        <v>53.828000000000003</v>
      </c>
      <c r="I20" s="287">
        <v>53.734000000000002</v>
      </c>
      <c r="J20" s="288">
        <v>53.587000000000003</v>
      </c>
      <c r="K20" s="287">
        <v>53.420999999999999</v>
      </c>
      <c r="L20" s="288">
        <v>53.225000000000001</v>
      </c>
      <c r="M20" s="287">
        <v>53.216999999999999</v>
      </c>
      <c r="N20" s="288">
        <v>53.39</v>
      </c>
      <c r="O20" s="287">
        <v>53.744680000000002</v>
      </c>
      <c r="P20" s="288">
        <v>53.657710000000002</v>
      </c>
      <c r="Q20" s="287">
        <v>53.875050000000002</v>
      </c>
      <c r="R20" s="288">
        <v>54.194279999999999</v>
      </c>
      <c r="S20" s="287">
        <v>54.394469999999998</v>
      </c>
    </row>
    <row r="21" spans="1:19" ht="20" customHeight="1" thickBot="1">
      <c r="A21" s="617" t="s">
        <v>517</v>
      </c>
      <c r="B21" s="159">
        <v>14.972666666666665</v>
      </c>
      <c r="C21" s="289">
        <v>14.904999999999999</v>
      </c>
      <c r="D21" s="159">
        <v>14.901999999999999</v>
      </c>
      <c r="E21" s="289">
        <v>14.929</v>
      </c>
      <c r="F21" s="159">
        <v>14.948</v>
      </c>
      <c r="G21" s="289">
        <v>14.946999999999999</v>
      </c>
      <c r="H21" s="288">
        <v>14.945</v>
      </c>
      <c r="I21" s="287">
        <v>15.003</v>
      </c>
      <c r="J21" s="288">
        <v>14.996</v>
      </c>
      <c r="K21" s="287">
        <v>15.144</v>
      </c>
      <c r="L21" s="288">
        <v>15.295</v>
      </c>
      <c r="M21" s="287">
        <v>15.346</v>
      </c>
      <c r="N21" s="288">
        <v>15.446999999999999</v>
      </c>
      <c r="O21" s="287">
        <v>15.66264</v>
      </c>
      <c r="P21" s="288">
        <v>15.74004</v>
      </c>
      <c r="Q21" s="287">
        <v>15.76609</v>
      </c>
      <c r="R21" s="288">
        <v>15.936000000000002</v>
      </c>
      <c r="S21" s="287">
        <v>15.87626</v>
      </c>
    </row>
    <row r="22" spans="1:19" ht="20" customHeight="1" thickBot="1">
      <c r="A22" s="617" t="s">
        <v>518</v>
      </c>
      <c r="B22" s="159">
        <v>449.49908333333332</v>
      </c>
      <c r="C22" s="289">
        <v>450.69400000000002</v>
      </c>
      <c r="D22" s="159">
        <v>451.858</v>
      </c>
      <c r="E22" s="289">
        <v>453.88799999999998</v>
      </c>
      <c r="F22" s="159">
        <v>454.75400000000002</v>
      </c>
      <c r="G22" s="289">
        <v>456.13200000000001</v>
      </c>
      <c r="H22" s="288">
        <v>459.04899999999998</v>
      </c>
      <c r="I22" s="287">
        <v>460.67099999999999</v>
      </c>
      <c r="J22" s="288">
        <v>461.89299999999997</v>
      </c>
      <c r="K22" s="287">
        <v>463.16300000000001</v>
      </c>
      <c r="L22" s="288">
        <v>464.71800000000002</v>
      </c>
      <c r="M22" s="287">
        <v>465.78500000000003</v>
      </c>
      <c r="N22" s="288">
        <v>469.53399999999999</v>
      </c>
      <c r="O22" s="287">
        <v>475.36358000000001</v>
      </c>
      <c r="P22" s="288">
        <v>477.90467999999998</v>
      </c>
      <c r="Q22" s="287">
        <v>481.6918</v>
      </c>
      <c r="R22" s="288">
        <v>485.94071000000002</v>
      </c>
      <c r="S22" s="287">
        <v>490.09568999999999</v>
      </c>
    </row>
    <row r="23" spans="1:19" ht="20" customHeight="1" thickBot="1">
      <c r="A23" s="617" t="s">
        <v>519</v>
      </c>
      <c r="B23" s="159">
        <v>195.83291666666665</v>
      </c>
      <c r="C23" s="289">
        <v>196.34399999999999</v>
      </c>
      <c r="D23" s="159">
        <v>196.63800000000001</v>
      </c>
      <c r="E23" s="289">
        <v>195.31700000000001</v>
      </c>
      <c r="F23" s="159">
        <v>194.374</v>
      </c>
      <c r="G23" s="289">
        <v>193.68600000000001</v>
      </c>
      <c r="H23" s="288">
        <v>193.352</v>
      </c>
      <c r="I23" s="287">
        <v>193.339</v>
      </c>
      <c r="J23" s="288">
        <v>194.1</v>
      </c>
      <c r="K23" s="287">
        <v>193.43600000000001</v>
      </c>
      <c r="L23" s="288">
        <v>193.59899999999999</v>
      </c>
      <c r="M23" s="287">
        <v>193.40799999999999</v>
      </c>
      <c r="N23" s="288">
        <v>194.27500000000001</v>
      </c>
      <c r="O23" s="287">
        <v>196.24875</v>
      </c>
      <c r="P23" s="288">
        <v>196.63335999999998</v>
      </c>
      <c r="Q23" s="287">
        <v>197.31997000000001</v>
      </c>
      <c r="R23" s="288">
        <v>197.38124999999997</v>
      </c>
      <c r="S23" s="287">
        <v>198.45083</v>
      </c>
    </row>
    <row r="24" spans="1:19" ht="20" customHeight="1" thickBot="1">
      <c r="A24" s="617" t="s">
        <v>520</v>
      </c>
      <c r="B24" s="159">
        <v>540.04</v>
      </c>
      <c r="C24" s="289">
        <v>542.14499999999998</v>
      </c>
      <c r="D24" s="159">
        <v>550.46100000000001</v>
      </c>
      <c r="E24" s="289">
        <v>554.57299999999998</v>
      </c>
      <c r="F24" s="159">
        <v>557.72799999999995</v>
      </c>
      <c r="G24" s="289">
        <v>562.72799999999995</v>
      </c>
      <c r="H24" s="288">
        <v>562.63</v>
      </c>
      <c r="I24" s="287">
        <v>566.22799999999995</v>
      </c>
      <c r="J24" s="288">
        <v>569.89400000000001</v>
      </c>
      <c r="K24" s="287">
        <v>574.06299999999999</v>
      </c>
      <c r="L24" s="288">
        <v>579.03599999999994</v>
      </c>
      <c r="M24" s="287">
        <v>583.12900000000002</v>
      </c>
      <c r="N24" s="288">
        <v>591.77800000000002</v>
      </c>
      <c r="O24" s="287">
        <v>600.57432999999992</v>
      </c>
      <c r="P24" s="288">
        <v>608.50121999999999</v>
      </c>
      <c r="Q24" s="287">
        <v>617.22104999999999</v>
      </c>
      <c r="R24" s="288">
        <v>625.77284000000009</v>
      </c>
      <c r="S24" s="287">
        <v>634.76807999999994</v>
      </c>
    </row>
    <row r="25" spans="1:19" ht="20" customHeight="1" thickBot="1">
      <c r="A25" s="617" t="s">
        <v>521</v>
      </c>
      <c r="B25" s="159">
        <v>225.32208333333335</v>
      </c>
      <c r="C25" s="289">
        <v>228.715</v>
      </c>
      <c r="D25" s="159">
        <v>228.94</v>
      </c>
      <c r="E25" s="289">
        <v>229.971</v>
      </c>
      <c r="F25" s="159">
        <v>230.22399999999999</v>
      </c>
      <c r="G25" s="289">
        <v>230.393</v>
      </c>
      <c r="H25" s="288">
        <v>231.392</v>
      </c>
      <c r="I25" s="287">
        <v>232.79499999999999</v>
      </c>
      <c r="J25" s="288">
        <v>234.13800000000001</v>
      </c>
      <c r="K25" s="287">
        <v>235.44399999999999</v>
      </c>
      <c r="L25" s="288">
        <v>237.23400000000001</v>
      </c>
      <c r="M25" s="287">
        <v>239.08799999999999</v>
      </c>
      <c r="N25" s="288">
        <v>241.78299999999999</v>
      </c>
      <c r="O25" s="287">
        <v>243.99333999999999</v>
      </c>
      <c r="P25" s="288">
        <v>246.87051</v>
      </c>
      <c r="Q25" s="287">
        <v>250.47754</v>
      </c>
      <c r="R25" s="288">
        <v>254.63635000000002</v>
      </c>
      <c r="S25" s="287">
        <v>258.51560000000001</v>
      </c>
    </row>
    <row r="26" spans="1:19" ht="20" customHeight="1" thickBot="1">
      <c r="A26" s="617" t="s">
        <v>522</v>
      </c>
      <c r="B26" s="159">
        <v>306.31099999999998</v>
      </c>
      <c r="C26" s="289">
        <v>306.72800000000001</v>
      </c>
      <c r="D26" s="159">
        <v>307.84800000000001</v>
      </c>
      <c r="E26" s="289">
        <v>309.99</v>
      </c>
      <c r="F26" s="159">
        <v>311.14800000000002</v>
      </c>
      <c r="G26" s="289">
        <v>312.57</v>
      </c>
      <c r="H26" s="288">
        <v>314.11399999999998</v>
      </c>
      <c r="I26" s="287">
        <v>315.38600000000002</v>
      </c>
      <c r="J26" s="288">
        <v>316.26600000000002</v>
      </c>
      <c r="K26" s="287">
        <v>317.71800000000002</v>
      </c>
      <c r="L26" s="288">
        <v>319.35199999999998</v>
      </c>
      <c r="M26" s="287">
        <v>320.51299999999998</v>
      </c>
      <c r="N26" s="288">
        <v>323.81</v>
      </c>
      <c r="O26" s="287">
        <v>328.07989000000003</v>
      </c>
      <c r="P26" s="288">
        <v>330.74293999999998</v>
      </c>
      <c r="Q26" s="287">
        <v>333.78228000000001</v>
      </c>
      <c r="R26" s="288">
        <v>337.06745000000001</v>
      </c>
      <c r="S26" s="287">
        <v>341.53459000000004</v>
      </c>
    </row>
    <row r="27" spans="1:19" ht="20" customHeight="1" thickBot="1">
      <c r="A27" s="617" t="s">
        <v>523</v>
      </c>
      <c r="B27" s="159">
        <v>609.37608333333333</v>
      </c>
      <c r="C27" s="289">
        <v>611.92499999999995</v>
      </c>
      <c r="D27" s="159">
        <v>614.37</v>
      </c>
      <c r="E27" s="289">
        <v>619.57500000000005</v>
      </c>
      <c r="F27" s="159">
        <v>622.42100000000005</v>
      </c>
      <c r="G27" s="289">
        <v>627.44399999999996</v>
      </c>
      <c r="H27" s="288">
        <v>632.399</v>
      </c>
      <c r="I27" s="287">
        <v>637.65099999999995</v>
      </c>
      <c r="J27" s="288">
        <v>641.82600000000002</v>
      </c>
      <c r="K27" s="287">
        <v>647.24900000000002</v>
      </c>
      <c r="L27" s="288">
        <v>652.99199999999996</v>
      </c>
      <c r="M27" s="287">
        <v>655.92200000000003</v>
      </c>
      <c r="N27" s="288">
        <v>667.79399999999998</v>
      </c>
      <c r="O27" s="287">
        <v>683.74242000000004</v>
      </c>
      <c r="P27" s="288">
        <v>694.01818000000003</v>
      </c>
      <c r="Q27" s="287">
        <v>704.99356999999998</v>
      </c>
      <c r="R27" s="288">
        <v>716.95339999999987</v>
      </c>
      <c r="S27" s="287">
        <v>728.88468</v>
      </c>
    </row>
    <row r="28" spans="1:19" ht="20" customHeight="1" thickBot="1">
      <c r="A28" s="617" t="s">
        <v>524</v>
      </c>
      <c r="B28" s="159">
        <v>280.20841666666666</v>
      </c>
      <c r="C28" s="289">
        <v>279.97500000000002</v>
      </c>
      <c r="D28" s="159">
        <v>281.10700000000003</v>
      </c>
      <c r="E28" s="289">
        <v>282.572</v>
      </c>
      <c r="F28" s="159">
        <v>283.197</v>
      </c>
      <c r="G28" s="289">
        <v>283.83499999999998</v>
      </c>
      <c r="H28" s="288">
        <v>286.911</v>
      </c>
      <c r="I28" s="287">
        <v>290.52699999999999</v>
      </c>
      <c r="J28" s="288">
        <v>293.16300000000001</v>
      </c>
      <c r="K28" s="287">
        <v>296.26100000000002</v>
      </c>
      <c r="L28" s="288">
        <v>298.85199999999998</v>
      </c>
      <c r="M28" s="287">
        <v>301.2</v>
      </c>
      <c r="N28" s="288">
        <v>304.78500000000003</v>
      </c>
      <c r="O28" s="287">
        <v>310.75857999999999</v>
      </c>
      <c r="P28" s="288">
        <v>314.26170999999999</v>
      </c>
      <c r="Q28" s="287">
        <v>318.73081999999999</v>
      </c>
      <c r="R28" s="288">
        <v>323.45080999999999</v>
      </c>
      <c r="S28" s="287">
        <v>328.29721999999998</v>
      </c>
    </row>
    <row r="29" spans="1:19" ht="20" customHeight="1" thickBot="1">
      <c r="A29" s="617" t="s">
        <v>525</v>
      </c>
      <c r="B29" s="159">
        <v>169.14208333333335</v>
      </c>
      <c r="C29" s="289">
        <v>168.61799999999999</v>
      </c>
      <c r="D29" s="159">
        <v>168.59</v>
      </c>
      <c r="E29" s="289">
        <v>168.81800000000001</v>
      </c>
      <c r="F29" s="159">
        <v>168.33</v>
      </c>
      <c r="G29" s="289">
        <v>167.99</v>
      </c>
      <c r="H29" s="288">
        <v>168.66800000000001</v>
      </c>
      <c r="I29" s="287">
        <v>168.94800000000001</v>
      </c>
      <c r="J29" s="288">
        <v>168.94300000000001</v>
      </c>
      <c r="K29" s="287">
        <v>168.89500000000001</v>
      </c>
      <c r="L29" s="288">
        <v>169.613</v>
      </c>
      <c r="M29" s="287">
        <v>168.74100000000001</v>
      </c>
      <c r="N29" s="288">
        <v>169.809</v>
      </c>
      <c r="O29" s="287">
        <v>172.10722000000001</v>
      </c>
      <c r="P29" s="288">
        <v>172.70822000000001</v>
      </c>
      <c r="Q29" s="287">
        <v>173.22032000000002</v>
      </c>
      <c r="R29" s="288">
        <v>174.64082000000008</v>
      </c>
      <c r="S29" s="287">
        <v>176.35395</v>
      </c>
    </row>
    <row r="30" spans="1:19" ht="20" customHeight="1" thickBot="1">
      <c r="A30" s="617" t="s">
        <v>526</v>
      </c>
      <c r="B30" s="159">
        <v>380.8580833333333</v>
      </c>
      <c r="C30" s="289">
        <v>379.05900000000003</v>
      </c>
      <c r="D30" s="159">
        <v>381.58300000000003</v>
      </c>
      <c r="E30" s="289">
        <v>383.69299999999998</v>
      </c>
      <c r="F30" s="159">
        <v>385.67200000000003</v>
      </c>
      <c r="G30" s="289">
        <v>388.76</v>
      </c>
      <c r="H30" s="288">
        <v>395.952</v>
      </c>
      <c r="I30" s="287">
        <v>396.32100000000003</v>
      </c>
      <c r="J30" s="288">
        <v>399.34300000000002</v>
      </c>
      <c r="K30" s="287">
        <v>401.46300000000002</v>
      </c>
      <c r="L30" s="288">
        <v>405.673</v>
      </c>
      <c r="M30" s="287">
        <v>406.99299999999999</v>
      </c>
      <c r="N30" s="288">
        <v>410.08800000000002</v>
      </c>
      <c r="O30" s="287">
        <v>413.96478999999999</v>
      </c>
      <c r="P30" s="288">
        <v>418.44731999999999</v>
      </c>
      <c r="Q30" s="287">
        <v>422.68223999999998</v>
      </c>
      <c r="R30" s="288">
        <v>427.37702999999993</v>
      </c>
      <c r="S30" s="287">
        <v>432.30026000000004</v>
      </c>
    </row>
    <row r="31" spans="1:19" ht="20" customHeight="1" thickBot="1">
      <c r="A31" s="617" t="s">
        <v>527</v>
      </c>
      <c r="B31" s="159">
        <v>70.374083333333331</v>
      </c>
      <c r="C31" s="289">
        <v>70.296000000000006</v>
      </c>
      <c r="D31" s="159">
        <v>70.322999999999993</v>
      </c>
      <c r="E31" s="289">
        <v>70.447000000000003</v>
      </c>
      <c r="F31" s="159">
        <v>70.241</v>
      </c>
      <c r="G31" s="289">
        <v>69.930999999999997</v>
      </c>
      <c r="H31" s="288">
        <v>70.010999999999996</v>
      </c>
      <c r="I31" s="287">
        <v>69.853999999999999</v>
      </c>
      <c r="J31" s="288">
        <v>69.667000000000002</v>
      </c>
      <c r="K31" s="287">
        <v>69.551000000000002</v>
      </c>
      <c r="L31" s="288">
        <v>69.576999999999998</v>
      </c>
      <c r="M31" s="287">
        <v>69.486999999999995</v>
      </c>
      <c r="N31" s="288">
        <v>69.778999999999996</v>
      </c>
      <c r="O31" s="287">
        <v>70.290589999999995</v>
      </c>
      <c r="P31" s="288">
        <v>70.550809999999998</v>
      </c>
      <c r="Q31" s="287">
        <v>70.867380000000011</v>
      </c>
      <c r="R31" s="288">
        <v>71.254999999999995</v>
      </c>
      <c r="S31" s="287">
        <v>71.712720000000004</v>
      </c>
    </row>
    <row r="32" spans="1:19" ht="30" customHeight="1" thickBot="1">
      <c r="A32" s="618" t="s">
        <v>530</v>
      </c>
      <c r="B32" s="291">
        <v>7232.6670000000004</v>
      </c>
      <c r="C32" s="290">
        <v>7236.4709999999995</v>
      </c>
      <c r="D32" s="291">
        <v>7246.616</v>
      </c>
      <c r="E32" s="290">
        <v>7270.5219999999999</v>
      </c>
      <c r="F32" s="291">
        <v>7265.1130000000003</v>
      </c>
      <c r="G32" s="290">
        <v>7301.05</v>
      </c>
      <c r="H32" s="241">
        <v>7344.6319999999996</v>
      </c>
      <c r="I32" s="619">
        <v>7372.5050000000001</v>
      </c>
      <c r="J32" s="244">
        <v>7383.5739999999996</v>
      </c>
      <c r="K32" s="619">
        <v>7435.8649999999998</v>
      </c>
      <c r="L32" s="244">
        <v>7478.4268200000015</v>
      </c>
      <c r="M32" s="619">
        <v>7537.5873800000008</v>
      </c>
      <c r="N32" s="244">
        <v>7615.5633200000002</v>
      </c>
      <c r="O32" s="619">
        <v>7708.8515100000004</v>
      </c>
      <c r="P32" s="244">
        <v>7779.661790000001</v>
      </c>
      <c r="Q32" s="619">
        <v>7862.7704599999997</v>
      </c>
      <c r="R32" s="244">
        <v>7953.3577199999991</v>
      </c>
      <c r="S32" s="619">
        <v>8045.9282400000002</v>
      </c>
    </row>
    <row r="33" spans="1:8" ht="20" customHeight="1">
      <c r="A33" s="189" t="s">
        <v>346</v>
      </c>
      <c r="B33" s="457"/>
      <c r="C33" s="457"/>
      <c r="D33" s="457"/>
      <c r="E33" s="457"/>
      <c r="F33" s="620"/>
      <c r="G33" s="457"/>
      <c r="H33" s="610"/>
    </row>
    <row r="34" spans="1:8" ht="15.75" customHeight="1">
      <c r="A34" s="219"/>
      <c r="B34" s="459"/>
      <c r="C34" s="459"/>
      <c r="D34" s="459"/>
      <c r="E34" s="459"/>
      <c r="F34" s="459"/>
      <c r="G34" s="459"/>
      <c r="H34" s="611"/>
    </row>
    <row r="35" spans="1:8" ht="14.25" customHeight="1">
      <c r="A35" s="461" t="s">
        <v>1187</v>
      </c>
      <c r="B35" s="459"/>
      <c r="C35" s="459"/>
      <c r="D35" s="459"/>
      <c r="E35" s="459"/>
      <c r="F35" s="459"/>
      <c r="G35" s="459"/>
      <c r="H35" s="611"/>
    </row>
    <row r="36" spans="1:8" ht="14.25" customHeight="1">
      <c r="A36" s="461" t="s">
        <v>1188</v>
      </c>
      <c r="B36" s="459"/>
      <c r="C36" s="459"/>
      <c r="D36" s="459"/>
      <c r="E36" s="459"/>
      <c r="F36" s="459"/>
      <c r="G36" s="459"/>
      <c r="H36" s="611"/>
    </row>
    <row r="37" spans="1:8" ht="13.5" customHeight="1">
      <c r="A37" s="219"/>
      <c r="B37" s="459"/>
      <c r="C37" s="459"/>
      <c r="D37" s="459"/>
      <c r="E37" s="459"/>
      <c r="F37" s="459"/>
      <c r="G37" s="459"/>
      <c r="H37" s="611"/>
    </row>
    <row r="38" spans="1:8" ht="12.75" customHeight="1">
      <c r="A38" s="219" t="s">
        <v>1044</v>
      </c>
      <c r="B38" s="459"/>
      <c r="C38" s="459"/>
      <c r="D38" s="459"/>
      <c r="E38" s="459"/>
      <c r="F38" s="459"/>
      <c r="G38" s="459"/>
      <c r="H38" s="611"/>
    </row>
    <row r="39" spans="1:8" ht="12.75" customHeight="1">
      <c r="A39" s="3" t="s">
        <v>1189</v>
      </c>
      <c r="B39" s="459"/>
      <c r="C39" s="459"/>
      <c r="D39" s="459"/>
      <c r="E39" s="459"/>
      <c r="F39" s="459"/>
      <c r="G39" s="459"/>
      <c r="H39" s="611"/>
    </row>
    <row r="41" spans="1:8">
      <c r="A41" s="219"/>
    </row>
    <row r="42" spans="1:8">
      <c r="A42" s="219" t="s">
        <v>302</v>
      </c>
    </row>
  </sheetData>
  <pageMargins left="0.37" right="0.35" top="0.56000000000000005" bottom="0.47244094488188981" header="0.42" footer="0.51181102362204722"/>
  <pageSetup paperSize="9" scale="65" orientation="landscape"/>
  <headerFooter alignWithMargins="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EE0D2-85FB-7848-A22D-0DBFD8CC53AA}">
  <sheetPr>
    <pageSetUpPr fitToPage="1"/>
  </sheetPr>
  <dimension ref="A1:H12"/>
  <sheetViews>
    <sheetView workbookViewId="0">
      <selection activeCell="E19" sqref="E19"/>
    </sheetView>
  </sheetViews>
  <sheetFormatPr baseColWidth="10" defaultColWidth="11.59765625" defaultRowHeight="13"/>
  <cols>
    <col min="1" max="1" width="5.59765625" style="1013" customWidth="1"/>
    <col min="2" max="16384" width="11.59765625" style="1013"/>
  </cols>
  <sheetData>
    <row r="1" spans="1:8" ht="16">
      <c r="A1" s="1089" t="s">
        <v>1859</v>
      </c>
    </row>
    <row r="2" spans="1:8" ht="16">
      <c r="A2" s="1089"/>
    </row>
    <row r="3" spans="1:8">
      <c r="A3" s="1839" t="s">
        <v>102</v>
      </c>
      <c r="B3" s="382" t="s">
        <v>1860</v>
      </c>
      <c r="H3" s="1279"/>
    </row>
    <row r="4" spans="1:8">
      <c r="A4" s="1839" t="s">
        <v>2519</v>
      </c>
      <c r="B4" s="382" t="s">
        <v>1861</v>
      </c>
      <c r="H4" s="1279"/>
    </row>
    <row r="5" spans="1:8">
      <c r="A5" s="1839" t="s">
        <v>2520</v>
      </c>
      <c r="B5" s="382" t="s">
        <v>1862</v>
      </c>
      <c r="H5" s="1279"/>
    </row>
    <row r="6" spans="1:8">
      <c r="A6" s="1839" t="s">
        <v>2521</v>
      </c>
      <c r="B6" s="382" t="s">
        <v>1863</v>
      </c>
      <c r="H6" s="1279"/>
    </row>
    <row r="7" spans="1:8">
      <c r="A7" s="1839" t="s">
        <v>2522</v>
      </c>
      <c r="B7" s="380" t="s">
        <v>1864</v>
      </c>
      <c r="H7" s="1279"/>
    </row>
    <row r="8" spans="1:8">
      <c r="A8" s="1839" t="s">
        <v>2523</v>
      </c>
      <c r="B8" s="380" t="s">
        <v>1865</v>
      </c>
      <c r="H8" s="1279"/>
    </row>
    <row r="9" spans="1:8">
      <c r="A9" s="1839" t="s">
        <v>2524</v>
      </c>
      <c r="B9" s="380" t="s">
        <v>1866</v>
      </c>
      <c r="H9" s="1279"/>
    </row>
    <row r="10" spans="1:8">
      <c r="A10" s="1278"/>
      <c r="B10" s="1278"/>
    </row>
    <row r="11" spans="1:8">
      <c r="A11" s="1278"/>
      <c r="B11" s="1278"/>
    </row>
    <row r="12" spans="1:8">
      <c r="A12" s="1069" t="s">
        <v>302</v>
      </c>
    </row>
  </sheetData>
  <pageMargins left="0.57999999999999996" right="0.6" top="0.65" bottom="0.984251969" header="0.34" footer="0.4921259845"/>
  <pageSetup paperSize="9" orientation="portrait"/>
  <headerFooter alignWithMargins="0"/>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735C7-B961-E94C-885D-573A8BD65CDF}">
  <sheetPr>
    <pageSetUpPr fitToPage="1"/>
  </sheetPr>
  <dimension ref="A1:L46"/>
  <sheetViews>
    <sheetView zoomScaleNormal="100" workbookViewId="0"/>
  </sheetViews>
  <sheetFormatPr baseColWidth="10" defaultColWidth="11.3984375" defaultRowHeight="13"/>
  <cols>
    <col min="1" max="1" width="14.3984375" style="3" customWidth="1"/>
    <col min="2" max="2" width="16.796875" style="3" customWidth="1"/>
    <col min="3" max="5" width="15.3984375" style="3" customWidth="1"/>
    <col min="6" max="6" width="15.3984375" style="492" customWidth="1"/>
    <col min="7" max="7" width="15.3984375" style="3" customWidth="1"/>
    <col min="8" max="16384" width="11.3984375" style="3"/>
  </cols>
  <sheetData>
    <row r="1" spans="1:11" s="1" customFormat="1" ht="14" customHeight="1">
      <c r="F1" s="673"/>
    </row>
    <row r="2" spans="1:11" s="1" customFormat="1" ht="24.5" customHeight="1">
      <c r="A2" s="311" t="s">
        <v>1840</v>
      </c>
      <c r="F2" s="673"/>
      <c r="G2" s="327"/>
    </row>
    <row r="3" spans="1:11" ht="24" customHeight="1">
      <c r="A3" s="224" t="s">
        <v>460</v>
      </c>
      <c r="B3" s="267" t="s">
        <v>497</v>
      </c>
      <c r="C3" s="305" t="s">
        <v>475</v>
      </c>
      <c r="D3" s="267" t="s">
        <v>637</v>
      </c>
      <c r="E3" s="305" t="s">
        <v>475</v>
      </c>
      <c r="F3" s="267" t="s">
        <v>495</v>
      </c>
      <c r="G3" s="305" t="s">
        <v>475</v>
      </c>
    </row>
    <row r="4" spans="1:11" ht="15" customHeight="1">
      <c r="A4" s="269"/>
      <c r="B4" s="614" t="s">
        <v>1841</v>
      </c>
      <c r="C4" s="306" t="s">
        <v>476</v>
      </c>
      <c r="D4" s="614" t="s">
        <v>497</v>
      </c>
      <c r="E4" s="306" t="s">
        <v>476</v>
      </c>
      <c r="F4" s="614" t="s">
        <v>1842</v>
      </c>
      <c r="G4" s="306" t="s">
        <v>476</v>
      </c>
    </row>
    <row r="5" spans="1:11" ht="15" customHeight="1">
      <c r="A5" s="269"/>
      <c r="B5" s="270"/>
      <c r="C5" s="306" t="s">
        <v>477</v>
      </c>
      <c r="D5" s="614" t="s">
        <v>1843</v>
      </c>
      <c r="E5" s="306" t="s">
        <v>477</v>
      </c>
      <c r="F5" s="1272"/>
      <c r="G5" s="306" t="s">
        <v>477</v>
      </c>
    </row>
    <row r="6" spans="1:11" ht="24" customHeight="1">
      <c r="A6" s="273"/>
      <c r="B6" s="274"/>
      <c r="C6" s="307"/>
      <c r="D6" s="274"/>
      <c r="E6" s="307"/>
      <c r="F6" s="1273"/>
      <c r="G6" s="307"/>
    </row>
    <row r="7" spans="1:11" ht="23.25" customHeight="1" thickBot="1">
      <c r="A7" s="277">
        <v>1996</v>
      </c>
      <c r="B7" s="1274">
        <v>173.08</v>
      </c>
      <c r="C7" s="308" t="s">
        <v>1858</v>
      </c>
      <c r="D7" s="1274">
        <v>114.73041951160255</v>
      </c>
      <c r="E7" s="308" t="s">
        <v>1858</v>
      </c>
      <c r="F7" s="1274">
        <v>47.723529089864961</v>
      </c>
      <c r="G7" s="308" t="s">
        <v>1858</v>
      </c>
    </row>
    <row r="8" spans="1:11" ht="20" customHeight="1" thickBot="1">
      <c r="A8" s="280">
        <v>1997</v>
      </c>
      <c r="B8" s="1275">
        <v>188.06152293360134</v>
      </c>
      <c r="C8" s="309">
        <v>8.6558371467537087E-2</v>
      </c>
      <c r="D8" s="1275">
        <v>124.66129778231421</v>
      </c>
      <c r="E8" s="309">
        <v>8.6558371467537087E-2</v>
      </c>
      <c r="F8" s="1275">
        <v>51.854400048567307</v>
      </c>
      <c r="G8" s="309">
        <v>8.6558371467537087E-2</v>
      </c>
      <c r="I8" s="8"/>
      <c r="J8" s="8"/>
      <c r="K8" s="8"/>
    </row>
    <row r="9" spans="1:11" ht="20" customHeight="1" thickBot="1">
      <c r="A9" s="280">
        <v>1998</v>
      </c>
      <c r="B9" s="1275">
        <v>197.28646689698576</v>
      </c>
      <c r="C9" s="309">
        <v>4.9052798358128147E-2</v>
      </c>
      <c r="D9" s="1275">
        <v>125.29607374124997</v>
      </c>
      <c r="E9" s="309">
        <v>5.0920050587330845E-3</v>
      </c>
      <c r="F9" s="1275">
        <v>51.799576777497641</v>
      </c>
      <c r="G9" s="309">
        <v>-1.0572539845860041E-3</v>
      </c>
    </row>
    <row r="10" spans="1:11" ht="20" customHeight="1" thickBot="1">
      <c r="A10" s="280">
        <v>1999</v>
      </c>
      <c r="B10" s="1275">
        <v>203.88952141156713</v>
      </c>
      <c r="C10" s="309">
        <v>3.3469373842196726E-2</v>
      </c>
      <c r="D10" s="1275">
        <v>130.21886901362492</v>
      </c>
      <c r="E10" s="309">
        <v>3.9289301934081866E-2</v>
      </c>
      <c r="F10" s="1275">
        <v>53.348085764350309</v>
      </c>
      <c r="G10" s="309">
        <v>2.9894240130652117E-2</v>
      </c>
    </row>
    <row r="11" spans="1:11" ht="20" customHeight="1" thickBot="1">
      <c r="A11" s="280">
        <v>2000</v>
      </c>
      <c r="B11" s="1275">
        <v>211.67614847185897</v>
      </c>
      <c r="C11" s="309">
        <v>3.8190422962315562E-2</v>
      </c>
      <c r="D11" s="1275">
        <v>134.7191420153035</v>
      </c>
      <c r="E11" s="309">
        <v>3.4559300320813779E-2</v>
      </c>
      <c r="F11" s="1275">
        <v>55.173206027906794</v>
      </c>
      <c r="G11" s="309">
        <v>3.4211541752752428E-2</v>
      </c>
    </row>
    <row r="12" spans="1:11" ht="20" customHeight="1" thickBot="1">
      <c r="A12" s="280">
        <v>2001</v>
      </c>
      <c r="B12" s="1275">
        <v>223.27</v>
      </c>
      <c r="C12" s="309">
        <v>5.4771648160833575E-2</v>
      </c>
      <c r="D12" s="1275">
        <v>149.77000000000001</v>
      </c>
      <c r="E12" s="309">
        <v>0.11172026305650617</v>
      </c>
      <c r="F12" s="1275">
        <v>57.65</v>
      </c>
      <c r="G12" s="309">
        <v>4.4891246139302288E-2</v>
      </c>
    </row>
    <row r="13" spans="1:11" ht="20" customHeight="1" thickBot="1">
      <c r="A13" s="280">
        <v>2002</v>
      </c>
      <c r="B13" s="1275">
        <v>245.01247000000001</v>
      </c>
      <c r="C13" s="309">
        <v>9.7381959063017831E-2</v>
      </c>
      <c r="D13" s="1275">
        <v>172.20867000000001</v>
      </c>
      <c r="E13" s="309">
        <v>0.14982085864992989</v>
      </c>
      <c r="F13" s="1275">
        <v>63.127989999999997</v>
      </c>
      <c r="G13" s="309">
        <v>9.502150910667817E-2</v>
      </c>
    </row>
    <row r="14" spans="1:11" ht="20" customHeight="1" thickBot="1">
      <c r="A14" s="280">
        <v>2003</v>
      </c>
      <c r="B14" s="1275">
        <v>268.54743999999999</v>
      </c>
      <c r="C14" s="309">
        <v>9.6056212975608846E-2</v>
      </c>
      <c r="D14" s="1275">
        <v>198.72591</v>
      </c>
      <c r="E14" s="309">
        <v>0.15398318795447397</v>
      </c>
      <c r="F14" s="1275">
        <v>68.990499999999997</v>
      </c>
      <c r="G14" s="309">
        <v>9.2867046772754813E-2</v>
      </c>
    </row>
    <row r="15" spans="1:11" ht="20" customHeight="1" thickBot="1">
      <c r="A15" s="280">
        <v>2004</v>
      </c>
      <c r="B15" s="1275">
        <v>279.98</v>
      </c>
      <c r="C15" s="309">
        <v>4.2571845034158562E-2</v>
      </c>
      <c r="D15" s="1275">
        <v>213.29</v>
      </c>
      <c r="E15" s="309">
        <v>7.3287323228259371E-2</v>
      </c>
      <c r="F15" s="1275">
        <v>71.84</v>
      </c>
      <c r="G15" s="309">
        <v>4.1302788065023632E-2</v>
      </c>
    </row>
    <row r="16" spans="1:11" ht="20" customHeight="1" thickBot="1">
      <c r="A16" s="280">
        <v>2005</v>
      </c>
      <c r="B16" s="1275">
        <v>290.21806622890591</v>
      </c>
      <c r="C16" s="309">
        <v>3.6567134184248395E-2</v>
      </c>
      <c r="D16" s="1275">
        <v>225.09346768269774</v>
      </c>
      <c r="E16" s="309">
        <v>5.5339995699272171E-2</v>
      </c>
      <c r="F16" s="1275">
        <v>71.95510451056029</v>
      </c>
      <c r="G16" s="309">
        <v>1.6022342784003385E-3</v>
      </c>
    </row>
    <row r="17" spans="1:12" ht="20" customHeight="1" thickBot="1">
      <c r="A17" s="280">
        <v>2006</v>
      </c>
      <c r="B17" s="1275">
        <v>306.40836181971781</v>
      </c>
      <c r="C17" s="309">
        <v>5.5786656568933335E-2</v>
      </c>
      <c r="D17" s="1275">
        <v>241.17388660184943</v>
      </c>
      <c r="E17" s="309">
        <v>7.1438851978678608E-2</v>
      </c>
      <c r="F17" s="1275">
        <v>74.466353915536445</v>
      </c>
      <c r="G17" s="309">
        <v>3.4900225940295959E-2</v>
      </c>
    </row>
    <row r="18" spans="1:12" ht="20" customHeight="1" thickBot="1">
      <c r="A18" s="280">
        <v>2007</v>
      </c>
      <c r="B18" s="1275">
        <v>313.01044236889447</v>
      </c>
      <c r="C18" s="309">
        <v>2.1546672257792832E-2</v>
      </c>
      <c r="D18" s="1275">
        <v>246.30400307180668</v>
      </c>
      <c r="E18" s="309">
        <v>2.1271442535677476E-2</v>
      </c>
      <c r="F18" s="1275">
        <v>75.718485025980357</v>
      </c>
      <c r="G18" s="309">
        <v>1.6814722953458094E-2</v>
      </c>
    </row>
    <row r="19" spans="1:12" ht="20" customHeight="1" thickBot="1">
      <c r="A19" s="280">
        <v>2008</v>
      </c>
      <c r="B19" s="1275">
        <v>314.60604194243149</v>
      </c>
      <c r="C19" s="309">
        <v>5.097592148879615E-3</v>
      </c>
      <c r="D19" s="1275">
        <v>248.01478980217522</v>
      </c>
      <c r="E19" s="309">
        <v>6.9458340466752588E-3</v>
      </c>
      <c r="F19" s="1275">
        <v>75.260357578802569</v>
      </c>
      <c r="G19" s="309">
        <v>-6.0504042971883942E-3</v>
      </c>
    </row>
    <row r="20" spans="1:12" ht="20" customHeight="1" thickBot="1">
      <c r="A20" s="280">
        <v>2009</v>
      </c>
      <c r="B20" s="1275">
        <v>322.86486279268746</v>
      </c>
      <c r="C20" s="309">
        <v>2.6251310366655956E-2</v>
      </c>
      <c r="D20" s="1275">
        <v>258.51834876494348</v>
      </c>
      <c r="E20" s="309">
        <v>4.2350534704588494E-2</v>
      </c>
      <c r="F20" s="1275">
        <v>76.359591370012836</v>
      </c>
      <c r="G20" s="309">
        <v>1.4605747654856671E-2</v>
      </c>
    </row>
    <row r="21" spans="1:12" ht="20" customHeight="1" thickBot="1">
      <c r="A21" s="280">
        <v>2010</v>
      </c>
      <c r="B21" s="1275">
        <v>351.05082991253505</v>
      </c>
      <c r="C21" s="309">
        <v>8.7299580623444673E-2</v>
      </c>
      <c r="D21" s="1275">
        <v>293.85185032818998</v>
      </c>
      <c r="E21" s="309">
        <v>0.13667695825867021</v>
      </c>
      <c r="F21" s="1275">
        <v>84.027090196386368</v>
      </c>
      <c r="G21" s="309">
        <v>0.10041304162065789</v>
      </c>
    </row>
    <row r="22" spans="1:12" ht="20" customHeight="1" thickBot="1">
      <c r="A22" s="280">
        <v>2011</v>
      </c>
      <c r="B22" s="1275">
        <v>373.81789265832555</v>
      </c>
      <c r="C22" s="309">
        <v>6.4854034817302564E-2</v>
      </c>
      <c r="D22" s="1275">
        <v>328.49835406580917</v>
      </c>
      <c r="E22" s="309">
        <v>0.11790466420042645</v>
      </c>
      <c r="F22" s="1275">
        <v>89.330984822405611</v>
      </c>
      <c r="G22" s="309">
        <v>6.3121245941315962E-2</v>
      </c>
    </row>
    <row r="23" spans="1:12" ht="20" customHeight="1" thickBot="1">
      <c r="A23" s="280">
        <v>2012</v>
      </c>
      <c r="B23" s="1275">
        <v>382.00328757086839</v>
      </c>
      <c r="C23" s="309">
        <v>2.189674457349855E-2</v>
      </c>
      <c r="D23" s="1275">
        <v>343.05838678587634</v>
      </c>
      <c r="E23" s="309">
        <v>4.4323000526055312E-2</v>
      </c>
      <c r="F23" s="1275">
        <v>90.589348150346225</v>
      </c>
      <c r="G23" s="309">
        <v>1.4086526981005543E-2</v>
      </c>
    </row>
    <row r="24" spans="1:12" ht="20" customHeight="1" thickBot="1">
      <c r="A24" s="280">
        <v>2013</v>
      </c>
      <c r="B24" s="1275">
        <v>387.70013650893986</v>
      </c>
      <c r="C24" s="309">
        <v>1.4913088770249328E-2</v>
      </c>
      <c r="D24" s="1275">
        <v>353.07516647457373</v>
      </c>
      <c r="E24" s="309">
        <v>2.9198469049379394E-2</v>
      </c>
      <c r="F24" s="1275">
        <v>89.345468695083099</v>
      </c>
      <c r="G24" s="309">
        <v>-1.3730968161938084E-2</v>
      </c>
    </row>
    <row r="25" spans="1:12" ht="20" customHeight="1" thickBot="1">
      <c r="A25" s="280">
        <v>2014</v>
      </c>
      <c r="B25" s="1275">
        <v>396.12442841263254</v>
      </c>
      <c r="C25" s="309">
        <v>2.1728885575201362E-2</v>
      </c>
      <c r="D25" s="1275">
        <v>363.55335610153696</v>
      </c>
      <c r="E25" s="309">
        <v>2.9676937439659268E-2</v>
      </c>
      <c r="F25" s="1275">
        <v>91.524974705275866</v>
      </c>
      <c r="G25" s="309">
        <v>2.4394141549930692E-2</v>
      </c>
    </row>
    <row r="26" spans="1:12" ht="30" customHeight="1" thickBot="1">
      <c r="A26" s="283">
        <v>2015</v>
      </c>
      <c r="B26" s="1276" vm="481">
        <v>411.84110078096694</v>
      </c>
      <c r="C26" s="310">
        <v>3.9676099833870326E-2</v>
      </c>
      <c r="D26" s="1276" vm="438">
        <v>379.7103425211688</v>
      </c>
      <c r="E26" s="310">
        <v>4.4441857428815235E-2</v>
      </c>
      <c r="F26" s="1276" vm="369">
        <v>94.994087705691769</v>
      </c>
      <c r="G26" s="310">
        <v>3.7903457625494852E-2</v>
      </c>
    </row>
    <row r="27" spans="1:12" ht="20" customHeight="1">
      <c r="A27" s="189" t="s">
        <v>1813</v>
      </c>
      <c r="B27" s="189"/>
      <c r="C27" s="189"/>
      <c r="D27" s="189"/>
      <c r="E27" s="189"/>
      <c r="F27" s="686"/>
      <c r="G27" s="189"/>
    </row>
    <row r="28" spans="1:12" ht="14.25" customHeight="1">
      <c r="A28" s="219"/>
      <c r="B28" s="219"/>
      <c r="C28" s="219"/>
      <c r="D28" s="219"/>
      <c r="E28" s="219"/>
      <c r="F28" s="687"/>
      <c r="G28" s="219"/>
    </row>
    <row r="29" spans="1:12" ht="14.25" customHeight="1">
      <c r="A29" s="219" t="s">
        <v>1844</v>
      </c>
      <c r="B29" s="459"/>
      <c r="C29" s="459"/>
      <c r="D29" s="459"/>
      <c r="E29" s="459"/>
      <c r="F29" s="459"/>
      <c r="G29" s="459"/>
      <c r="H29" s="459"/>
      <c r="I29" s="611"/>
    </row>
    <row r="30" spans="1:12" ht="20" customHeight="1">
      <c r="A30" s="219"/>
      <c r="B30" s="459"/>
      <c r="C30" s="459"/>
      <c r="D30" s="459"/>
      <c r="E30" s="459"/>
      <c r="F30" s="459"/>
      <c r="G30" s="459"/>
      <c r="H30" s="459"/>
      <c r="I30" s="611"/>
    </row>
    <row r="31" spans="1:12" ht="17.5" customHeight="1">
      <c r="A31" s="3" t="s">
        <v>1845</v>
      </c>
      <c r="B31" s="459"/>
      <c r="C31" s="459"/>
      <c r="D31" s="459"/>
      <c r="E31" s="459"/>
      <c r="F31" s="459"/>
      <c r="G31" s="459"/>
      <c r="H31" s="459"/>
      <c r="I31" s="611"/>
      <c r="J31" s="17"/>
      <c r="K31" s="17"/>
      <c r="L31" s="17"/>
    </row>
    <row r="32" spans="1:12" ht="12.75" customHeight="1">
      <c r="A32" s="219" t="s">
        <v>1846</v>
      </c>
      <c r="B32" s="459"/>
      <c r="C32" s="459"/>
      <c r="D32" s="459"/>
      <c r="E32" s="459"/>
      <c r="F32" s="459"/>
      <c r="G32" s="459"/>
      <c r="H32" s="459"/>
      <c r="I32" s="611"/>
    </row>
    <row r="33" spans="1:6">
      <c r="A33" s="3" t="s">
        <v>1847</v>
      </c>
      <c r="F33" s="3"/>
    </row>
    <row r="34" spans="1:6">
      <c r="A34" s="3" t="s">
        <v>1848</v>
      </c>
      <c r="F34" s="3"/>
    </row>
    <row r="35" spans="1:6">
      <c r="A35" s="3" t="s">
        <v>1849</v>
      </c>
      <c r="F35" s="3"/>
    </row>
    <row r="36" spans="1:6">
      <c r="A36" s="3" t="s">
        <v>1850</v>
      </c>
      <c r="F36" s="3"/>
    </row>
    <row r="37" spans="1:6">
      <c r="A37" s="219" t="s">
        <v>1851</v>
      </c>
      <c r="F37" s="3"/>
    </row>
    <row r="38" spans="1:6">
      <c r="A38" s="219" t="s">
        <v>1852</v>
      </c>
      <c r="F38" s="3"/>
    </row>
    <row r="39" spans="1:6">
      <c r="A39" s="1100" t="s">
        <v>1853</v>
      </c>
      <c r="F39" s="3"/>
    </row>
    <row r="40" spans="1:6">
      <c r="A40" s="3" t="s">
        <v>1854</v>
      </c>
      <c r="F40" s="3"/>
    </row>
    <row r="41" spans="1:6">
      <c r="A41" s="3" t="s">
        <v>1855</v>
      </c>
      <c r="F41" s="3"/>
    </row>
    <row r="42" spans="1:6">
      <c r="A42" s="3" t="s">
        <v>1856</v>
      </c>
      <c r="F42" s="3"/>
    </row>
    <row r="43" spans="1:6">
      <c r="A43" s="1277" t="s">
        <v>1857</v>
      </c>
      <c r="F43" s="3"/>
    </row>
    <row r="46" spans="1:6">
      <c r="A46" s="3" t="s">
        <v>302</v>
      </c>
    </row>
  </sheetData>
  <pageMargins left="0.43307086614173229" right="0.27559055118110237" top="0.87" bottom="0.47244094488188981" header="0.51181102362204722" footer="0.51181102362204722"/>
  <pageSetup paperSize="9" scale="80" orientation="portrait" horizontalDpi="4294967292" verticalDpi="4294967292"/>
  <headerFooter alignWithMargins="0"/>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26AD-53A2-B742-A05D-254CFBB594A6}">
  <sheetPr>
    <pageSetUpPr fitToPage="1"/>
  </sheetPr>
  <dimension ref="A1:L45"/>
  <sheetViews>
    <sheetView zoomScaleNormal="100" workbookViewId="0"/>
  </sheetViews>
  <sheetFormatPr baseColWidth="10" defaultColWidth="11.3984375" defaultRowHeight="13"/>
  <cols>
    <col min="1" max="1" width="15.19921875" style="3" customWidth="1"/>
    <col min="2" max="6" width="15.796875" style="3" customWidth="1"/>
    <col min="7" max="8" width="14.3984375" style="3" customWidth="1"/>
    <col min="9" max="16384" width="11.3984375" style="3"/>
  </cols>
  <sheetData>
    <row r="1" spans="1:8" s="1" customFormat="1" ht="14" customHeight="1">
      <c r="A1" s="191"/>
      <c r="B1" s="191"/>
      <c r="C1" s="191"/>
      <c r="D1" s="191"/>
      <c r="E1" s="191"/>
      <c r="F1" s="191"/>
    </row>
    <row r="2" spans="1:8" s="1" customFormat="1" ht="23.25" customHeight="1">
      <c r="A2" s="464" t="s">
        <v>1839</v>
      </c>
      <c r="B2" s="191"/>
      <c r="C2" s="191"/>
      <c r="D2" s="191"/>
      <c r="E2" s="191"/>
      <c r="F2" s="191"/>
    </row>
    <row r="3" spans="1:8" s="1" customFormat="1" ht="27.75" customHeight="1">
      <c r="A3" s="464" t="s">
        <v>1822</v>
      </c>
      <c r="B3" s="191"/>
      <c r="C3" s="191"/>
      <c r="D3" s="191"/>
      <c r="E3" s="191"/>
      <c r="F3" s="191"/>
    </row>
    <row r="4" spans="1:8" ht="20.5" customHeight="1">
      <c r="A4" s="224" t="s">
        <v>67</v>
      </c>
      <c r="B4" s="1257" t="s">
        <v>1824</v>
      </c>
      <c r="C4" s="1258" t="s">
        <v>1825</v>
      </c>
      <c r="D4" s="1257" t="s">
        <v>1826</v>
      </c>
      <c r="E4" s="1258" t="s">
        <v>1827</v>
      </c>
      <c r="F4" s="1257" t="s">
        <v>1836</v>
      </c>
      <c r="G4" s="1262" t="s">
        <v>475</v>
      </c>
      <c r="H4" s="1263" t="s">
        <v>1828</v>
      </c>
    </row>
    <row r="5" spans="1:8" ht="16.75" customHeight="1">
      <c r="A5" s="269"/>
      <c r="B5" s="1259"/>
      <c r="C5" s="1260"/>
      <c r="D5" s="1259"/>
      <c r="E5" s="1260"/>
      <c r="F5" s="1264" t="s">
        <v>1838</v>
      </c>
      <c r="G5" s="1265" t="s">
        <v>476</v>
      </c>
      <c r="H5" s="1266" t="s">
        <v>1830</v>
      </c>
    </row>
    <row r="6" spans="1:8" ht="19.75" customHeight="1">
      <c r="A6" s="469"/>
      <c r="B6" s="315"/>
      <c r="C6" s="1178"/>
      <c r="D6" s="315"/>
      <c r="E6" s="1178"/>
      <c r="F6" s="1116"/>
      <c r="G6" s="1130" t="s">
        <v>477</v>
      </c>
      <c r="H6" s="1267" t="s">
        <v>475</v>
      </c>
    </row>
    <row r="7" spans="1:8" ht="18.5" customHeight="1">
      <c r="A7" s="273"/>
      <c r="B7" s="274"/>
      <c r="C7" s="275"/>
      <c r="D7" s="274"/>
      <c r="E7" s="275"/>
      <c r="F7" s="362"/>
      <c r="G7" s="1268"/>
      <c r="H7" s="1269" t="s">
        <v>1834</v>
      </c>
    </row>
    <row r="8" spans="1:8" ht="30" customHeight="1" thickBot="1">
      <c r="A8" s="1119" t="s">
        <v>502</v>
      </c>
      <c r="B8" s="278" vm="523">
        <v>452.2966392474234</v>
      </c>
      <c r="C8" s="279" vm="549">
        <v>409.06736526435719</v>
      </c>
      <c r="D8" s="278" vm="522">
        <v>380.55455706243106</v>
      </c>
      <c r="E8" s="279" t="s">
        <v>390</v>
      </c>
      <c r="F8" s="1270" vm="521">
        <v>411.69371801176283</v>
      </c>
      <c r="G8" s="308">
        <v>4.4666147672252743E-2</v>
      </c>
      <c r="H8" s="406">
        <v>5.0521966140496977E-2</v>
      </c>
    </row>
    <row r="9" spans="1:8" ht="20" customHeight="1" thickBot="1">
      <c r="A9" s="1122" t="s">
        <v>503</v>
      </c>
      <c r="B9" s="281" vm="520">
        <v>480.35824729186487</v>
      </c>
      <c r="C9" s="282" vm="548">
        <v>427.70674826235643</v>
      </c>
      <c r="D9" s="281" vm="519">
        <v>402.0466717249177</v>
      </c>
      <c r="E9" s="282" t="s">
        <v>390</v>
      </c>
      <c r="F9" s="1271" vm="518">
        <v>438.14258160732902</v>
      </c>
      <c r="G9" s="309">
        <v>2.7079011850763779E-2</v>
      </c>
      <c r="H9" s="351">
        <v>5.2763998434684378E-2</v>
      </c>
    </row>
    <row r="10" spans="1:8" ht="20" customHeight="1" thickBot="1">
      <c r="A10" s="1122" t="s">
        <v>504</v>
      </c>
      <c r="B10" s="281" vm="517">
        <v>395.14685486109607</v>
      </c>
      <c r="C10" s="282" vm="547">
        <v>365.43821943548505</v>
      </c>
      <c r="D10" s="281" vm="516">
        <v>348.97468942887446</v>
      </c>
      <c r="E10" s="282" t="s">
        <v>390</v>
      </c>
      <c r="F10" s="1271" vm="515">
        <v>372.62968989974217</v>
      </c>
      <c r="G10" s="309">
        <v>4.9444744065518131E-2</v>
      </c>
      <c r="H10" s="351">
        <v>5.3231164922955321E-2</v>
      </c>
    </row>
    <row r="11" spans="1:8" ht="20" customHeight="1" thickBot="1">
      <c r="A11" s="1122" t="s">
        <v>505</v>
      </c>
      <c r="B11" s="281" t="s">
        <v>390</v>
      </c>
      <c r="C11" s="282" t="s">
        <v>390</v>
      </c>
      <c r="D11" s="281" t="s">
        <v>390</v>
      </c>
      <c r="E11" s="282" vm="546">
        <v>345.69418091890577</v>
      </c>
      <c r="F11" s="1271" vm="514">
        <v>345.69418091890577</v>
      </c>
      <c r="G11" s="309">
        <v>4.0615728936522544E-2</v>
      </c>
      <c r="H11" s="351">
        <v>4.8268784859320846E-2</v>
      </c>
    </row>
    <row r="12" spans="1:8" ht="20" customHeight="1" thickBot="1">
      <c r="A12" s="1122" t="s">
        <v>506</v>
      </c>
      <c r="B12" s="281" t="s">
        <v>390</v>
      </c>
      <c r="C12" s="282" t="s">
        <v>390</v>
      </c>
      <c r="D12" s="281" t="s">
        <v>390</v>
      </c>
      <c r="E12" s="282" vm="545">
        <v>358.99627792986058</v>
      </c>
      <c r="F12" s="1271" vm="513">
        <v>358.99627792986058</v>
      </c>
      <c r="G12" s="309">
        <v>4.4138179466472138E-2</v>
      </c>
      <c r="H12" s="351">
        <v>5.071160812080433E-2</v>
      </c>
    </row>
    <row r="13" spans="1:8" ht="20" customHeight="1" thickBot="1">
      <c r="A13" s="1122" t="s">
        <v>507</v>
      </c>
      <c r="B13" s="281" t="s">
        <v>390</v>
      </c>
      <c r="C13" s="282" t="s">
        <v>390</v>
      </c>
      <c r="D13" s="281" t="s">
        <v>390</v>
      </c>
      <c r="E13" s="282" vm="544">
        <v>345.69982732695365</v>
      </c>
      <c r="F13" s="1271" vm="512">
        <v>345.69982732695365</v>
      </c>
      <c r="G13" s="309">
        <v>6.2439860638839884E-2</v>
      </c>
      <c r="H13" s="351">
        <v>4.7981253719904471E-2</v>
      </c>
    </row>
    <row r="14" spans="1:8" ht="20" customHeight="1" thickBot="1">
      <c r="A14" s="1122" t="s">
        <v>508</v>
      </c>
      <c r="B14" s="281" t="s">
        <v>390</v>
      </c>
      <c r="C14" s="282" t="s">
        <v>390</v>
      </c>
      <c r="D14" s="281" t="s">
        <v>390</v>
      </c>
      <c r="E14" s="282" vm="543">
        <v>329.3357574059857</v>
      </c>
      <c r="F14" s="1271" vm="511">
        <v>329.33575740598576</v>
      </c>
      <c r="G14" s="309">
        <v>6.7778389033332109E-2</v>
      </c>
      <c r="H14" s="351">
        <v>4.7852076812351596E-2</v>
      </c>
    </row>
    <row r="15" spans="1:8" ht="20" customHeight="1" thickBot="1">
      <c r="A15" s="1122" t="s">
        <v>509</v>
      </c>
      <c r="B15" s="281" t="s">
        <v>390</v>
      </c>
      <c r="C15" s="282" t="s">
        <v>390</v>
      </c>
      <c r="D15" s="281" t="s">
        <v>390</v>
      </c>
      <c r="E15" s="282" vm="542">
        <v>358.65965852960551</v>
      </c>
      <c r="F15" s="1271" vm="510">
        <v>358.65965852960551</v>
      </c>
      <c r="G15" s="309">
        <v>4.1081667955460199E-2</v>
      </c>
      <c r="H15" s="351">
        <v>5.4903246378273041E-2</v>
      </c>
    </row>
    <row r="16" spans="1:8" ht="20" customHeight="1" thickBot="1">
      <c r="A16" s="1122" t="s">
        <v>510</v>
      </c>
      <c r="B16" s="281" t="s">
        <v>390</v>
      </c>
      <c r="C16" s="282" t="s">
        <v>390</v>
      </c>
      <c r="D16" s="281" t="s">
        <v>390</v>
      </c>
      <c r="E16" s="282" vm="541">
        <v>349.57369052850805</v>
      </c>
      <c r="F16" s="1271" vm="509">
        <v>349.57369052850805</v>
      </c>
      <c r="G16" s="309">
        <v>3.6208887149554503E-2</v>
      </c>
      <c r="H16" s="351">
        <v>4.843685750595994E-2</v>
      </c>
    </row>
    <row r="17" spans="1:8" ht="20" customHeight="1" thickBot="1">
      <c r="A17" s="1122" t="s">
        <v>511</v>
      </c>
      <c r="B17" s="281" vm="508">
        <v>410.20039450892813</v>
      </c>
      <c r="C17" s="282" vm="540">
        <v>373.58976573899503</v>
      </c>
      <c r="D17" s="281" t="s">
        <v>390</v>
      </c>
      <c r="E17" s="282" t="s">
        <v>390</v>
      </c>
      <c r="F17" s="1271" vm="507">
        <v>386.14685340234178</v>
      </c>
      <c r="G17" s="309">
        <v>3.7956790240435412E-2</v>
      </c>
      <c r="H17" s="351">
        <v>4.144186695187746E-2</v>
      </c>
    </row>
    <row r="18" spans="1:8" ht="20" customHeight="1" thickBot="1">
      <c r="A18" s="1122" t="s">
        <v>512</v>
      </c>
      <c r="B18" s="281" t="s">
        <v>390</v>
      </c>
      <c r="C18" s="282" t="s">
        <v>390</v>
      </c>
      <c r="D18" s="281" t="s">
        <v>390</v>
      </c>
      <c r="E18" s="282" vm="539">
        <v>397.09201457031617</v>
      </c>
      <c r="F18" s="1271" vm="506">
        <v>397.09201457031617</v>
      </c>
      <c r="G18" s="309">
        <v>5.372947107574455E-2</v>
      </c>
      <c r="H18" s="351">
        <v>5.1300566144527382E-2</v>
      </c>
    </row>
    <row r="19" spans="1:8" ht="20" customHeight="1" thickBot="1">
      <c r="A19" s="1122" t="s">
        <v>513</v>
      </c>
      <c r="B19" s="281" t="s">
        <v>390</v>
      </c>
      <c r="C19" s="282" t="s">
        <v>390</v>
      </c>
      <c r="D19" s="281" t="s">
        <v>390</v>
      </c>
      <c r="E19" s="282" vm="538">
        <v>533.17686280126668</v>
      </c>
      <c r="F19" s="1271" vm="505">
        <v>533.17686280126668</v>
      </c>
      <c r="G19" s="309">
        <v>4.1202356863683676E-2</v>
      </c>
      <c r="H19" s="351">
        <v>5.3667763226781684E-2</v>
      </c>
    </row>
    <row r="20" spans="1:8" ht="20" customHeight="1" thickBot="1">
      <c r="A20" s="1122" t="s">
        <v>514</v>
      </c>
      <c r="B20" s="281" vm="504">
        <v>451.49783149852806</v>
      </c>
      <c r="C20" s="282" vm="537">
        <v>416.62592401208764</v>
      </c>
      <c r="D20" s="281" t="s">
        <v>390</v>
      </c>
      <c r="E20" s="282" t="s">
        <v>390</v>
      </c>
      <c r="F20" s="1271" vm="503">
        <v>441.91940694644904</v>
      </c>
      <c r="G20" s="309">
        <v>5.0283648416628246E-2</v>
      </c>
      <c r="H20" s="351">
        <v>5.1614853679395445E-2</v>
      </c>
    </row>
    <row r="21" spans="1:8" ht="20" customHeight="1" thickBot="1">
      <c r="A21" s="1122" t="s">
        <v>515</v>
      </c>
      <c r="B21" s="281" vm="502">
        <v>407.14417469795711</v>
      </c>
      <c r="C21" s="282" vm="536">
        <v>380.92661307368138</v>
      </c>
      <c r="D21" s="281" t="s">
        <v>390</v>
      </c>
      <c r="E21" s="282" t="s">
        <v>390</v>
      </c>
      <c r="F21" s="1271" vm="501">
        <v>396.28058726347263</v>
      </c>
      <c r="G21" s="309">
        <v>4.2559391522306367E-2</v>
      </c>
      <c r="H21" s="351">
        <v>5.4816928961153089E-2</v>
      </c>
    </row>
    <row r="22" spans="1:8" ht="20" customHeight="1" thickBot="1">
      <c r="A22" s="1122" t="s">
        <v>516</v>
      </c>
      <c r="B22" s="281" t="s">
        <v>390</v>
      </c>
      <c r="C22" s="282" t="s">
        <v>390</v>
      </c>
      <c r="D22" s="281" t="s">
        <v>390</v>
      </c>
      <c r="E22" s="282" vm="535">
        <v>351.86284039894991</v>
      </c>
      <c r="F22" s="1271" vm="500">
        <v>351.86284039894986</v>
      </c>
      <c r="G22" s="309">
        <v>5.720576076630679E-2</v>
      </c>
      <c r="H22" s="351">
        <v>5.7946457278194918E-2</v>
      </c>
    </row>
    <row r="23" spans="1:8" ht="20" customHeight="1" thickBot="1">
      <c r="A23" s="1122" t="s">
        <v>517</v>
      </c>
      <c r="B23" s="281" t="s">
        <v>390</v>
      </c>
      <c r="C23" s="282" t="s">
        <v>390</v>
      </c>
      <c r="D23" s="281" t="s">
        <v>390</v>
      </c>
      <c r="E23" s="282" vm="534">
        <v>319.62714171709814</v>
      </c>
      <c r="F23" s="1271" vm="499">
        <v>319.62714171709808</v>
      </c>
      <c r="G23" s="309">
        <v>3.6401554974327732E-2</v>
      </c>
      <c r="H23" s="351">
        <v>5.4085730213768501E-2</v>
      </c>
    </row>
    <row r="24" spans="1:8" ht="20" customHeight="1" thickBot="1">
      <c r="A24" s="1122" t="s">
        <v>518</v>
      </c>
      <c r="B24" s="281" vm="498">
        <v>406.90458706252628</v>
      </c>
      <c r="C24" s="282" vm="533">
        <v>373.16611275878819</v>
      </c>
      <c r="D24" s="281" vm="497">
        <v>360.22396755022675</v>
      </c>
      <c r="E24" s="282" t="s">
        <v>390</v>
      </c>
      <c r="F24" s="1271" vm="496">
        <v>379.81262895663127</v>
      </c>
      <c r="G24" s="309">
        <v>4.8651433616002659E-2</v>
      </c>
      <c r="H24" s="351">
        <v>5.808964485942214E-2</v>
      </c>
    </row>
    <row r="25" spans="1:8" ht="20" customHeight="1" thickBot="1">
      <c r="A25" s="1122" t="s">
        <v>519</v>
      </c>
      <c r="B25" s="281" vm="495">
        <v>369.3041703744878</v>
      </c>
      <c r="C25" s="282" vm="532">
        <v>340.49006988516476</v>
      </c>
      <c r="D25" s="281" vm="494">
        <v>325.74617822380122</v>
      </c>
      <c r="E25" s="282" t="s">
        <v>390</v>
      </c>
      <c r="F25" s="1271" vm="493">
        <v>344.48894533963897</v>
      </c>
      <c r="G25" s="309">
        <v>4.1472257964188852E-2</v>
      </c>
      <c r="H25" s="351">
        <v>5.5867440791219192E-2</v>
      </c>
    </row>
    <row r="26" spans="1:8" ht="20" customHeight="1" thickBot="1">
      <c r="A26" s="1122" t="s">
        <v>520</v>
      </c>
      <c r="B26" s="281" t="s">
        <v>390</v>
      </c>
      <c r="C26" s="282" t="s">
        <v>390</v>
      </c>
      <c r="D26" s="281" t="s">
        <v>390</v>
      </c>
      <c r="E26" s="282" vm="531">
        <v>387.3798796847812</v>
      </c>
      <c r="F26" s="1271" vm="492">
        <v>387.3798796847812</v>
      </c>
      <c r="G26" s="309">
        <v>3.789077460419632E-2</v>
      </c>
      <c r="H26" s="351">
        <v>5.8122556242544698E-2</v>
      </c>
    </row>
    <row r="27" spans="1:8" ht="20" customHeight="1" thickBot="1">
      <c r="A27" s="1122" t="s">
        <v>521</v>
      </c>
      <c r="B27" s="281" t="s">
        <v>390</v>
      </c>
      <c r="C27" s="282" t="s">
        <v>390</v>
      </c>
      <c r="D27" s="281" t="s">
        <v>390</v>
      </c>
      <c r="E27" s="282" vm="530">
        <v>373.76622784591353</v>
      </c>
      <c r="F27" s="1271" vm="491">
        <v>373.76622784591353</v>
      </c>
      <c r="G27" s="309">
        <v>4.015112693368561E-2</v>
      </c>
      <c r="H27" s="351">
        <v>5.6837791260196058E-2</v>
      </c>
    </row>
    <row r="28" spans="1:8" ht="20" customHeight="1" thickBot="1">
      <c r="A28" s="1122" t="s">
        <v>522</v>
      </c>
      <c r="B28" s="281" vm="490">
        <v>433.35281483319977</v>
      </c>
      <c r="C28" s="282" vm="529">
        <v>405.75758716006271</v>
      </c>
      <c r="D28" s="281" t="s">
        <v>390</v>
      </c>
      <c r="E28" s="282" t="s">
        <v>390</v>
      </c>
      <c r="F28" s="1271" vm="489">
        <v>429.28200039236407</v>
      </c>
      <c r="G28" s="309">
        <v>3.2374999704197105E-2</v>
      </c>
      <c r="H28" s="351">
        <v>4.0460181639617288E-2</v>
      </c>
    </row>
    <row r="29" spans="1:8" ht="20" customHeight="1" thickBot="1">
      <c r="A29" s="1122" t="s">
        <v>523</v>
      </c>
      <c r="B29" s="281" vm="488">
        <v>458.731921772166</v>
      </c>
      <c r="C29" s="282" vm="528">
        <v>432.22922841000519</v>
      </c>
      <c r="D29" s="281" t="s">
        <v>390</v>
      </c>
      <c r="E29" s="282" t="s">
        <v>390</v>
      </c>
      <c r="F29" s="1271" vm="487">
        <v>450.26315557244095</v>
      </c>
      <c r="G29" s="309">
        <v>3.4822727267782572E-2</v>
      </c>
      <c r="H29" s="351">
        <v>3.0543057495475479E-2</v>
      </c>
    </row>
    <row r="30" spans="1:8" ht="20" customHeight="1" thickBot="1">
      <c r="A30" s="1122" t="s">
        <v>524</v>
      </c>
      <c r="B30" s="281" vm="486">
        <v>363.28696796954233</v>
      </c>
      <c r="C30" s="282" vm="527">
        <v>337.53517423593303</v>
      </c>
      <c r="D30" s="281" t="s">
        <v>390</v>
      </c>
      <c r="E30" s="282" t="s">
        <v>390</v>
      </c>
      <c r="F30" s="1271" vm="485">
        <v>355.58873100755437</v>
      </c>
      <c r="G30" s="309">
        <v>3.8575661175107356E-2</v>
      </c>
      <c r="H30" s="351">
        <v>3.9105339333695976E-2</v>
      </c>
    </row>
    <row r="31" spans="1:8" ht="20" customHeight="1" thickBot="1">
      <c r="A31" s="1122" t="s">
        <v>525</v>
      </c>
      <c r="B31" s="281" t="s">
        <v>390</v>
      </c>
      <c r="C31" s="282" t="s">
        <v>390</v>
      </c>
      <c r="D31" s="281" t="s">
        <v>390</v>
      </c>
      <c r="E31" s="282" vm="526">
        <v>423.84724437045361</v>
      </c>
      <c r="F31" s="1271" vm="484">
        <v>423.84724437045361</v>
      </c>
      <c r="G31" s="309">
        <v>5.0657930058156664E-2</v>
      </c>
      <c r="H31" s="351">
        <v>4.4069116554175558E-2</v>
      </c>
    </row>
    <row r="32" spans="1:8" ht="20" customHeight="1" thickBot="1">
      <c r="A32" s="1122" t="s">
        <v>526</v>
      </c>
      <c r="B32" s="281" t="s">
        <v>390</v>
      </c>
      <c r="C32" s="282" t="s">
        <v>390</v>
      </c>
      <c r="D32" s="281" t="s">
        <v>390</v>
      </c>
      <c r="E32" s="282" vm="525">
        <v>499.65090243228565</v>
      </c>
      <c r="F32" s="1271" vm="483">
        <v>499.65090243228565</v>
      </c>
      <c r="G32" s="309">
        <v>3.4469433017922713E-2</v>
      </c>
      <c r="H32" s="351">
        <v>3.4500694297196377E-2</v>
      </c>
    </row>
    <row r="33" spans="1:12" ht="20" customHeight="1" thickBot="1">
      <c r="A33" s="1122" t="s">
        <v>527</v>
      </c>
      <c r="B33" s="281" t="s">
        <v>390</v>
      </c>
      <c r="C33" s="282" t="s">
        <v>390</v>
      </c>
      <c r="D33" s="281" t="s">
        <v>390</v>
      </c>
      <c r="E33" s="282" vm="524">
        <v>423.54909177030851</v>
      </c>
      <c r="F33" s="1271" vm="482">
        <v>423.54909177030845</v>
      </c>
      <c r="G33" s="309">
        <v>3.8553089707751287E-2</v>
      </c>
      <c r="H33" s="351">
        <v>4.3745876016203056E-2</v>
      </c>
    </row>
    <row r="34" spans="1:12" s="410" customFormat="1" ht="30" customHeight="1" thickBot="1">
      <c r="A34" s="354" t="s">
        <v>530</v>
      </c>
      <c r="B34" s="524" t="s">
        <v>390</v>
      </c>
      <c r="C34" s="525" t="s">
        <v>390</v>
      </c>
      <c r="D34" s="524" t="s">
        <v>390</v>
      </c>
      <c r="E34" s="525" t="s">
        <v>390</v>
      </c>
      <c r="F34" s="524" vm="481">
        <v>411.84110078096694</v>
      </c>
      <c r="G34" s="648">
        <v>3.9676099833870326E-2</v>
      </c>
      <c r="H34" s="526">
        <v>4.6682309938271382E-2</v>
      </c>
    </row>
    <row r="35" spans="1:12" ht="20" customHeight="1">
      <c r="A35" s="189" t="s">
        <v>1813</v>
      </c>
      <c r="B35" s="1261"/>
      <c r="C35" s="1261"/>
      <c r="D35" s="1261"/>
      <c r="E35" s="1261"/>
      <c r="F35" s="1261"/>
    </row>
    <row r="36" spans="1:12" ht="12.75" customHeight="1">
      <c r="A36" s="219"/>
      <c r="B36" s="621"/>
      <c r="C36" s="621"/>
      <c r="D36" s="621"/>
      <c r="E36" s="621"/>
      <c r="F36" s="621"/>
    </row>
    <row r="37" spans="1:12" ht="15.75" customHeight="1">
      <c r="A37" s="219" t="s">
        <v>1814</v>
      </c>
      <c r="B37" s="621"/>
      <c r="C37" s="621"/>
      <c r="D37" s="621"/>
      <c r="E37" s="621"/>
      <c r="F37" s="621"/>
    </row>
    <row r="38" spans="1:12" ht="13.5" customHeight="1">
      <c r="A38" s="219"/>
      <c r="B38" s="621"/>
      <c r="C38" s="621"/>
      <c r="D38" s="621"/>
      <c r="E38" s="621"/>
      <c r="F38" s="621"/>
    </row>
    <row r="39" spans="1:12" ht="12.75" customHeight="1">
      <c r="A39" s="219" t="s">
        <v>1811</v>
      </c>
      <c r="B39" s="621"/>
      <c r="C39" s="621"/>
      <c r="D39" s="621"/>
      <c r="E39" s="621"/>
      <c r="F39" s="621"/>
    </row>
    <row r="40" spans="1:12">
      <c r="A40" s="3" t="s">
        <v>1831</v>
      </c>
      <c r="B40" s="63"/>
      <c r="C40" s="63"/>
      <c r="D40" s="63"/>
      <c r="E40" s="63"/>
      <c r="F40" s="63"/>
    </row>
    <row r="41" spans="1:12">
      <c r="A41" s="3" t="s">
        <v>1832</v>
      </c>
      <c r="B41" s="63"/>
      <c r="C41" s="63"/>
      <c r="D41" s="63"/>
      <c r="E41" s="63"/>
      <c r="F41" s="63"/>
    </row>
    <row r="42" spans="1:12">
      <c r="A42" s="3" t="s">
        <v>1833</v>
      </c>
      <c r="B42" s="63"/>
      <c r="C42" s="63"/>
      <c r="D42" s="63"/>
      <c r="E42" s="63"/>
      <c r="F42" s="63"/>
      <c r="J42" s="17"/>
      <c r="K42" s="17"/>
      <c r="L42" s="17"/>
    </row>
    <row r="43" spans="1:12">
      <c r="B43" s="63"/>
      <c r="C43" s="63"/>
      <c r="D43" s="63"/>
      <c r="E43" s="63"/>
      <c r="F43" s="63"/>
    </row>
    <row r="44" spans="1:12">
      <c r="B44" s="63"/>
      <c r="C44" s="63"/>
      <c r="D44" s="63"/>
      <c r="E44" s="63"/>
      <c r="F44" s="63"/>
    </row>
    <row r="45" spans="1:12">
      <c r="A45" s="3" t="s">
        <v>302</v>
      </c>
    </row>
  </sheetData>
  <pageMargins left="0.57999999999999996" right="0.62" top="0.78" bottom="0.47244094488188981" header="0.44" footer="0.51181102362204722"/>
  <pageSetup paperSize="9" scale="74" orientation="portrait"/>
  <headerFooter alignWithMargins="0"/>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6DCC-DB01-5E42-A00B-A21F0B941114}">
  <sheetPr>
    <pageSetUpPr fitToPage="1"/>
  </sheetPr>
  <dimension ref="A1:L45"/>
  <sheetViews>
    <sheetView zoomScaleNormal="100" workbookViewId="0"/>
  </sheetViews>
  <sheetFormatPr baseColWidth="10" defaultColWidth="11.3984375" defaultRowHeight="13"/>
  <cols>
    <col min="1" max="6" width="16" style="3" customWidth="1"/>
    <col min="7" max="8" width="14.3984375" style="3" customWidth="1"/>
    <col min="9" max="16384" width="11.3984375" style="3"/>
  </cols>
  <sheetData>
    <row r="1" spans="1:8" s="1" customFormat="1" ht="14" customHeight="1">
      <c r="A1" s="191"/>
      <c r="B1" s="191"/>
      <c r="C1" s="191"/>
      <c r="D1" s="191"/>
      <c r="E1" s="191"/>
      <c r="F1" s="191"/>
    </row>
    <row r="2" spans="1:8" s="1" customFormat="1" ht="21" customHeight="1">
      <c r="A2" s="464" t="s">
        <v>1835</v>
      </c>
      <c r="B2" s="191"/>
      <c r="C2" s="191"/>
      <c r="D2" s="191"/>
      <c r="E2" s="191"/>
      <c r="F2" s="191"/>
    </row>
    <row r="3" spans="1:8" s="1" customFormat="1" ht="27" customHeight="1">
      <c r="A3" s="464" t="s">
        <v>1820</v>
      </c>
      <c r="B3" s="191"/>
      <c r="C3" s="191"/>
      <c r="D3" s="191"/>
      <c r="E3" s="191"/>
      <c r="F3" s="191"/>
    </row>
    <row r="4" spans="1:8" ht="24" customHeight="1">
      <c r="A4" s="224" t="s">
        <v>67</v>
      </c>
      <c r="B4" s="1257" t="s">
        <v>1824</v>
      </c>
      <c r="C4" s="1258" t="s">
        <v>1825</v>
      </c>
      <c r="D4" s="1257" t="s">
        <v>1826</v>
      </c>
      <c r="E4" s="1258" t="s">
        <v>1827</v>
      </c>
      <c r="F4" s="1257" t="s">
        <v>1836</v>
      </c>
      <c r="G4" s="1262" t="s">
        <v>475</v>
      </c>
      <c r="H4" s="1263" t="s">
        <v>1828</v>
      </c>
    </row>
    <row r="5" spans="1:8" ht="22.25" customHeight="1">
      <c r="A5" s="269"/>
      <c r="B5" s="1259"/>
      <c r="C5" s="1260"/>
      <c r="D5" s="1259"/>
      <c r="E5" s="1260"/>
      <c r="F5" s="1264" t="s">
        <v>1837</v>
      </c>
      <c r="G5" s="1265" t="s">
        <v>476</v>
      </c>
      <c r="H5" s="1266" t="s">
        <v>1830</v>
      </c>
    </row>
    <row r="6" spans="1:8" ht="21" customHeight="1">
      <c r="A6" s="269"/>
      <c r="B6" s="1259"/>
      <c r="C6" s="1260"/>
      <c r="D6" s="1259"/>
      <c r="E6" s="1260"/>
      <c r="F6" s="1264" t="s">
        <v>1838</v>
      </c>
      <c r="G6" s="1130" t="s">
        <v>477</v>
      </c>
      <c r="H6" s="1267" t="s">
        <v>475</v>
      </c>
    </row>
    <row r="7" spans="1:8" ht="20.5" customHeight="1">
      <c r="A7" s="273"/>
      <c r="B7" s="274"/>
      <c r="C7" s="275"/>
      <c r="D7" s="274"/>
      <c r="E7" s="275"/>
      <c r="F7" s="362"/>
      <c r="G7" s="1268"/>
      <c r="H7" s="1269" t="s">
        <v>1834</v>
      </c>
    </row>
    <row r="8" spans="1:8" ht="30" customHeight="1" thickBot="1">
      <c r="A8" s="1119" t="s">
        <v>502</v>
      </c>
      <c r="B8" s="278" vm="480">
        <v>422.4933488568787</v>
      </c>
      <c r="C8" s="279" vm="437">
        <v>379.70056002239807</v>
      </c>
      <c r="D8" s="278" vm="479">
        <v>351.75449287723194</v>
      </c>
      <c r="E8" s="279" t="s">
        <v>390</v>
      </c>
      <c r="F8" s="1270" vm="478">
        <v>379.27337607791685</v>
      </c>
      <c r="G8" s="308">
        <v>4.7457635498626916E-2</v>
      </c>
      <c r="H8" s="406">
        <v>6.7848278265266293E-2</v>
      </c>
    </row>
    <row r="9" spans="1:8" ht="20" customHeight="1" thickBot="1">
      <c r="A9" s="1122" t="s">
        <v>503</v>
      </c>
      <c r="B9" s="281" vm="477">
        <v>451.44095003104979</v>
      </c>
      <c r="C9" s="282" vm="436">
        <v>396.50094776623041</v>
      </c>
      <c r="D9" s="281" vm="476">
        <v>367.43492491593668</v>
      </c>
      <c r="E9" s="282" t="s">
        <v>390</v>
      </c>
      <c r="F9" s="1271" vm="475">
        <v>404.69624968152169</v>
      </c>
      <c r="G9" s="309">
        <v>3.3523748854620283E-2</v>
      </c>
      <c r="H9" s="351">
        <v>7.2109168282700864E-2</v>
      </c>
    </row>
    <row r="10" spans="1:8" ht="20" customHeight="1" thickBot="1">
      <c r="A10" s="1122" t="s">
        <v>504</v>
      </c>
      <c r="B10" s="281" vm="474">
        <v>366.82571247683273</v>
      </c>
      <c r="C10" s="282" vm="435">
        <v>338.32829776980356</v>
      </c>
      <c r="D10" s="281" vm="473">
        <v>321.43925889486468</v>
      </c>
      <c r="E10" s="282" t="s">
        <v>390</v>
      </c>
      <c r="F10" s="1271" vm="472">
        <v>342.86050589118651</v>
      </c>
      <c r="G10" s="309">
        <v>5.7973357170371997E-2</v>
      </c>
      <c r="H10" s="351">
        <v>6.8215702808711143E-2</v>
      </c>
    </row>
    <row r="11" spans="1:8" ht="20" customHeight="1" thickBot="1">
      <c r="A11" s="1122" t="s">
        <v>505</v>
      </c>
      <c r="B11" s="281" t="s">
        <v>390</v>
      </c>
      <c r="C11" s="282" t="s">
        <v>390</v>
      </c>
      <c r="D11" s="281" t="s">
        <v>390</v>
      </c>
      <c r="E11" s="282" vm="434">
        <v>315.02045520669634</v>
      </c>
      <c r="F11" s="1271" vm="471">
        <v>315.02045520669634</v>
      </c>
      <c r="G11" s="309">
        <v>5.2365599474580637E-2</v>
      </c>
      <c r="H11" s="351">
        <v>6.1989939812351347E-2</v>
      </c>
    </row>
    <row r="12" spans="1:8" ht="20" customHeight="1" thickBot="1">
      <c r="A12" s="1122" t="s">
        <v>506</v>
      </c>
      <c r="B12" s="281" t="s">
        <v>390</v>
      </c>
      <c r="C12" s="282" t="s">
        <v>390</v>
      </c>
      <c r="D12" s="281" t="s">
        <v>390</v>
      </c>
      <c r="E12" s="282" vm="433">
        <v>331.45961430212674</v>
      </c>
      <c r="F12" s="1271" vm="470">
        <v>331.45961430212674</v>
      </c>
      <c r="G12" s="309">
        <v>5.5711308580898899E-2</v>
      </c>
      <c r="H12" s="351">
        <v>6.5443591104386467E-2</v>
      </c>
    </row>
    <row r="13" spans="1:8" ht="20" customHeight="1" thickBot="1">
      <c r="A13" s="1122" t="s">
        <v>507</v>
      </c>
      <c r="B13" s="281" t="s">
        <v>390</v>
      </c>
      <c r="C13" s="282" t="s">
        <v>390</v>
      </c>
      <c r="D13" s="281" t="s">
        <v>390</v>
      </c>
      <c r="E13" s="282" vm="432">
        <v>318.83467318598349</v>
      </c>
      <c r="F13" s="1271" vm="469">
        <v>318.83467318598349</v>
      </c>
      <c r="G13" s="309">
        <v>7.4458108657737387E-2</v>
      </c>
      <c r="H13" s="351">
        <v>6.246860849132041E-2</v>
      </c>
    </row>
    <row r="14" spans="1:8" ht="20" customHeight="1" thickBot="1">
      <c r="A14" s="1122" t="s">
        <v>508</v>
      </c>
      <c r="B14" s="281" t="s">
        <v>390</v>
      </c>
      <c r="C14" s="282" t="s">
        <v>390</v>
      </c>
      <c r="D14" s="281" t="s">
        <v>390</v>
      </c>
      <c r="E14" s="282" vm="431">
        <v>302.34290710866014</v>
      </c>
      <c r="F14" s="1271" vm="468">
        <v>302.34290710866014</v>
      </c>
      <c r="G14" s="309">
        <v>8.1289431990150041E-2</v>
      </c>
      <c r="H14" s="351">
        <v>6.2703848553894659E-2</v>
      </c>
    </row>
    <row r="15" spans="1:8" ht="20" customHeight="1" thickBot="1">
      <c r="A15" s="1122" t="s">
        <v>509</v>
      </c>
      <c r="B15" s="281" t="s">
        <v>390</v>
      </c>
      <c r="C15" s="282" t="s">
        <v>390</v>
      </c>
      <c r="D15" s="281" t="s">
        <v>390</v>
      </c>
      <c r="E15" s="282" vm="430">
        <v>322.97133564985268</v>
      </c>
      <c r="F15" s="1271" vm="467">
        <v>322.97133564985268</v>
      </c>
      <c r="G15" s="309">
        <v>4.796617487341015E-2</v>
      </c>
      <c r="H15" s="351">
        <v>6.9388019984535809E-2</v>
      </c>
    </row>
    <row r="16" spans="1:8" ht="20" customHeight="1" thickBot="1">
      <c r="A16" s="1122" t="s">
        <v>510</v>
      </c>
      <c r="B16" s="281" t="s">
        <v>390</v>
      </c>
      <c r="C16" s="282" t="s">
        <v>390</v>
      </c>
      <c r="D16" s="281" t="s">
        <v>390</v>
      </c>
      <c r="E16" s="282" vm="429">
        <v>321.20868872283256</v>
      </c>
      <c r="F16" s="1271" vm="466">
        <v>321.20868872283256</v>
      </c>
      <c r="G16" s="309">
        <v>4.052730039906316E-2</v>
      </c>
      <c r="H16" s="351">
        <v>6.3087377870999273E-2</v>
      </c>
    </row>
    <row r="17" spans="1:8" ht="20" customHeight="1" thickBot="1">
      <c r="A17" s="1122" t="s">
        <v>511</v>
      </c>
      <c r="B17" s="281" vm="465">
        <v>383.95998267678777</v>
      </c>
      <c r="C17" s="282" vm="428">
        <v>345.45854868014044</v>
      </c>
      <c r="D17" s="281" t="s">
        <v>390</v>
      </c>
      <c r="E17" s="282" t="s">
        <v>390</v>
      </c>
      <c r="F17" s="1271" vm="464">
        <v>359.11990564215165</v>
      </c>
      <c r="G17" s="309">
        <v>3.8992206187791201E-2</v>
      </c>
      <c r="H17" s="351">
        <v>5.7400270193189273E-2</v>
      </c>
    </row>
    <row r="18" spans="1:8" ht="20" customHeight="1" thickBot="1">
      <c r="A18" s="1122" t="s">
        <v>512</v>
      </c>
      <c r="B18" s="281" t="s">
        <v>390</v>
      </c>
      <c r="C18" s="282" t="s">
        <v>390</v>
      </c>
      <c r="D18" s="281" t="s">
        <v>390</v>
      </c>
      <c r="E18" s="282" vm="427">
        <v>362.68881595106035</v>
      </c>
      <c r="F18" s="1271" vm="463">
        <v>362.68881595106035</v>
      </c>
      <c r="G18" s="309">
        <v>5.6048071752986761E-2</v>
      </c>
      <c r="H18" s="351">
        <v>6.6793524773569146E-2</v>
      </c>
    </row>
    <row r="19" spans="1:8" ht="20" customHeight="1" thickBot="1">
      <c r="A19" s="1122" t="s">
        <v>513</v>
      </c>
      <c r="B19" s="281" t="s">
        <v>390</v>
      </c>
      <c r="C19" s="282" t="s">
        <v>390</v>
      </c>
      <c r="D19" s="281" t="s">
        <v>390</v>
      </c>
      <c r="E19" s="282" vm="426">
        <v>497.63684534739832</v>
      </c>
      <c r="F19" s="1271" vm="462">
        <v>497.63684534739832</v>
      </c>
      <c r="G19" s="309">
        <v>5.1276083820433138E-2</v>
      </c>
      <c r="H19" s="351">
        <v>7.2853312877911858E-2</v>
      </c>
    </row>
    <row r="20" spans="1:8" ht="20" customHeight="1" thickBot="1">
      <c r="A20" s="1122" t="s">
        <v>514</v>
      </c>
      <c r="B20" s="281" vm="461">
        <v>416.18522090305811</v>
      </c>
      <c r="C20" s="282" vm="425">
        <v>382.27675591609102</v>
      </c>
      <c r="D20" s="281" t="s">
        <v>390</v>
      </c>
      <c r="E20" s="282" t="s">
        <v>390</v>
      </c>
      <c r="F20" s="1271" vm="460">
        <v>405.95600633204367</v>
      </c>
      <c r="G20" s="309">
        <v>5.7665496926401438E-2</v>
      </c>
      <c r="H20" s="351">
        <v>6.8774830925730113E-2</v>
      </c>
    </row>
    <row r="21" spans="1:8" ht="20" customHeight="1" thickBot="1">
      <c r="A21" s="1122" t="s">
        <v>515</v>
      </c>
      <c r="B21" s="281" vm="459">
        <v>374.64704304371702</v>
      </c>
      <c r="C21" s="282" vm="424">
        <v>347.02283447166354</v>
      </c>
      <c r="D21" s="281" t="s">
        <v>390</v>
      </c>
      <c r="E21" s="282" t="s">
        <v>390</v>
      </c>
      <c r="F21" s="1271" vm="458">
        <v>363.53896832501766</v>
      </c>
      <c r="G21" s="309">
        <v>4.3226345676906197E-2</v>
      </c>
      <c r="H21" s="351">
        <v>7.1628314236244606E-2</v>
      </c>
    </row>
    <row r="22" spans="1:8" ht="20" customHeight="1" thickBot="1">
      <c r="A22" s="1122" t="s">
        <v>516</v>
      </c>
      <c r="B22" s="281" t="s">
        <v>390</v>
      </c>
      <c r="C22" s="282" t="s">
        <v>390</v>
      </c>
      <c r="D22" s="281" t="s">
        <v>390</v>
      </c>
      <c r="E22" s="282" vm="423">
        <v>326.28246394995625</v>
      </c>
      <c r="F22" s="1271" vm="457">
        <v>326.28246394995625</v>
      </c>
      <c r="G22" s="309">
        <v>6.0782538300485189E-2</v>
      </c>
      <c r="H22" s="351">
        <v>7.2179992077544552E-2</v>
      </c>
    </row>
    <row r="23" spans="1:8" ht="20" customHeight="1" thickBot="1">
      <c r="A23" s="1122" t="s">
        <v>517</v>
      </c>
      <c r="B23" s="281" t="s">
        <v>390</v>
      </c>
      <c r="C23" s="282" t="s">
        <v>390</v>
      </c>
      <c r="D23" s="281" t="s">
        <v>390</v>
      </c>
      <c r="E23" s="282" vm="422">
        <v>293.20954052969626</v>
      </c>
      <c r="F23" s="1271" vm="456">
        <v>293.20954052969626</v>
      </c>
      <c r="G23" s="309">
        <v>3.4354441533095637E-2</v>
      </c>
      <c r="H23" s="351">
        <v>6.5958553467722059E-2</v>
      </c>
    </row>
    <row r="24" spans="1:8" ht="20" customHeight="1" thickBot="1">
      <c r="A24" s="1122" t="s">
        <v>518</v>
      </c>
      <c r="B24" s="281" vm="455">
        <v>379.24308294689263</v>
      </c>
      <c r="C24" s="282" vm="421">
        <v>347.14358885654912</v>
      </c>
      <c r="D24" s="281" vm="454">
        <v>334.3846966503848</v>
      </c>
      <c r="E24" s="282" t="s">
        <v>390</v>
      </c>
      <c r="F24" s="1271" vm="453">
        <v>353.05097625937009</v>
      </c>
      <c r="G24" s="309">
        <v>5.4724026540605708E-2</v>
      </c>
      <c r="H24" s="351">
        <v>7.3793505809138793E-2</v>
      </c>
    </row>
    <row r="25" spans="1:8" ht="20" customHeight="1" thickBot="1">
      <c r="A25" s="1122" t="s">
        <v>519</v>
      </c>
      <c r="B25" s="281" vm="452">
        <v>343.40399470962888</v>
      </c>
      <c r="C25" s="282" vm="420">
        <v>316.38337499473465</v>
      </c>
      <c r="D25" s="281" vm="451">
        <v>301.91023532014117</v>
      </c>
      <c r="E25" s="282" t="s">
        <v>390</v>
      </c>
      <c r="F25" s="1271" vm="450">
        <v>319.52370172003464</v>
      </c>
      <c r="G25" s="309">
        <v>4.1890886296153784E-2</v>
      </c>
      <c r="H25" s="351">
        <v>7.1824592298481482E-2</v>
      </c>
    </row>
    <row r="26" spans="1:8" ht="20" customHeight="1" thickBot="1">
      <c r="A26" s="1122" t="s">
        <v>520</v>
      </c>
      <c r="B26" s="281" t="s">
        <v>390</v>
      </c>
      <c r="C26" s="282" t="s">
        <v>390</v>
      </c>
      <c r="D26" s="281" t="s">
        <v>390</v>
      </c>
      <c r="E26" s="282" vm="419">
        <v>355.41497202585583</v>
      </c>
      <c r="F26" s="1271" vm="449">
        <v>355.41497202585583</v>
      </c>
      <c r="G26" s="309">
        <v>4.6319829553010283E-2</v>
      </c>
      <c r="H26" s="351">
        <v>7.3383293179130726E-2</v>
      </c>
    </row>
    <row r="27" spans="1:8" ht="20" customHeight="1" thickBot="1">
      <c r="A27" s="1122" t="s">
        <v>521</v>
      </c>
      <c r="B27" s="281" t="s">
        <v>390</v>
      </c>
      <c r="C27" s="282" t="s">
        <v>390</v>
      </c>
      <c r="D27" s="281" t="s">
        <v>390</v>
      </c>
      <c r="E27" s="282" vm="418">
        <v>343.43697623088718</v>
      </c>
      <c r="F27" s="1271" vm="448">
        <v>343.43697623088718</v>
      </c>
      <c r="G27" s="309">
        <v>4.4387800587346593E-2</v>
      </c>
      <c r="H27" s="351">
        <v>7.2065179483778552E-2</v>
      </c>
    </row>
    <row r="28" spans="1:8" ht="20" customHeight="1" thickBot="1">
      <c r="A28" s="1122" t="s">
        <v>522</v>
      </c>
      <c r="B28" s="281" vm="447">
        <v>400.79786739744384</v>
      </c>
      <c r="C28" s="282" vm="417">
        <v>373.07853749641396</v>
      </c>
      <c r="D28" s="281" t="s">
        <v>390</v>
      </c>
      <c r="E28" s="282" t="s">
        <v>390</v>
      </c>
      <c r="F28" s="1271" vm="446">
        <v>396.63373723853664</v>
      </c>
      <c r="G28" s="309">
        <v>3.0885043384820454E-2</v>
      </c>
      <c r="H28" s="351">
        <v>6.2510517650488318E-2</v>
      </c>
    </row>
    <row r="29" spans="1:8" ht="20" customHeight="1" thickBot="1">
      <c r="A29" s="1122" t="s">
        <v>523</v>
      </c>
      <c r="B29" s="281" vm="445">
        <v>436.64169530646262</v>
      </c>
      <c r="C29" s="282" vm="416">
        <v>409.21482240717188</v>
      </c>
      <c r="D29" s="281" t="s">
        <v>390</v>
      </c>
      <c r="E29" s="282" t="s">
        <v>390</v>
      </c>
      <c r="F29" s="1271" vm="444">
        <v>427.07390990419265</v>
      </c>
      <c r="G29" s="309">
        <v>3.3316790821839248E-2</v>
      </c>
      <c r="H29" s="351">
        <v>5.1993261098888244E-2</v>
      </c>
    </row>
    <row r="30" spans="1:8" ht="20" customHeight="1" thickBot="1">
      <c r="A30" s="1122" t="s">
        <v>524</v>
      </c>
      <c r="B30" s="281" vm="443">
        <v>339.65319113932446</v>
      </c>
      <c r="C30" s="282" vm="415">
        <v>303.15557594492003</v>
      </c>
      <c r="D30" s="281" t="s">
        <v>390</v>
      </c>
      <c r="E30" s="282" t="s">
        <v>390</v>
      </c>
      <c r="F30" s="1271" vm="442">
        <v>328.48340446345173</v>
      </c>
      <c r="G30" s="309">
        <v>4.286343220798905E-2</v>
      </c>
      <c r="H30" s="351">
        <v>5.3309686801512379E-2</v>
      </c>
    </row>
    <row r="31" spans="1:8" ht="20" customHeight="1" thickBot="1">
      <c r="A31" s="1122" t="s">
        <v>525</v>
      </c>
      <c r="B31" s="281" t="s">
        <v>390</v>
      </c>
      <c r="C31" s="282" t="s">
        <v>390</v>
      </c>
      <c r="D31" s="281" t="s">
        <v>390</v>
      </c>
      <c r="E31" s="282" vm="414">
        <v>404.40621104131162</v>
      </c>
      <c r="F31" s="1271" vm="441">
        <v>404.40621104131162</v>
      </c>
      <c r="G31" s="309">
        <v>4.5569196674296375E-2</v>
      </c>
      <c r="H31" s="351">
        <v>6.0024113986507199E-2</v>
      </c>
    </row>
    <row r="32" spans="1:8" ht="20" customHeight="1" thickBot="1">
      <c r="A32" s="1122" t="s">
        <v>526</v>
      </c>
      <c r="B32" s="281" t="s">
        <v>390</v>
      </c>
      <c r="C32" s="282" t="s">
        <v>390</v>
      </c>
      <c r="D32" s="281" t="s">
        <v>390</v>
      </c>
      <c r="E32" s="282" vm="413">
        <v>463.24270187440783</v>
      </c>
      <c r="F32" s="1271" vm="440">
        <v>463.24270187440783</v>
      </c>
      <c r="G32" s="309">
        <v>3.5679158428215008E-2</v>
      </c>
      <c r="H32" s="351">
        <v>4.9925237006280154E-2</v>
      </c>
    </row>
    <row r="33" spans="1:12" ht="20" customHeight="1" thickBot="1">
      <c r="A33" s="1122" t="s">
        <v>527</v>
      </c>
      <c r="B33" s="281" t="s">
        <v>390</v>
      </c>
      <c r="C33" s="282" t="s">
        <v>390</v>
      </c>
      <c r="D33" s="281" t="s">
        <v>390</v>
      </c>
      <c r="E33" s="282" vm="412">
        <v>398.53771989189846</v>
      </c>
      <c r="F33" s="1271" vm="439">
        <v>398.53771989189846</v>
      </c>
      <c r="G33" s="309">
        <v>3.5023485300381019E-2</v>
      </c>
      <c r="H33" s="351">
        <v>5.9210523566615603E-2</v>
      </c>
    </row>
    <row r="34" spans="1:12" s="410" customFormat="1" ht="30" customHeight="1" thickBot="1">
      <c r="A34" s="354" t="s">
        <v>530</v>
      </c>
      <c r="B34" s="524" t="s">
        <v>390</v>
      </c>
      <c r="C34" s="525" t="s">
        <v>390</v>
      </c>
      <c r="D34" s="524" t="s">
        <v>390</v>
      </c>
      <c r="E34" s="525" t="s">
        <v>390</v>
      </c>
      <c r="F34" s="524" vm="438">
        <v>379.7103425211688</v>
      </c>
      <c r="G34" s="648">
        <v>4.4441857428815235E-2</v>
      </c>
      <c r="H34" s="526">
        <v>6.501694614293152E-2</v>
      </c>
    </row>
    <row r="35" spans="1:12" ht="20" customHeight="1">
      <c r="A35" s="189" t="s">
        <v>1813</v>
      </c>
      <c r="B35" s="1261"/>
      <c r="C35" s="1261"/>
      <c r="D35" s="1261"/>
      <c r="E35" s="1261"/>
      <c r="F35" s="1261"/>
    </row>
    <row r="36" spans="1:12" ht="12.75" customHeight="1">
      <c r="A36" s="219"/>
      <c r="B36" s="621"/>
      <c r="C36" s="621"/>
      <c r="D36" s="621"/>
      <c r="E36" s="621"/>
      <c r="F36" s="621"/>
    </row>
    <row r="37" spans="1:12" ht="15.75" customHeight="1">
      <c r="A37" s="219" t="s">
        <v>1814</v>
      </c>
      <c r="B37" s="621"/>
      <c r="C37" s="621"/>
      <c r="D37" s="621"/>
      <c r="E37" s="621"/>
      <c r="F37" s="621"/>
    </row>
    <row r="38" spans="1:12" ht="13.5" customHeight="1">
      <c r="A38" s="219"/>
      <c r="B38" s="621"/>
      <c r="C38" s="621"/>
      <c r="D38" s="621"/>
      <c r="E38" s="621"/>
      <c r="F38" s="621"/>
    </row>
    <row r="39" spans="1:12" ht="12.75" customHeight="1">
      <c r="A39" s="219" t="s">
        <v>1811</v>
      </c>
      <c r="B39" s="621"/>
      <c r="C39" s="621"/>
      <c r="D39" s="621"/>
      <c r="E39" s="621"/>
      <c r="F39" s="621"/>
    </row>
    <row r="40" spans="1:12">
      <c r="A40" s="3" t="s">
        <v>1831</v>
      </c>
      <c r="B40" s="63"/>
      <c r="C40" s="63"/>
      <c r="D40" s="63"/>
      <c r="E40" s="63"/>
      <c r="F40" s="63"/>
    </row>
    <row r="41" spans="1:12">
      <c r="A41" s="3" t="s">
        <v>1832</v>
      </c>
      <c r="B41" s="63"/>
      <c r="C41" s="63"/>
      <c r="D41" s="63"/>
      <c r="E41" s="63"/>
      <c r="F41" s="63"/>
    </row>
    <row r="42" spans="1:12">
      <c r="A42" s="3" t="s">
        <v>1833</v>
      </c>
      <c r="B42" s="63"/>
      <c r="C42" s="63"/>
      <c r="D42" s="63"/>
      <c r="E42" s="63"/>
      <c r="F42" s="63"/>
      <c r="J42" s="17"/>
      <c r="K42" s="17"/>
      <c r="L42" s="17"/>
    </row>
    <row r="43" spans="1:12">
      <c r="B43" s="63"/>
      <c r="C43" s="63"/>
      <c r="D43" s="63"/>
      <c r="E43" s="63"/>
      <c r="F43" s="63"/>
    </row>
    <row r="44" spans="1:12">
      <c r="B44" s="63"/>
      <c r="C44" s="63"/>
      <c r="D44" s="63"/>
      <c r="E44" s="63"/>
      <c r="F44" s="63"/>
    </row>
    <row r="45" spans="1:12">
      <c r="A45" s="3" t="s">
        <v>302</v>
      </c>
    </row>
  </sheetData>
  <pageMargins left="0.56000000000000005" right="0.54" top="0.9" bottom="0.47244094488188981" header="0.63" footer="0.51181102362204722"/>
  <pageSetup paperSize="9" scale="74" orientation="portrait"/>
  <headerFooter alignWithMargins="0"/>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55EE4-1AC6-B24A-9307-1D79A8884D91}">
  <sheetPr>
    <pageSetUpPr fitToPage="1"/>
  </sheetPr>
  <dimension ref="A1:L45"/>
  <sheetViews>
    <sheetView zoomScaleNormal="100" workbookViewId="0"/>
  </sheetViews>
  <sheetFormatPr baseColWidth="10" defaultColWidth="11.3984375" defaultRowHeight="13"/>
  <cols>
    <col min="1" max="6" width="16" style="3" customWidth="1"/>
    <col min="7" max="8" width="14.3984375" style="3" customWidth="1"/>
    <col min="9" max="16384" width="11.3984375" style="3"/>
  </cols>
  <sheetData>
    <row r="1" spans="1:8" s="1" customFormat="1" ht="14" customHeight="1">
      <c r="A1" s="191"/>
      <c r="B1" s="191"/>
      <c r="C1" s="191"/>
      <c r="D1" s="191"/>
      <c r="E1" s="191"/>
      <c r="F1" s="191"/>
    </row>
    <row r="2" spans="1:8" s="1" customFormat="1" ht="20.5" customHeight="1">
      <c r="A2" s="464" t="s">
        <v>1823</v>
      </c>
      <c r="B2" s="191"/>
      <c r="C2" s="191"/>
      <c r="D2" s="191"/>
      <c r="E2" s="191"/>
      <c r="F2" s="191"/>
    </row>
    <row r="3" spans="1:8" s="1" customFormat="1" ht="24" customHeight="1">
      <c r="A3" s="464" t="s">
        <v>1812</v>
      </c>
      <c r="B3" s="191"/>
      <c r="C3" s="191"/>
      <c r="D3" s="191"/>
      <c r="E3" s="191"/>
      <c r="F3" s="191"/>
    </row>
    <row r="4" spans="1:8" ht="24" customHeight="1">
      <c r="A4" s="224" t="s">
        <v>67</v>
      </c>
      <c r="B4" s="1257" t="s">
        <v>1824</v>
      </c>
      <c r="C4" s="1258" t="s">
        <v>1825</v>
      </c>
      <c r="D4" s="1257" t="s">
        <v>1826</v>
      </c>
      <c r="E4" s="1258" t="s">
        <v>1827</v>
      </c>
      <c r="F4" s="1257" t="s">
        <v>461</v>
      </c>
      <c r="G4" s="1262" t="s">
        <v>475</v>
      </c>
      <c r="H4" s="1263" t="s">
        <v>1828</v>
      </c>
    </row>
    <row r="5" spans="1:8" ht="24.75" customHeight="1">
      <c r="A5" s="269"/>
      <c r="B5" s="1259"/>
      <c r="C5" s="1260"/>
      <c r="D5" s="1259"/>
      <c r="E5" s="1260"/>
      <c r="F5" s="1264" t="s">
        <v>1829</v>
      </c>
      <c r="G5" s="1265" t="s">
        <v>476</v>
      </c>
      <c r="H5" s="1266" t="s">
        <v>1830</v>
      </c>
    </row>
    <row r="6" spans="1:8" ht="24.75" customHeight="1">
      <c r="A6" s="269"/>
      <c r="B6" s="1259"/>
      <c r="C6" s="1260"/>
      <c r="D6" s="1259"/>
      <c r="E6" s="1260"/>
      <c r="F6" s="1259"/>
      <c r="G6" s="1130" t="s">
        <v>477</v>
      </c>
      <c r="H6" s="1267" t="s">
        <v>475</v>
      </c>
    </row>
    <row r="7" spans="1:8" ht="21.5" customHeight="1">
      <c r="A7" s="273"/>
      <c r="B7" s="274"/>
      <c r="C7" s="275"/>
      <c r="D7" s="274"/>
      <c r="E7" s="275"/>
      <c r="F7" s="362"/>
      <c r="G7" s="1268"/>
      <c r="H7" s="1269" t="s">
        <v>1834</v>
      </c>
    </row>
    <row r="8" spans="1:8" ht="30" customHeight="1" thickBot="1">
      <c r="A8" s="1119" t="s">
        <v>502</v>
      </c>
      <c r="B8" s="278" vm="411">
        <v>108.70643513922415</v>
      </c>
      <c r="C8" s="279" vm="368">
        <v>98.375200288411534</v>
      </c>
      <c r="D8" s="278" vm="410">
        <v>91.418664858286732</v>
      </c>
      <c r="E8" s="279" t="s">
        <v>390</v>
      </c>
      <c r="F8" s="1270" vm="409">
        <v>98.233237333697716</v>
      </c>
      <c r="G8" s="308">
        <v>4.4603129988806334E-2</v>
      </c>
      <c r="H8" s="406">
        <v>4.3273567311153283E-2</v>
      </c>
    </row>
    <row r="9" spans="1:8" ht="20" customHeight="1" thickBot="1">
      <c r="A9" s="1122" t="s">
        <v>503</v>
      </c>
      <c r="B9" s="281" vm="408">
        <v>108.15997613790486</v>
      </c>
      <c r="C9" s="282" vm="367">
        <v>96.191010476227234</v>
      </c>
      <c r="D9" s="281" vm="407">
        <v>90.773504423948353</v>
      </c>
      <c r="E9" s="282" t="s">
        <v>390</v>
      </c>
      <c r="F9" s="1271" vm="406">
        <v>98.23213382882625</v>
      </c>
      <c r="G9" s="309">
        <v>2.0659522225311422E-2</v>
      </c>
      <c r="H9" s="351">
        <v>4.193683751027133E-2</v>
      </c>
    </row>
    <row r="10" spans="1:8" ht="20" customHeight="1" thickBot="1">
      <c r="A10" s="1122" t="s">
        <v>504</v>
      </c>
      <c r="B10" s="281" vm="405">
        <v>89.71929535492761</v>
      </c>
      <c r="C10" s="282" vm="366">
        <v>82.027670895160185</v>
      </c>
      <c r="D10" s="281" vm="404">
        <v>78.277287451396916</v>
      </c>
      <c r="E10" s="282" t="s">
        <v>390</v>
      </c>
      <c r="F10" s="1271" vm="403">
        <v>83.196846090963561</v>
      </c>
      <c r="G10" s="309">
        <v>4.7054181896691416E-2</v>
      </c>
      <c r="H10" s="351">
        <v>4.4175358944913201E-2</v>
      </c>
    </row>
    <row r="11" spans="1:8" ht="20" customHeight="1" thickBot="1">
      <c r="A11" s="1122" t="s">
        <v>505</v>
      </c>
      <c r="B11" s="281" t="s">
        <v>390</v>
      </c>
      <c r="C11" s="282" t="s">
        <v>390</v>
      </c>
      <c r="D11" s="281" t="s">
        <v>390</v>
      </c>
      <c r="E11" s="282" vm="365">
        <v>80.225541677082234</v>
      </c>
      <c r="F11" s="1271" vm="402">
        <v>80.225541677082234</v>
      </c>
      <c r="G11" s="309">
        <v>3.760570291833365E-2</v>
      </c>
      <c r="H11" s="351">
        <v>4.0269702601643864E-2</v>
      </c>
    </row>
    <row r="12" spans="1:8" ht="20" customHeight="1" thickBot="1">
      <c r="A12" s="1122" t="s">
        <v>506</v>
      </c>
      <c r="B12" s="281" t="s">
        <v>390</v>
      </c>
      <c r="C12" s="282" t="s">
        <v>390</v>
      </c>
      <c r="D12" s="281" t="s">
        <v>390</v>
      </c>
      <c r="E12" s="282" vm="364">
        <v>82.515269560716419</v>
      </c>
      <c r="F12" s="1271" vm="401">
        <v>82.515269560716419</v>
      </c>
      <c r="G12" s="309">
        <v>4.313678234941043E-2</v>
      </c>
      <c r="H12" s="351">
        <v>4.3213107362091607E-2</v>
      </c>
    </row>
    <row r="13" spans="1:8" ht="20" customHeight="1" thickBot="1">
      <c r="A13" s="1122" t="s">
        <v>507</v>
      </c>
      <c r="B13" s="281" t="s">
        <v>390</v>
      </c>
      <c r="C13" s="282" t="s">
        <v>390</v>
      </c>
      <c r="D13" s="281" t="s">
        <v>390</v>
      </c>
      <c r="E13" s="282" vm="363">
        <v>79.826574691926055</v>
      </c>
      <c r="F13" s="1271" vm="400">
        <v>79.826574691926055</v>
      </c>
      <c r="G13" s="309">
        <v>6.3845750172578208E-2</v>
      </c>
      <c r="H13" s="351">
        <v>4.0124329135524217E-2</v>
      </c>
    </row>
    <row r="14" spans="1:8" ht="20" customHeight="1" thickBot="1">
      <c r="A14" s="1122" t="s">
        <v>508</v>
      </c>
      <c r="B14" s="281" t="s">
        <v>390</v>
      </c>
      <c r="C14" s="282" t="s">
        <v>390</v>
      </c>
      <c r="D14" s="281" t="s">
        <v>390</v>
      </c>
      <c r="E14" s="282" vm="362">
        <v>76.059763168878007</v>
      </c>
      <c r="F14" s="1271" vm="399">
        <v>76.059763168878007</v>
      </c>
      <c r="G14" s="309">
        <v>6.8852968607056697E-2</v>
      </c>
      <c r="H14" s="351">
        <v>3.8636818352495217E-2</v>
      </c>
    </row>
    <row r="15" spans="1:8" ht="20" customHeight="1" thickBot="1">
      <c r="A15" s="1122" t="s">
        <v>509</v>
      </c>
      <c r="B15" s="281" t="s">
        <v>390</v>
      </c>
      <c r="C15" s="282" t="s">
        <v>390</v>
      </c>
      <c r="D15" s="281" t="s">
        <v>390</v>
      </c>
      <c r="E15" s="282" vm="361">
        <v>81.001865049577233</v>
      </c>
      <c r="F15" s="1271" vm="398">
        <v>81.001865049577233</v>
      </c>
      <c r="G15" s="309">
        <v>3.8633693139047409E-2</v>
      </c>
      <c r="H15" s="351">
        <v>4.5008075944324988E-2</v>
      </c>
    </row>
    <row r="16" spans="1:8" ht="20" customHeight="1" thickBot="1">
      <c r="A16" s="1122" t="s">
        <v>510</v>
      </c>
      <c r="B16" s="281" t="s">
        <v>390</v>
      </c>
      <c r="C16" s="282" t="s">
        <v>390</v>
      </c>
      <c r="D16" s="281" t="s">
        <v>390</v>
      </c>
      <c r="E16" s="282" vm="360">
        <v>81.126239246940827</v>
      </c>
      <c r="F16" s="1271" vm="397">
        <v>81.126239246940827</v>
      </c>
      <c r="G16" s="309">
        <v>4.2313145377666839E-2</v>
      </c>
      <c r="H16" s="351">
        <v>4.0477269644296099E-2</v>
      </c>
    </row>
    <row r="17" spans="1:8" ht="20" customHeight="1" thickBot="1">
      <c r="A17" s="1122" t="s">
        <v>511</v>
      </c>
      <c r="B17" s="281" vm="396">
        <v>95.087582879104829</v>
      </c>
      <c r="C17" s="282" vm="359">
        <v>85.421339157188029</v>
      </c>
      <c r="D17" s="281" t="s">
        <v>390</v>
      </c>
      <c r="E17" s="282" t="s">
        <v>390</v>
      </c>
      <c r="F17" s="1271" vm="395">
        <v>88.703346964653363</v>
      </c>
      <c r="G17" s="309">
        <v>3.9088558671559026E-2</v>
      </c>
      <c r="H17" s="351">
        <v>3.120550403588207E-2</v>
      </c>
    </row>
    <row r="18" spans="1:8" ht="20" customHeight="1" thickBot="1">
      <c r="A18" s="1122" t="s">
        <v>512</v>
      </c>
      <c r="B18" s="281" t="s">
        <v>390</v>
      </c>
      <c r="C18" s="282" t="s">
        <v>390</v>
      </c>
      <c r="D18" s="281" t="s">
        <v>390</v>
      </c>
      <c r="E18" s="282" vm="358">
        <v>90.728891060105809</v>
      </c>
      <c r="F18" s="1271" vm="394">
        <v>90.728891060105809</v>
      </c>
      <c r="G18" s="309">
        <v>4.7824493589636363E-2</v>
      </c>
      <c r="H18" s="351">
        <v>4.4423034678289453E-2</v>
      </c>
    </row>
    <row r="19" spans="1:8" ht="20" customHeight="1" thickBot="1">
      <c r="A19" s="1122" t="s">
        <v>513</v>
      </c>
      <c r="B19" s="281" t="s">
        <v>390</v>
      </c>
      <c r="C19" s="282" t="s">
        <v>390</v>
      </c>
      <c r="D19" s="281" t="s">
        <v>390</v>
      </c>
      <c r="E19" s="282" vm="357">
        <v>127.70693619298324</v>
      </c>
      <c r="F19" s="1271" vm="393">
        <v>127.70693619298324</v>
      </c>
      <c r="G19" s="309">
        <v>3.7864777211685796E-2</v>
      </c>
      <c r="H19" s="351">
        <v>4.9096664602862106E-2</v>
      </c>
    </row>
    <row r="20" spans="1:8" ht="20" customHeight="1" thickBot="1">
      <c r="A20" s="1122" t="s">
        <v>514</v>
      </c>
      <c r="B20" s="281" vm="392">
        <v>108.05843102180772</v>
      </c>
      <c r="C20" s="282" vm="356">
        <v>98.614366541726667</v>
      </c>
      <c r="D20" s="281" t="s">
        <v>390</v>
      </c>
      <c r="E20" s="282" t="s">
        <v>390</v>
      </c>
      <c r="F20" s="1271" vm="391">
        <v>105.22707777688848</v>
      </c>
      <c r="G20" s="309">
        <v>4.6982042885856057E-2</v>
      </c>
      <c r="H20" s="351">
        <v>4.6607446973631728E-2</v>
      </c>
    </row>
    <row r="21" spans="1:8" ht="20" customHeight="1" thickBot="1">
      <c r="A21" s="1122" t="s">
        <v>515</v>
      </c>
      <c r="B21" s="281" vm="390">
        <v>95.114150413213849</v>
      </c>
      <c r="C21" s="282" vm="355">
        <v>88.305471865318211</v>
      </c>
      <c r="D21" s="281" t="s">
        <v>390</v>
      </c>
      <c r="E21" s="282" t="s">
        <v>390</v>
      </c>
      <c r="F21" s="1271" vm="389">
        <v>92.001953144886372</v>
      </c>
      <c r="G21" s="309">
        <v>4.451047665199126E-2</v>
      </c>
      <c r="H21" s="351">
        <v>4.8161470907863269E-2</v>
      </c>
    </row>
    <row r="22" spans="1:8" ht="20" customHeight="1" thickBot="1">
      <c r="A22" s="1122" t="s">
        <v>516</v>
      </c>
      <c r="B22" s="281" t="s">
        <v>390</v>
      </c>
      <c r="C22" s="282" t="s">
        <v>390</v>
      </c>
      <c r="D22" s="281" t="s">
        <v>390</v>
      </c>
      <c r="E22" s="282" vm="354">
        <v>82.711231727144281</v>
      </c>
      <c r="F22" s="1271" vm="388">
        <v>82.711231727144281</v>
      </c>
      <c r="G22" s="309">
        <v>5.9800033540843067E-2</v>
      </c>
      <c r="H22" s="351">
        <v>4.7483612759678495E-2</v>
      </c>
    </row>
    <row r="23" spans="1:8" ht="20" customHeight="1" thickBot="1">
      <c r="A23" s="1122" t="s">
        <v>517</v>
      </c>
      <c r="B23" s="281" t="s">
        <v>390</v>
      </c>
      <c r="C23" s="282" t="s">
        <v>390</v>
      </c>
      <c r="D23" s="281" t="s">
        <v>390</v>
      </c>
      <c r="E23" s="282" vm="353">
        <v>75.547837884676426</v>
      </c>
      <c r="F23" s="1271" vm="387">
        <v>75.547837884676426</v>
      </c>
      <c r="G23" s="309">
        <v>3.566934763958618E-2</v>
      </c>
      <c r="H23" s="351">
        <v>4.3254045136008168E-2</v>
      </c>
    </row>
    <row r="24" spans="1:8" ht="20" customHeight="1" thickBot="1">
      <c r="A24" s="1122" t="s">
        <v>518</v>
      </c>
      <c r="B24" s="281" vm="386">
        <v>96.691722944875153</v>
      </c>
      <c r="C24" s="282" vm="352">
        <v>87.559765873874142</v>
      </c>
      <c r="D24" s="281" vm="385">
        <v>84.697481947388923</v>
      </c>
      <c r="E24" s="282" t="s">
        <v>390</v>
      </c>
      <c r="F24" s="1271" vm="384">
        <v>89.203171473996107</v>
      </c>
      <c r="G24" s="309">
        <v>4.3105057658330281E-2</v>
      </c>
      <c r="H24" s="351">
        <v>4.8598348363477095E-2</v>
      </c>
    </row>
    <row r="25" spans="1:8" ht="20" customHeight="1" thickBot="1">
      <c r="A25" s="1122" t="s">
        <v>519</v>
      </c>
      <c r="B25" s="281" vm="383">
        <v>89.441158014353377</v>
      </c>
      <c r="C25" s="282" vm="351">
        <v>83.60673754280748</v>
      </c>
      <c r="D25" s="281" vm="382">
        <v>78.655133877690744</v>
      </c>
      <c r="E25" s="282" t="s">
        <v>390</v>
      </c>
      <c r="F25" s="1271" vm="381">
        <v>83.818680751284646</v>
      </c>
      <c r="G25" s="309">
        <v>4.4629835700010334E-2</v>
      </c>
      <c r="H25" s="351">
        <v>4.9100726619282442E-2</v>
      </c>
    </row>
    <row r="26" spans="1:8" ht="20" customHeight="1" thickBot="1">
      <c r="A26" s="1122" t="s">
        <v>520</v>
      </c>
      <c r="B26" s="281" t="s">
        <v>390</v>
      </c>
      <c r="C26" s="282" t="s">
        <v>390</v>
      </c>
      <c r="D26" s="281" t="s">
        <v>390</v>
      </c>
      <c r="E26" s="282" vm="350">
        <v>89.043920809941952</v>
      </c>
      <c r="F26" s="1271" vm="380">
        <v>89.043920809941952</v>
      </c>
      <c r="G26" s="309">
        <v>4.2011622121793435E-2</v>
      </c>
      <c r="H26" s="351">
        <v>4.9621035145297254E-2</v>
      </c>
    </row>
    <row r="27" spans="1:8" ht="20" customHeight="1" thickBot="1">
      <c r="A27" s="1122" t="s">
        <v>521</v>
      </c>
      <c r="B27" s="281" t="s">
        <v>390</v>
      </c>
      <c r="C27" s="282" t="s">
        <v>390</v>
      </c>
      <c r="D27" s="281" t="s">
        <v>390</v>
      </c>
      <c r="E27" s="282" vm="349">
        <v>89.394490385183204</v>
      </c>
      <c r="F27" s="1271" vm="379">
        <v>89.394490385183204</v>
      </c>
      <c r="G27" s="309">
        <v>4.201888840083301E-2</v>
      </c>
      <c r="H27" s="351">
        <v>4.8679139311044395E-2</v>
      </c>
    </row>
    <row r="28" spans="1:8" ht="20" customHeight="1" thickBot="1">
      <c r="A28" s="1122" t="s">
        <v>522</v>
      </c>
      <c r="B28" s="281" vm="378">
        <v>100.2754162780743</v>
      </c>
      <c r="C28" s="282" vm="348">
        <v>93.592443718850035</v>
      </c>
      <c r="D28" s="281" t="s">
        <v>390</v>
      </c>
      <c r="E28" s="282" t="s">
        <v>390</v>
      </c>
      <c r="F28" s="1271" vm="377">
        <v>99.254885357275526</v>
      </c>
      <c r="G28" s="309">
        <v>2.8571346575303691E-2</v>
      </c>
      <c r="H28" s="351">
        <v>2.4114371189834838E-2</v>
      </c>
    </row>
    <row r="29" spans="1:8" ht="20" customHeight="1" thickBot="1">
      <c r="A29" s="1122" t="s">
        <v>523</v>
      </c>
      <c r="B29" s="281" vm="376">
        <v>106.62596673112971</v>
      </c>
      <c r="C29" s="282" vm="347">
        <v>99.722728036347405</v>
      </c>
      <c r="D29" s="281" t="s">
        <v>390</v>
      </c>
      <c r="E29" s="282" t="s">
        <v>390</v>
      </c>
      <c r="F29" s="1271" vm="375">
        <v>104.28337869372545</v>
      </c>
      <c r="G29" s="309">
        <v>2.6705449629527811E-2</v>
      </c>
      <c r="H29" s="351">
        <v>1.6181115031065785E-2</v>
      </c>
    </row>
    <row r="30" spans="1:8" ht="20" customHeight="1" thickBot="1">
      <c r="A30" s="1122" t="s">
        <v>524</v>
      </c>
      <c r="B30" s="281" vm="374">
        <v>82.643733589869186</v>
      </c>
      <c r="C30" s="282" vm="346">
        <v>76.874452222174881</v>
      </c>
      <c r="D30" s="281" t="s">
        <v>390</v>
      </c>
      <c r="E30" s="282" t="s">
        <v>390</v>
      </c>
      <c r="F30" s="1271" vm="373">
        <v>81.112793363605348</v>
      </c>
      <c r="G30" s="309">
        <v>3.3710614245092474E-2</v>
      </c>
      <c r="H30" s="351">
        <v>2.5674388651066637E-2</v>
      </c>
    </row>
    <row r="31" spans="1:8" ht="20" customHeight="1" thickBot="1">
      <c r="A31" s="1122" t="s">
        <v>525</v>
      </c>
      <c r="B31" s="281" t="s">
        <v>390</v>
      </c>
      <c r="C31" s="282" t="s">
        <v>390</v>
      </c>
      <c r="D31" s="281" t="s">
        <v>390</v>
      </c>
      <c r="E31" s="282" vm="345">
        <v>90.738946997464467</v>
      </c>
      <c r="F31" s="1271" vm="372">
        <v>90.738946997464467</v>
      </c>
      <c r="G31" s="309">
        <v>4.2047741632305957E-2</v>
      </c>
      <c r="H31" s="351">
        <v>2.7165102722357837E-2</v>
      </c>
    </row>
    <row r="32" spans="1:8" ht="20" customHeight="1" thickBot="1">
      <c r="A32" s="1122" t="s">
        <v>526</v>
      </c>
      <c r="B32" s="281" t="s">
        <v>390</v>
      </c>
      <c r="C32" s="282" t="s">
        <v>390</v>
      </c>
      <c r="D32" s="281" t="s">
        <v>390</v>
      </c>
      <c r="E32" s="282" vm="344">
        <v>110.78776386606997</v>
      </c>
      <c r="F32" s="1271" vm="371">
        <v>110.78776386606997</v>
      </c>
      <c r="G32" s="309">
        <v>3.7017567601122403E-2</v>
      </c>
      <c r="H32" s="351">
        <v>1.9568524212549177E-2</v>
      </c>
    </row>
    <row r="33" spans="1:12" ht="20" customHeight="1" thickBot="1">
      <c r="A33" s="1122" t="s">
        <v>527</v>
      </c>
      <c r="B33" s="281" t="s">
        <v>390</v>
      </c>
      <c r="C33" s="282" t="s">
        <v>390</v>
      </c>
      <c r="D33" s="281" t="s">
        <v>390</v>
      </c>
      <c r="E33" s="282" vm="343">
        <v>88.924446117655904</v>
      </c>
      <c r="F33" s="1271" vm="370">
        <v>88.924446117655904</v>
      </c>
      <c r="G33" s="309">
        <v>3.8010143704883648E-2</v>
      </c>
      <c r="H33" s="351">
        <v>2.9182529477801644E-2</v>
      </c>
    </row>
    <row r="34" spans="1:12" s="410" customFormat="1" ht="30" customHeight="1" thickBot="1">
      <c r="A34" s="354" t="s">
        <v>530</v>
      </c>
      <c r="B34" s="524" t="s">
        <v>390</v>
      </c>
      <c r="C34" s="525" t="s">
        <v>390</v>
      </c>
      <c r="D34" s="524" t="s">
        <v>390</v>
      </c>
      <c r="E34" s="525" t="s">
        <v>390</v>
      </c>
      <c r="F34" s="524" vm="369">
        <v>94.994087705691769</v>
      </c>
      <c r="G34" s="648">
        <v>3.7903457625494852E-2</v>
      </c>
      <c r="H34" s="526">
        <v>3.6895402031448032E-2</v>
      </c>
    </row>
    <row r="35" spans="1:12" ht="20" customHeight="1">
      <c r="A35" s="189" t="s">
        <v>1813</v>
      </c>
      <c r="B35" s="1261"/>
      <c r="C35" s="1261"/>
      <c r="D35" s="1261"/>
      <c r="E35" s="1261"/>
      <c r="F35" s="1261"/>
    </row>
    <row r="36" spans="1:12" ht="12.75" customHeight="1">
      <c r="A36" s="219"/>
      <c r="B36" s="621"/>
      <c r="C36" s="621"/>
      <c r="D36" s="621"/>
      <c r="E36" s="621"/>
      <c r="F36" s="621"/>
    </row>
    <row r="37" spans="1:12" ht="15.75" customHeight="1">
      <c r="A37" s="219" t="s">
        <v>1814</v>
      </c>
      <c r="B37" s="621"/>
      <c r="C37" s="621"/>
      <c r="D37" s="621"/>
      <c r="E37" s="621"/>
      <c r="F37" s="621"/>
    </row>
    <row r="38" spans="1:12" ht="13.5" customHeight="1">
      <c r="A38" s="219"/>
      <c r="B38" s="621"/>
      <c r="C38" s="621"/>
      <c r="D38" s="621"/>
      <c r="E38" s="621"/>
      <c r="F38" s="621"/>
    </row>
    <row r="39" spans="1:12" ht="12.75" customHeight="1">
      <c r="A39" s="219" t="s">
        <v>1811</v>
      </c>
      <c r="B39" s="621"/>
      <c r="C39" s="621"/>
      <c r="D39" s="621"/>
      <c r="E39" s="621"/>
      <c r="F39" s="621"/>
    </row>
    <row r="40" spans="1:12">
      <c r="A40" s="3" t="s">
        <v>1831</v>
      </c>
      <c r="B40" s="63"/>
      <c r="C40" s="63"/>
      <c r="D40" s="63"/>
      <c r="E40" s="63"/>
      <c r="F40" s="63"/>
    </row>
    <row r="41" spans="1:12">
      <c r="A41" s="3" t="s">
        <v>1832</v>
      </c>
      <c r="B41" s="63"/>
      <c r="C41" s="63"/>
      <c r="D41" s="63"/>
      <c r="E41" s="63"/>
      <c r="F41" s="63"/>
    </row>
    <row r="42" spans="1:12">
      <c r="A42" s="3" t="s">
        <v>1833</v>
      </c>
      <c r="B42" s="63"/>
      <c r="C42" s="63"/>
      <c r="D42" s="63"/>
      <c r="E42" s="63"/>
      <c r="F42" s="63"/>
      <c r="J42" s="17"/>
      <c r="K42" s="17"/>
      <c r="L42" s="17"/>
    </row>
    <row r="43" spans="1:12">
      <c r="B43" s="63"/>
      <c r="C43" s="63"/>
      <c r="D43" s="63"/>
      <c r="E43" s="63"/>
      <c r="F43" s="63"/>
    </row>
    <row r="44" spans="1:12">
      <c r="B44" s="63"/>
      <c r="C44" s="63"/>
      <c r="D44" s="63"/>
      <c r="E44" s="63"/>
      <c r="F44" s="63"/>
    </row>
    <row r="45" spans="1:12">
      <c r="A45" s="3" t="s">
        <v>302</v>
      </c>
    </row>
  </sheetData>
  <pageMargins left="0.62" right="0.54" top="0.9" bottom="0.47244094488188981" header="0.53" footer="0.51181102362204722"/>
  <pageSetup paperSize="9" scale="74" orientation="portrait"/>
  <headerFooter alignWithMargins="0"/>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D9991-61B1-1B49-842C-0EAD8116CBE8}">
  <sheetPr>
    <pageSetUpPr fitToPage="1"/>
  </sheetPr>
  <dimension ref="A1:F46"/>
  <sheetViews>
    <sheetView zoomScaleNormal="100" workbookViewId="0"/>
  </sheetViews>
  <sheetFormatPr baseColWidth="10" defaultColWidth="11.3984375" defaultRowHeight="13"/>
  <cols>
    <col min="1" max="1" width="17.19921875" style="3" customWidth="1"/>
    <col min="2" max="2" width="16.19921875" style="3" customWidth="1"/>
    <col min="3" max="3" width="15.3984375" style="3" customWidth="1"/>
    <col min="4" max="4" width="17.59765625" style="3" customWidth="1"/>
    <col min="5" max="5" width="16.19921875" style="3" customWidth="1"/>
    <col min="6" max="6" width="15.796875" style="3" customWidth="1"/>
    <col min="7" max="7" width="17.59765625" style="3" customWidth="1"/>
    <col min="8" max="16384" width="11.3984375" style="3"/>
  </cols>
  <sheetData>
    <row r="1" spans="1:6" s="1" customFormat="1" ht="14" customHeight="1">
      <c r="A1" s="191"/>
      <c r="B1" s="191"/>
      <c r="C1" s="191"/>
      <c r="D1" s="191"/>
      <c r="E1" s="191"/>
      <c r="F1" s="191"/>
    </row>
    <row r="2" spans="1:6" s="1" customFormat="1" ht="18.75" customHeight="1">
      <c r="A2" s="464" t="s">
        <v>1821</v>
      </c>
      <c r="B2" s="191"/>
      <c r="C2" s="191"/>
      <c r="D2" s="191"/>
      <c r="E2" s="191"/>
      <c r="F2" s="191"/>
    </row>
    <row r="3" spans="1:6" s="1" customFormat="1" ht="24" customHeight="1">
      <c r="A3" s="464" t="s">
        <v>1822</v>
      </c>
      <c r="B3" s="191"/>
      <c r="C3" s="191"/>
      <c r="D3" s="191"/>
      <c r="E3" s="191"/>
      <c r="F3" s="191"/>
    </row>
    <row r="4" spans="1:6" ht="24" customHeight="1">
      <c r="A4" s="224" t="s">
        <v>67</v>
      </c>
      <c r="B4" s="1257">
        <v>0.05</v>
      </c>
      <c r="C4" s="1258">
        <v>0.25</v>
      </c>
      <c r="D4" s="1257">
        <v>0.5</v>
      </c>
      <c r="E4" s="1258">
        <v>0.25</v>
      </c>
      <c r="F4" s="1257">
        <v>0.05</v>
      </c>
    </row>
    <row r="5" spans="1:6" ht="73.5" customHeight="1">
      <c r="A5" s="269"/>
      <c r="B5" s="1259" t="s">
        <v>1808</v>
      </c>
      <c r="C5" s="1260" t="s">
        <v>1808</v>
      </c>
      <c r="D5" s="1259" t="s">
        <v>1809</v>
      </c>
      <c r="E5" s="1260" t="s">
        <v>1810</v>
      </c>
      <c r="F5" s="1259" t="s">
        <v>1810</v>
      </c>
    </row>
    <row r="6" spans="1:6" ht="16" customHeight="1">
      <c r="A6" s="273"/>
      <c r="B6" s="274"/>
      <c r="C6" s="275"/>
      <c r="D6" s="274"/>
      <c r="E6" s="275"/>
      <c r="F6" s="362"/>
    </row>
    <row r="7" spans="1:6" ht="30" customHeight="1" thickBot="1">
      <c r="A7" s="1119" t="s">
        <v>502</v>
      </c>
      <c r="B7" s="352">
        <v>345.70001220703125</v>
      </c>
      <c r="C7" s="353">
        <v>383.29998779296875</v>
      </c>
      <c r="D7" s="352">
        <v>408.39999389648438</v>
      </c>
      <c r="E7" s="353">
        <v>433</v>
      </c>
      <c r="F7" s="352">
        <v>490.39999389648438</v>
      </c>
    </row>
    <row r="8" spans="1:6" ht="20" customHeight="1" thickBot="1">
      <c r="A8" s="1122" t="s">
        <v>503</v>
      </c>
      <c r="B8" s="289">
        <v>358.10000610351562</v>
      </c>
      <c r="C8" s="159">
        <v>411</v>
      </c>
      <c r="D8" s="289">
        <v>441</v>
      </c>
      <c r="E8" s="159">
        <v>460</v>
      </c>
      <c r="F8" s="289">
        <v>528.0999755859375</v>
      </c>
    </row>
    <row r="9" spans="1:6" ht="20" customHeight="1" thickBot="1">
      <c r="A9" s="1122" t="s">
        <v>504</v>
      </c>
      <c r="B9" s="289">
        <v>292.29998779296875</v>
      </c>
      <c r="C9" s="159">
        <v>357</v>
      </c>
      <c r="D9" s="289">
        <v>372</v>
      </c>
      <c r="E9" s="159">
        <v>406</v>
      </c>
      <c r="F9" s="289">
        <v>420</v>
      </c>
    </row>
    <row r="10" spans="1:6" ht="20" customHeight="1" thickBot="1">
      <c r="A10" s="1122" t="s">
        <v>505</v>
      </c>
      <c r="B10" s="289">
        <v>294.20001220703125</v>
      </c>
      <c r="C10" s="159">
        <v>324</v>
      </c>
      <c r="D10" s="289">
        <v>356.39999389648438</v>
      </c>
      <c r="E10" s="159">
        <v>364.29998779296875</v>
      </c>
      <c r="F10" s="289">
        <v>386.39999389648438</v>
      </c>
    </row>
    <row r="11" spans="1:6" ht="20" customHeight="1" thickBot="1">
      <c r="A11" s="1122" t="s">
        <v>506</v>
      </c>
      <c r="B11" s="289">
        <v>306</v>
      </c>
      <c r="C11" s="159">
        <v>354</v>
      </c>
      <c r="D11" s="289">
        <v>355</v>
      </c>
      <c r="E11" s="159">
        <v>368.10000610351562</v>
      </c>
      <c r="F11" s="289">
        <v>405</v>
      </c>
    </row>
    <row r="12" spans="1:6" ht="20" customHeight="1" thickBot="1">
      <c r="A12" s="1122" t="s">
        <v>507</v>
      </c>
      <c r="B12" s="289">
        <v>310</v>
      </c>
      <c r="C12" s="159">
        <v>333</v>
      </c>
      <c r="D12" s="289">
        <v>351.5</v>
      </c>
      <c r="E12" s="159">
        <v>359</v>
      </c>
      <c r="F12" s="289">
        <v>372.20001220703125</v>
      </c>
    </row>
    <row r="13" spans="1:6" ht="20" customHeight="1" thickBot="1">
      <c r="A13" s="1122" t="s">
        <v>508</v>
      </c>
      <c r="B13" s="289">
        <v>285</v>
      </c>
      <c r="C13" s="159">
        <v>321</v>
      </c>
      <c r="D13" s="289">
        <v>326.70001220703125</v>
      </c>
      <c r="E13" s="159">
        <v>334</v>
      </c>
      <c r="F13" s="289">
        <v>367.79998779296875</v>
      </c>
    </row>
    <row r="14" spans="1:6" ht="20" customHeight="1" thickBot="1">
      <c r="A14" s="1122" t="s">
        <v>509</v>
      </c>
      <c r="B14" s="289">
        <v>303.79998779296875</v>
      </c>
      <c r="C14" s="159">
        <v>328</v>
      </c>
      <c r="D14" s="289">
        <v>364</v>
      </c>
      <c r="E14" s="159">
        <v>396.89999389648438</v>
      </c>
      <c r="F14" s="289">
        <v>400</v>
      </c>
    </row>
    <row r="15" spans="1:6" ht="20" customHeight="1" thickBot="1">
      <c r="A15" s="1122" t="s">
        <v>510</v>
      </c>
      <c r="B15" s="289">
        <v>315</v>
      </c>
      <c r="C15" s="159">
        <v>341</v>
      </c>
      <c r="D15" s="289">
        <v>343</v>
      </c>
      <c r="E15" s="159">
        <v>362.70001220703125</v>
      </c>
      <c r="F15" s="289">
        <v>405</v>
      </c>
    </row>
    <row r="16" spans="1:6" ht="20" customHeight="1" thickBot="1">
      <c r="A16" s="1122" t="s">
        <v>511</v>
      </c>
      <c r="B16" s="289">
        <v>313.20001220703125</v>
      </c>
      <c r="C16" s="159">
        <v>369</v>
      </c>
      <c r="D16" s="289">
        <v>380</v>
      </c>
      <c r="E16" s="159">
        <v>404.20001220703125</v>
      </c>
      <c r="F16" s="289">
        <v>429.39999389648438</v>
      </c>
    </row>
    <row r="17" spans="1:6" ht="20" customHeight="1" thickBot="1">
      <c r="A17" s="1122" t="s">
        <v>512</v>
      </c>
      <c r="B17" s="289">
        <v>339.10000610351562</v>
      </c>
      <c r="C17" s="159">
        <v>366</v>
      </c>
      <c r="D17" s="289">
        <v>396</v>
      </c>
      <c r="E17" s="159">
        <v>424.39999389648438</v>
      </c>
      <c r="F17" s="289">
        <v>440.29998779296875</v>
      </c>
    </row>
    <row r="18" spans="1:6" ht="20" customHeight="1" thickBot="1">
      <c r="A18" s="1122" t="s">
        <v>513</v>
      </c>
      <c r="B18" s="289">
        <v>421.29998779296875</v>
      </c>
      <c r="C18" s="159">
        <v>476</v>
      </c>
      <c r="D18" s="289">
        <v>565</v>
      </c>
      <c r="E18" s="159">
        <v>575</v>
      </c>
      <c r="F18" s="289">
        <v>598.79998779296875</v>
      </c>
    </row>
    <row r="19" spans="1:6" ht="20" customHeight="1" thickBot="1">
      <c r="A19" s="1122" t="s">
        <v>514</v>
      </c>
      <c r="B19" s="289">
        <v>362.5</v>
      </c>
      <c r="C19" s="159">
        <v>401</v>
      </c>
      <c r="D19" s="289">
        <v>443</v>
      </c>
      <c r="E19" s="159">
        <v>474.20001220703125</v>
      </c>
      <c r="F19" s="289">
        <v>515</v>
      </c>
    </row>
    <row r="20" spans="1:6" ht="20" customHeight="1" thickBot="1">
      <c r="A20" s="1122" t="s">
        <v>515</v>
      </c>
      <c r="B20" s="289">
        <v>311.79998779296875</v>
      </c>
      <c r="C20" s="159">
        <v>382</v>
      </c>
      <c r="D20" s="289">
        <v>394.89999389648438</v>
      </c>
      <c r="E20" s="159">
        <v>427.89999389648438</v>
      </c>
      <c r="F20" s="289">
        <v>443.10000610351562</v>
      </c>
    </row>
    <row r="21" spans="1:6" ht="20" customHeight="1" thickBot="1">
      <c r="A21" s="1122" t="s">
        <v>516</v>
      </c>
      <c r="B21" s="289">
        <v>290.89999389648438</v>
      </c>
      <c r="C21" s="159">
        <v>342</v>
      </c>
      <c r="D21" s="289">
        <v>364</v>
      </c>
      <c r="E21" s="159">
        <v>364.89999389648438</v>
      </c>
      <c r="F21" s="289">
        <v>407</v>
      </c>
    </row>
    <row r="22" spans="1:6" ht="20" customHeight="1" thickBot="1">
      <c r="A22" s="1122" t="s">
        <v>517</v>
      </c>
      <c r="B22" s="289">
        <v>272.10000610351562</v>
      </c>
      <c r="C22" s="159">
        <v>305.29998779296875</v>
      </c>
      <c r="D22" s="289">
        <v>326</v>
      </c>
      <c r="E22" s="159">
        <v>333.89999389648438</v>
      </c>
      <c r="F22" s="289">
        <v>333.89999389648438</v>
      </c>
    </row>
    <row r="23" spans="1:6" ht="20" customHeight="1" thickBot="1">
      <c r="A23" s="1122" t="s">
        <v>518</v>
      </c>
      <c r="B23" s="289">
        <v>318</v>
      </c>
      <c r="C23" s="159">
        <v>363</v>
      </c>
      <c r="D23" s="289">
        <v>379</v>
      </c>
      <c r="E23" s="159">
        <v>385.89999389648438</v>
      </c>
      <c r="F23" s="289">
        <v>431</v>
      </c>
    </row>
    <row r="24" spans="1:6" ht="20" customHeight="1" thickBot="1">
      <c r="A24" s="1122" t="s">
        <v>519</v>
      </c>
      <c r="B24" s="289">
        <v>299.79998779296875</v>
      </c>
      <c r="C24" s="159">
        <v>330</v>
      </c>
      <c r="D24" s="289">
        <v>332</v>
      </c>
      <c r="E24" s="159">
        <v>357</v>
      </c>
      <c r="F24" s="289">
        <v>401.10000610351562</v>
      </c>
    </row>
    <row r="25" spans="1:6" ht="20" customHeight="1" thickBot="1">
      <c r="A25" s="1122" t="s">
        <v>520</v>
      </c>
      <c r="B25" s="289">
        <v>330</v>
      </c>
      <c r="C25" s="159">
        <v>370.5</v>
      </c>
      <c r="D25" s="289">
        <v>383</v>
      </c>
      <c r="E25" s="159">
        <v>407</v>
      </c>
      <c r="F25" s="289">
        <v>444.20001220703125</v>
      </c>
    </row>
    <row r="26" spans="1:6" ht="20" customHeight="1" thickBot="1">
      <c r="A26" s="1122" t="s">
        <v>521</v>
      </c>
      <c r="B26" s="289">
        <v>337.5</v>
      </c>
      <c r="C26" s="159">
        <v>350.29998779296875</v>
      </c>
      <c r="D26" s="289">
        <v>382</v>
      </c>
      <c r="E26" s="159">
        <v>394.89999389648438</v>
      </c>
      <c r="F26" s="289">
        <v>399.70001220703125</v>
      </c>
    </row>
    <row r="27" spans="1:6" ht="20" customHeight="1" thickBot="1">
      <c r="A27" s="1122" t="s">
        <v>522</v>
      </c>
      <c r="B27" s="289">
        <v>379.60000610351562</v>
      </c>
      <c r="C27" s="159">
        <v>406</v>
      </c>
      <c r="D27" s="289">
        <v>422</v>
      </c>
      <c r="E27" s="159">
        <v>461</v>
      </c>
      <c r="F27" s="289">
        <v>487</v>
      </c>
    </row>
    <row r="28" spans="1:6" ht="20" customHeight="1" thickBot="1">
      <c r="A28" s="1122" t="s">
        <v>523</v>
      </c>
      <c r="B28" s="289">
        <v>368.29998779296875</v>
      </c>
      <c r="C28" s="159">
        <v>386.79998779296875</v>
      </c>
      <c r="D28" s="289">
        <v>467</v>
      </c>
      <c r="E28" s="159">
        <v>480</v>
      </c>
      <c r="F28" s="289">
        <v>535</v>
      </c>
    </row>
    <row r="29" spans="1:6" ht="20" customHeight="1" thickBot="1">
      <c r="A29" s="1122" t="s">
        <v>524</v>
      </c>
      <c r="B29" s="289">
        <v>306.89999389648438</v>
      </c>
      <c r="C29" s="159">
        <v>330</v>
      </c>
      <c r="D29" s="289">
        <v>357</v>
      </c>
      <c r="E29" s="159">
        <v>371</v>
      </c>
      <c r="F29" s="289">
        <v>407</v>
      </c>
    </row>
    <row r="30" spans="1:6" ht="20" customHeight="1" thickBot="1">
      <c r="A30" s="1122" t="s">
        <v>525</v>
      </c>
      <c r="B30" s="289">
        <v>356.39999389648438</v>
      </c>
      <c r="C30" s="159">
        <v>356.39999389648438</v>
      </c>
      <c r="D30" s="289">
        <v>450</v>
      </c>
      <c r="E30" s="159">
        <v>472.29998779296875</v>
      </c>
      <c r="F30" s="289">
        <v>515.20001220703125</v>
      </c>
    </row>
    <row r="31" spans="1:6" ht="20" customHeight="1" thickBot="1">
      <c r="A31" s="1122" t="s">
        <v>526</v>
      </c>
      <c r="B31" s="289">
        <v>397.60000610351562</v>
      </c>
      <c r="C31" s="159">
        <v>512</v>
      </c>
      <c r="D31" s="289">
        <v>527.70001220703125</v>
      </c>
      <c r="E31" s="159">
        <v>530</v>
      </c>
      <c r="F31" s="289">
        <v>551.9000244140625</v>
      </c>
    </row>
    <row r="32" spans="1:6" ht="20" customHeight="1" thickBot="1">
      <c r="A32" s="1122" t="s">
        <v>527</v>
      </c>
      <c r="B32" s="289">
        <v>363.39999389648438</v>
      </c>
      <c r="C32" s="159">
        <v>363.39999389648438</v>
      </c>
      <c r="D32" s="289">
        <v>427</v>
      </c>
      <c r="E32" s="159">
        <v>475</v>
      </c>
      <c r="F32" s="289">
        <v>497</v>
      </c>
    </row>
    <row r="33" spans="1:6" ht="30" customHeight="1" thickBot="1">
      <c r="A33" s="354" t="s">
        <v>530</v>
      </c>
      <c r="B33" s="290">
        <v>328.10000610351562</v>
      </c>
      <c r="C33" s="291">
        <v>370</v>
      </c>
      <c r="D33" s="290">
        <v>405.89999389648438</v>
      </c>
      <c r="E33" s="291">
        <v>446.70001220703125</v>
      </c>
      <c r="F33" s="290">
        <v>529</v>
      </c>
    </row>
    <row r="34" spans="1:6" ht="20" customHeight="1">
      <c r="A34" s="189" t="s">
        <v>1813</v>
      </c>
      <c r="B34" s="1261"/>
      <c r="C34" s="1261"/>
      <c r="D34" s="1261"/>
      <c r="E34" s="1261"/>
      <c r="F34" s="1261"/>
    </row>
    <row r="35" spans="1:6" ht="12.75" customHeight="1">
      <c r="A35" s="219"/>
      <c r="B35" s="621"/>
      <c r="C35" s="621"/>
      <c r="D35" s="621"/>
      <c r="E35" s="621"/>
      <c r="F35" s="621"/>
    </row>
    <row r="36" spans="1:6" ht="15.75" customHeight="1">
      <c r="A36" s="219" t="s">
        <v>1814</v>
      </c>
      <c r="B36" s="621"/>
      <c r="C36" s="621"/>
      <c r="D36" s="621"/>
      <c r="E36" s="621"/>
      <c r="F36" s="621"/>
    </row>
    <row r="37" spans="1:6" ht="13.5" customHeight="1">
      <c r="A37" s="219"/>
      <c r="B37" s="621"/>
      <c r="C37" s="621"/>
      <c r="D37" s="621"/>
      <c r="E37" s="621"/>
      <c r="F37" s="621"/>
    </row>
    <row r="38" spans="1:6" ht="12.75" customHeight="1">
      <c r="A38" s="219" t="s">
        <v>1811</v>
      </c>
      <c r="B38" s="621"/>
      <c r="C38" s="621"/>
      <c r="D38" s="621"/>
      <c r="E38" s="621"/>
      <c r="F38" s="621"/>
    </row>
    <row r="39" spans="1:6">
      <c r="A39" s="3" t="s">
        <v>2211</v>
      </c>
      <c r="B39" s="63"/>
      <c r="C39" s="63"/>
      <c r="D39" s="63"/>
      <c r="E39" s="63"/>
      <c r="F39" s="63"/>
    </row>
    <row r="40" spans="1:6">
      <c r="A40" s="3" t="s">
        <v>1815</v>
      </c>
      <c r="B40" s="63"/>
      <c r="C40" s="63"/>
      <c r="D40" s="63"/>
      <c r="E40" s="63"/>
      <c r="F40" s="63"/>
    </row>
    <row r="41" spans="1:6">
      <c r="A41" s="3" t="s">
        <v>1816</v>
      </c>
      <c r="B41" s="63"/>
      <c r="C41" s="63"/>
      <c r="D41" s="63"/>
      <c r="E41" s="63"/>
      <c r="F41" s="63"/>
    </row>
    <row r="42" spans="1:6">
      <c r="A42" s="3" t="s">
        <v>1817</v>
      </c>
      <c r="B42" s="63"/>
      <c r="C42" s="63"/>
      <c r="D42" s="63"/>
      <c r="E42" s="63"/>
      <c r="F42" s="63"/>
    </row>
    <row r="43" spans="1:6">
      <c r="A43" s="3" t="s">
        <v>1818</v>
      </c>
      <c r="B43" s="63"/>
      <c r="C43" s="63"/>
      <c r="D43" s="63"/>
      <c r="E43" s="63"/>
      <c r="F43" s="63"/>
    </row>
    <row r="44" spans="1:6">
      <c r="B44" s="63"/>
      <c r="C44" s="63"/>
      <c r="D44" s="63"/>
      <c r="E44" s="63"/>
      <c r="F44" s="63"/>
    </row>
    <row r="45" spans="1:6">
      <c r="B45" s="63"/>
      <c r="C45" s="63"/>
      <c r="D45" s="63"/>
      <c r="E45" s="63"/>
      <c r="F45" s="63"/>
    </row>
    <row r="46" spans="1:6">
      <c r="A46" s="3" t="s">
        <v>302</v>
      </c>
      <c r="B46" s="63"/>
      <c r="C46" s="63"/>
      <c r="D46" s="63"/>
      <c r="E46" s="63"/>
      <c r="F46" s="63"/>
    </row>
  </sheetData>
  <pageMargins left="0.6692913385826772" right="0.59055118110236227" top="0.70866141732283472" bottom="0.47244094488188981" header="0.59055118110236227" footer="0.51181102362204722"/>
  <pageSetup paperSize="9" scale="78" orientation="portrait" horizontalDpi="1200" verticalDpi="1200"/>
  <headerFooter alignWithMargins="0"/>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5268B-3D87-B948-9C18-E380603FA5B6}">
  <sheetPr>
    <pageSetUpPr fitToPage="1"/>
  </sheetPr>
  <dimension ref="A1:G46"/>
  <sheetViews>
    <sheetView zoomScaleNormal="100" workbookViewId="0"/>
  </sheetViews>
  <sheetFormatPr baseColWidth="10" defaultColWidth="11.3984375" defaultRowHeight="13"/>
  <cols>
    <col min="1" max="1" width="18.3984375" style="3" customWidth="1"/>
    <col min="2" max="2" width="16.3984375" style="3" customWidth="1"/>
    <col min="3" max="3" width="16.19921875" style="3" customWidth="1"/>
    <col min="4" max="4" width="17.59765625" style="3" customWidth="1"/>
    <col min="5" max="6" width="16.19921875" style="3" customWidth="1"/>
    <col min="7" max="7" width="16.3984375" style="3" customWidth="1"/>
    <col min="8" max="8" width="11.3984375" style="3"/>
    <col min="9" max="9" width="6.59765625" style="3" customWidth="1"/>
    <col min="10" max="16384" width="11.3984375" style="3"/>
  </cols>
  <sheetData>
    <row r="1" spans="1:6" s="1" customFormat="1" ht="14" customHeight="1">
      <c r="A1" s="191"/>
      <c r="B1" s="191"/>
      <c r="C1" s="191"/>
      <c r="D1" s="191"/>
      <c r="E1" s="191"/>
      <c r="F1" s="191"/>
    </row>
    <row r="2" spans="1:6" s="1" customFormat="1" ht="18.75" customHeight="1">
      <c r="A2" s="464" t="s">
        <v>1819</v>
      </c>
      <c r="B2" s="191"/>
      <c r="C2" s="191"/>
      <c r="D2" s="191"/>
      <c r="E2" s="191"/>
      <c r="F2" s="191"/>
    </row>
    <row r="3" spans="1:6" s="1" customFormat="1" ht="24" customHeight="1">
      <c r="A3" s="464" t="s">
        <v>1820</v>
      </c>
      <c r="B3" s="191"/>
      <c r="C3" s="191"/>
      <c r="D3" s="191"/>
      <c r="E3" s="191"/>
      <c r="F3" s="191"/>
    </row>
    <row r="4" spans="1:6" ht="24" customHeight="1">
      <c r="A4" s="224" t="s">
        <v>67</v>
      </c>
      <c r="B4" s="1257">
        <v>0.05</v>
      </c>
      <c r="C4" s="1258">
        <v>0.25</v>
      </c>
      <c r="D4" s="1257">
        <v>0.5</v>
      </c>
      <c r="E4" s="1258">
        <v>0.25</v>
      </c>
      <c r="F4" s="1257">
        <v>0.05</v>
      </c>
    </row>
    <row r="5" spans="1:6" ht="68.5" customHeight="1">
      <c r="A5" s="269"/>
      <c r="B5" s="1259" t="s">
        <v>1808</v>
      </c>
      <c r="C5" s="1260" t="s">
        <v>1808</v>
      </c>
      <c r="D5" s="1259" t="s">
        <v>1809</v>
      </c>
      <c r="E5" s="1260" t="s">
        <v>1810</v>
      </c>
      <c r="F5" s="1259" t="s">
        <v>1810</v>
      </c>
    </row>
    <row r="6" spans="1:6" ht="16.75" customHeight="1">
      <c r="A6" s="273"/>
      <c r="B6" s="274"/>
      <c r="C6" s="275"/>
      <c r="D6" s="274"/>
      <c r="E6" s="275"/>
      <c r="F6" s="362"/>
    </row>
    <row r="7" spans="1:6" ht="30" customHeight="1" thickBot="1">
      <c r="A7" s="1119" t="s">
        <v>502</v>
      </c>
      <c r="B7" s="352">
        <v>327.20001220703125</v>
      </c>
      <c r="C7" s="353">
        <v>356</v>
      </c>
      <c r="D7" s="352">
        <v>380.10000610351562</v>
      </c>
      <c r="E7" s="353">
        <v>401.39999389648438</v>
      </c>
      <c r="F7" s="352">
        <v>446.60000610351562</v>
      </c>
    </row>
    <row r="8" spans="1:6" ht="20" customHeight="1" thickBot="1">
      <c r="A8" s="1122" t="s">
        <v>503</v>
      </c>
      <c r="B8" s="289">
        <v>358.10000610351562</v>
      </c>
      <c r="C8" s="159">
        <v>371.60000610351562</v>
      </c>
      <c r="D8" s="289">
        <v>404.79998779296875</v>
      </c>
      <c r="E8" s="159">
        <v>427.79998779296875</v>
      </c>
      <c r="F8" s="289">
        <v>470</v>
      </c>
    </row>
    <row r="9" spans="1:6" ht="20" customHeight="1" thickBot="1">
      <c r="A9" s="1122" t="s">
        <v>504</v>
      </c>
      <c r="B9" s="289">
        <v>281.79998779296875</v>
      </c>
      <c r="C9" s="159">
        <v>328.39999389648438</v>
      </c>
      <c r="D9" s="289">
        <v>342.20001220703125</v>
      </c>
      <c r="E9" s="159">
        <v>366.5</v>
      </c>
      <c r="F9" s="289">
        <v>382</v>
      </c>
    </row>
    <row r="10" spans="1:6" ht="20" customHeight="1" thickBot="1">
      <c r="A10" s="1122" t="s">
        <v>505</v>
      </c>
      <c r="B10" s="289">
        <v>276.5</v>
      </c>
      <c r="C10" s="159">
        <v>296.10000610351562</v>
      </c>
      <c r="D10" s="289">
        <v>323</v>
      </c>
      <c r="E10" s="159">
        <v>335.20001220703125</v>
      </c>
      <c r="F10" s="289">
        <v>345.10000610351562</v>
      </c>
    </row>
    <row r="11" spans="1:6" ht="20" customHeight="1" thickBot="1">
      <c r="A11" s="1122" t="s">
        <v>506</v>
      </c>
      <c r="B11" s="289">
        <v>287.60000610351562</v>
      </c>
      <c r="C11" s="159">
        <v>325.70001220703125</v>
      </c>
      <c r="D11" s="289">
        <v>325.70001220703125</v>
      </c>
      <c r="E11" s="159">
        <v>342.60000610351562</v>
      </c>
      <c r="F11" s="289">
        <v>375.20001220703125</v>
      </c>
    </row>
    <row r="12" spans="1:6" ht="20" customHeight="1" thickBot="1">
      <c r="A12" s="1122" t="s">
        <v>507</v>
      </c>
      <c r="B12" s="289">
        <v>291.39999389648438</v>
      </c>
      <c r="C12" s="159">
        <v>301.79998779296875</v>
      </c>
      <c r="D12" s="289">
        <v>323.39999389648438</v>
      </c>
      <c r="E12" s="159">
        <v>330.29998779296875</v>
      </c>
      <c r="F12" s="289">
        <v>330.89999389648438</v>
      </c>
    </row>
    <row r="13" spans="1:6" ht="20" customHeight="1" thickBot="1">
      <c r="A13" s="1122" t="s">
        <v>508</v>
      </c>
      <c r="B13" s="289">
        <v>264</v>
      </c>
      <c r="C13" s="159">
        <v>300.60000610351562</v>
      </c>
      <c r="D13" s="289">
        <v>300.60000610351562</v>
      </c>
      <c r="E13" s="159">
        <v>307.29998779296875</v>
      </c>
      <c r="F13" s="289">
        <v>320.39999389648438</v>
      </c>
    </row>
    <row r="14" spans="1:6" ht="20" customHeight="1" thickBot="1">
      <c r="A14" s="1122" t="s">
        <v>509</v>
      </c>
      <c r="B14" s="289">
        <v>270.5</v>
      </c>
      <c r="C14" s="159">
        <v>303.20001220703125</v>
      </c>
      <c r="D14" s="289">
        <v>327.60000610351562</v>
      </c>
      <c r="E14" s="159">
        <v>343</v>
      </c>
      <c r="F14" s="289">
        <v>377.10000610351562</v>
      </c>
    </row>
    <row r="15" spans="1:6" ht="20" customHeight="1" thickBot="1">
      <c r="A15" s="1122" t="s">
        <v>510</v>
      </c>
      <c r="B15" s="289">
        <v>296.10000610351562</v>
      </c>
      <c r="C15" s="159">
        <v>307.39999389648438</v>
      </c>
      <c r="D15" s="289">
        <v>315.60000610351562</v>
      </c>
      <c r="E15" s="159">
        <v>333.70001220703125</v>
      </c>
      <c r="F15" s="289">
        <v>348.60000610351562</v>
      </c>
    </row>
    <row r="16" spans="1:6" ht="20" customHeight="1" thickBot="1">
      <c r="A16" s="1122" t="s">
        <v>511</v>
      </c>
      <c r="B16" s="289">
        <v>313.20001220703125</v>
      </c>
      <c r="C16" s="159">
        <v>343.60000610351562</v>
      </c>
      <c r="D16" s="289">
        <v>348.70001220703125</v>
      </c>
      <c r="E16" s="159">
        <v>378.20001220703125</v>
      </c>
      <c r="F16" s="289">
        <v>395.10000610351562</v>
      </c>
    </row>
    <row r="17" spans="1:6" ht="20" customHeight="1" thickBot="1">
      <c r="A17" s="1122" t="s">
        <v>512</v>
      </c>
      <c r="B17" s="289">
        <v>334.39999389648438</v>
      </c>
      <c r="C17" s="159">
        <v>336.60000610351562</v>
      </c>
      <c r="D17" s="289">
        <v>360.79998779296875</v>
      </c>
      <c r="E17" s="159">
        <v>382.89999389648438</v>
      </c>
      <c r="F17" s="289">
        <v>412.29998779296875</v>
      </c>
    </row>
    <row r="18" spans="1:6" ht="20" customHeight="1" thickBot="1">
      <c r="A18" s="1122" t="s">
        <v>513</v>
      </c>
      <c r="B18" s="289">
        <v>421.29998779296875</v>
      </c>
      <c r="C18" s="159">
        <v>447.5</v>
      </c>
      <c r="D18" s="289">
        <v>509</v>
      </c>
      <c r="E18" s="159">
        <v>531.9000244140625</v>
      </c>
      <c r="F18" s="289">
        <v>546.20001220703125</v>
      </c>
    </row>
    <row r="19" spans="1:6" ht="20" customHeight="1" thickBot="1">
      <c r="A19" s="1122" t="s">
        <v>514</v>
      </c>
      <c r="B19" s="289">
        <v>357.20001220703125</v>
      </c>
      <c r="C19" s="159">
        <v>375.10000610351562</v>
      </c>
      <c r="D19" s="289">
        <v>407.5</v>
      </c>
      <c r="E19" s="159">
        <v>432.39999389648438</v>
      </c>
      <c r="F19" s="289">
        <v>475.20001220703125</v>
      </c>
    </row>
    <row r="20" spans="1:6" ht="20" customHeight="1" thickBot="1">
      <c r="A20" s="1122" t="s">
        <v>515</v>
      </c>
      <c r="B20" s="289">
        <v>311.79998779296875</v>
      </c>
      <c r="C20" s="159">
        <v>339.5</v>
      </c>
      <c r="D20" s="289">
        <v>361.39999389648438</v>
      </c>
      <c r="E20" s="159">
        <v>388.39999389648438</v>
      </c>
      <c r="F20" s="289">
        <v>406.60000610351562</v>
      </c>
    </row>
    <row r="21" spans="1:6" ht="20" customHeight="1" thickBot="1">
      <c r="A21" s="1122" t="s">
        <v>516</v>
      </c>
      <c r="B21" s="289">
        <v>273.39999389648438</v>
      </c>
      <c r="C21" s="159">
        <v>310.89999389648438</v>
      </c>
      <c r="D21" s="289">
        <v>330.29998779296875</v>
      </c>
      <c r="E21" s="159">
        <v>346.70001220703125</v>
      </c>
      <c r="F21" s="289">
        <v>360.60000610351562</v>
      </c>
    </row>
    <row r="22" spans="1:6" ht="20" customHeight="1" thickBot="1">
      <c r="A22" s="1122" t="s">
        <v>517</v>
      </c>
      <c r="B22" s="289">
        <v>239.39999389648438</v>
      </c>
      <c r="C22" s="159">
        <v>280.89999389648438</v>
      </c>
      <c r="D22" s="289">
        <v>299.89999389648438</v>
      </c>
      <c r="E22" s="159">
        <v>317.29998779296875</v>
      </c>
      <c r="F22" s="289">
        <v>317.29998779296875</v>
      </c>
    </row>
    <row r="23" spans="1:6" ht="20" customHeight="1" thickBot="1">
      <c r="A23" s="1122" t="s">
        <v>518</v>
      </c>
      <c r="B23" s="289">
        <v>301.10000610351562</v>
      </c>
      <c r="C23" s="159">
        <v>338</v>
      </c>
      <c r="D23" s="289">
        <v>354</v>
      </c>
      <c r="E23" s="159">
        <v>366.70001220703125</v>
      </c>
      <c r="F23" s="289">
        <v>406.60000610351562</v>
      </c>
    </row>
    <row r="24" spans="1:6" ht="20" customHeight="1" thickBot="1">
      <c r="A24" s="1122" t="s">
        <v>519</v>
      </c>
      <c r="B24" s="289">
        <v>284.39999389648438</v>
      </c>
      <c r="C24" s="159">
        <v>303.60000610351562</v>
      </c>
      <c r="D24" s="289">
        <v>309.89999389648438</v>
      </c>
      <c r="E24" s="159">
        <v>333</v>
      </c>
      <c r="F24" s="289">
        <v>374.20001220703125</v>
      </c>
    </row>
    <row r="25" spans="1:6" ht="20" customHeight="1" thickBot="1">
      <c r="A25" s="1122" t="s">
        <v>520</v>
      </c>
      <c r="B25" s="289">
        <v>311</v>
      </c>
      <c r="C25" s="159">
        <v>335.70001220703125</v>
      </c>
      <c r="D25" s="289">
        <v>352.39999389648438</v>
      </c>
      <c r="E25" s="159">
        <v>374.5</v>
      </c>
      <c r="F25" s="289">
        <v>398.39999389648438</v>
      </c>
    </row>
    <row r="26" spans="1:6" ht="20" customHeight="1" thickBot="1">
      <c r="A26" s="1122" t="s">
        <v>521</v>
      </c>
      <c r="B26" s="289">
        <v>315.29998779296875</v>
      </c>
      <c r="C26" s="159">
        <v>318.70001220703125</v>
      </c>
      <c r="D26" s="289">
        <v>337.60000610351562</v>
      </c>
      <c r="E26" s="159">
        <v>360</v>
      </c>
      <c r="F26" s="289">
        <v>375.20001220703125</v>
      </c>
    </row>
    <row r="27" spans="1:6" ht="20" customHeight="1" thickBot="1">
      <c r="A27" s="1122" t="s">
        <v>522</v>
      </c>
      <c r="B27" s="289">
        <v>353</v>
      </c>
      <c r="C27" s="159">
        <v>379.60000610351562</v>
      </c>
      <c r="D27" s="289">
        <v>391.79998779296875</v>
      </c>
      <c r="E27" s="159">
        <v>429</v>
      </c>
      <c r="F27" s="289">
        <v>448.39999389648438</v>
      </c>
    </row>
    <row r="28" spans="1:6" ht="20" customHeight="1" thickBot="1">
      <c r="A28" s="1122" t="s">
        <v>523</v>
      </c>
      <c r="B28" s="289">
        <v>368.29998779296875</v>
      </c>
      <c r="C28" s="159">
        <v>399</v>
      </c>
      <c r="D28" s="289">
        <v>429.60000610351562</v>
      </c>
      <c r="E28" s="159">
        <v>444.60000610351562</v>
      </c>
      <c r="F28" s="289">
        <v>495</v>
      </c>
    </row>
    <row r="29" spans="1:6" ht="20" customHeight="1" thickBot="1">
      <c r="A29" s="1122" t="s">
        <v>524</v>
      </c>
      <c r="B29" s="289">
        <v>283.60000610351562</v>
      </c>
      <c r="C29" s="159">
        <v>306.89999389648438</v>
      </c>
      <c r="D29" s="289">
        <v>322.20001220703125</v>
      </c>
      <c r="E29" s="159">
        <v>360</v>
      </c>
      <c r="F29" s="289">
        <v>374.39999389648438</v>
      </c>
    </row>
    <row r="30" spans="1:6" ht="20" customHeight="1" thickBot="1">
      <c r="A30" s="1122" t="s">
        <v>525</v>
      </c>
      <c r="B30" s="289">
        <v>356.39999389648438</v>
      </c>
      <c r="C30" s="159">
        <v>356.39999389648438</v>
      </c>
      <c r="D30" s="289">
        <v>414</v>
      </c>
      <c r="E30" s="159">
        <v>425.39999389648438</v>
      </c>
      <c r="F30" s="289">
        <v>463.70001220703125</v>
      </c>
    </row>
    <row r="31" spans="1:6" ht="20" customHeight="1" thickBot="1">
      <c r="A31" s="1122" t="s">
        <v>526</v>
      </c>
      <c r="B31" s="289">
        <v>397.60000610351562</v>
      </c>
      <c r="C31" s="159">
        <v>450.5</v>
      </c>
      <c r="D31" s="289">
        <v>476.20001220703125</v>
      </c>
      <c r="E31" s="159">
        <v>489.39999389648438</v>
      </c>
      <c r="F31" s="289">
        <v>502.29998779296875</v>
      </c>
    </row>
    <row r="32" spans="1:6" ht="20" customHeight="1" thickBot="1">
      <c r="A32" s="1122" t="s">
        <v>527</v>
      </c>
      <c r="B32" s="289">
        <v>358.20001220703125</v>
      </c>
      <c r="C32" s="159">
        <v>363.39999389648438</v>
      </c>
      <c r="D32" s="289">
        <v>396</v>
      </c>
      <c r="E32" s="159">
        <v>437</v>
      </c>
      <c r="F32" s="289">
        <v>452</v>
      </c>
    </row>
    <row r="33" spans="1:7" ht="30" customHeight="1" thickBot="1">
      <c r="A33" s="354" t="s">
        <v>530</v>
      </c>
      <c r="B33" s="290">
        <v>303.60000610351562</v>
      </c>
      <c r="C33" s="291">
        <v>342.29998779296875</v>
      </c>
      <c r="D33" s="290">
        <v>373.5</v>
      </c>
      <c r="E33" s="291">
        <v>408.5</v>
      </c>
      <c r="F33" s="290">
        <v>476.20001220703125</v>
      </c>
      <c r="G33" s="219"/>
    </row>
    <row r="34" spans="1:7" ht="20" customHeight="1">
      <c r="A34" s="189" t="s">
        <v>1813</v>
      </c>
      <c r="B34" s="1261"/>
      <c r="C34" s="1261"/>
      <c r="D34" s="1261"/>
      <c r="E34" s="1261"/>
      <c r="F34" s="1261"/>
      <c r="G34" s="621"/>
    </row>
    <row r="35" spans="1:7" ht="12.75" customHeight="1">
      <c r="A35" s="219"/>
      <c r="B35" s="621"/>
      <c r="C35" s="621"/>
      <c r="D35" s="621"/>
      <c r="E35" s="621"/>
      <c r="F35" s="621"/>
      <c r="G35" s="621"/>
    </row>
    <row r="36" spans="1:7" ht="20" customHeight="1">
      <c r="A36" s="219" t="s">
        <v>1814</v>
      </c>
      <c r="B36" s="621"/>
      <c r="C36" s="621"/>
      <c r="D36" s="621"/>
      <c r="E36" s="621"/>
      <c r="F36" s="621"/>
      <c r="G36" s="621"/>
    </row>
    <row r="37" spans="1:7" ht="14.25" customHeight="1">
      <c r="A37" s="219"/>
      <c r="B37" s="621"/>
      <c r="C37" s="621"/>
      <c r="D37" s="621"/>
      <c r="E37" s="621"/>
      <c r="F37" s="621"/>
      <c r="G37" s="621"/>
    </row>
    <row r="38" spans="1:7" ht="12.75" customHeight="1">
      <c r="A38" s="219" t="s">
        <v>1811</v>
      </c>
      <c r="B38" s="621"/>
      <c r="C38" s="621"/>
      <c r="D38" s="621"/>
      <c r="E38" s="621"/>
      <c r="F38" s="621"/>
      <c r="G38" s="621"/>
    </row>
    <row r="39" spans="1:7">
      <c r="A39" s="3" t="s">
        <v>2211</v>
      </c>
      <c r="B39" s="63"/>
      <c r="C39" s="63"/>
      <c r="D39" s="63"/>
      <c r="E39" s="63"/>
      <c r="F39" s="63"/>
      <c r="G39" s="63"/>
    </row>
    <row r="40" spans="1:7">
      <c r="A40" s="3" t="s">
        <v>1815</v>
      </c>
      <c r="B40" s="63"/>
      <c r="C40" s="63"/>
      <c r="D40" s="63"/>
      <c r="E40" s="63"/>
      <c r="F40" s="63"/>
      <c r="G40" s="63"/>
    </row>
    <row r="41" spans="1:7">
      <c r="A41" s="3" t="s">
        <v>1816</v>
      </c>
      <c r="B41" s="63"/>
      <c r="C41" s="63"/>
      <c r="D41" s="63"/>
      <c r="E41" s="63"/>
      <c r="F41" s="63"/>
      <c r="G41" s="63"/>
    </row>
    <row r="42" spans="1:7">
      <c r="A42" s="3" t="s">
        <v>1817</v>
      </c>
      <c r="B42" s="63"/>
      <c r="C42" s="63"/>
      <c r="D42" s="63"/>
      <c r="E42" s="63"/>
      <c r="F42" s="63"/>
      <c r="G42" s="63"/>
    </row>
    <row r="43" spans="1:7">
      <c r="A43" s="3" t="s">
        <v>1818</v>
      </c>
      <c r="B43" s="63"/>
      <c r="C43" s="63"/>
      <c r="D43" s="63"/>
      <c r="E43" s="63"/>
      <c r="F43" s="63"/>
      <c r="G43" s="63"/>
    </row>
    <row r="44" spans="1:7">
      <c r="B44" s="63"/>
      <c r="C44" s="63"/>
      <c r="D44" s="63"/>
      <c r="E44" s="63"/>
      <c r="F44" s="63"/>
      <c r="G44" s="63"/>
    </row>
    <row r="45" spans="1:7">
      <c r="B45" s="63"/>
      <c r="C45" s="63"/>
      <c r="D45" s="63"/>
      <c r="E45" s="63"/>
      <c r="F45" s="63"/>
      <c r="G45" s="63"/>
    </row>
    <row r="46" spans="1:7">
      <c r="A46" s="3" t="s">
        <v>302</v>
      </c>
      <c r="B46" s="63"/>
      <c r="C46" s="63"/>
      <c r="D46" s="63"/>
      <c r="E46" s="63"/>
      <c r="F46" s="63"/>
      <c r="G46" s="63"/>
    </row>
  </sheetData>
  <pageMargins left="0.6692913385826772" right="0.55118110236220474" top="0.6692913385826772" bottom="0.47244094488188981" header="0.47244094488188981" footer="0.51181102362204722"/>
  <pageSetup paperSize="9" scale="78" orientation="portrait"/>
  <headerFooter alignWithMargins="0"/>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5996D-D180-AA44-BAC9-96669CB75A1D}">
  <sheetPr>
    <pageSetUpPr fitToPage="1"/>
  </sheetPr>
  <dimension ref="A1:F46"/>
  <sheetViews>
    <sheetView zoomScaleNormal="100" workbookViewId="0"/>
  </sheetViews>
  <sheetFormatPr baseColWidth="10" defaultColWidth="11.3984375" defaultRowHeight="13"/>
  <cols>
    <col min="1" max="1" width="21.19921875" style="3" customWidth="1"/>
    <col min="2" max="2" width="15.796875" style="3" customWidth="1"/>
    <col min="3" max="3" width="15.59765625" style="3" customWidth="1"/>
    <col min="4" max="4" width="17.3984375" style="3" customWidth="1"/>
    <col min="5" max="5" width="15.59765625" style="3" customWidth="1"/>
    <col min="6" max="6" width="15.796875" style="3" customWidth="1"/>
    <col min="7" max="7" width="19.3984375" style="3" customWidth="1"/>
    <col min="8" max="16384" width="11.3984375" style="3"/>
  </cols>
  <sheetData>
    <row r="1" spans="1:6" s="1" customFormat="1" ht="14" customHeight="1">
      <c r="A1" s="191"/>
      <c r="B1" s="191"/>
      <c r="C1" s="191"/>
      <c r="D1" s="191"/>
      <c r="E1" s="191"/>
      <c r="F1" s="191"/>
    </row>
    <row r="2" spans="1:6" s="1" customFormat="1" ht="18.75" customHeight="1">
      <c r="A2" s="464" t="s">
        <v>1807</v>
      </c>
      <c r="B2" s="191"/>
      <c r="C2" s="191"/>
      <c r="D2" s="191"/>
      <c r="E2" s="191"/>
      <c r="F2" s="191"/>
    </row>
    <row r="3" spans="1:6" s="1" customFormat="1" ht="22.5" customHeight="1">
      <c r="A3" s="464" t="s">
        <v>1812</v>
      </c>
      <c r="B3" s="191"/>
      <c r="C3" s="191"/>
      <c r="D3" s="191"/>
      <c r="E3" s="191"/>
      <c r="F3" s="191"/>
    </row>
    <row r="4" spans="1:6" ht="24" customHeight="1">
      <c r="A4" s="224" t="s">
        <v>67</v>
      </c>
      <c r="B4" s="1257">
        <v>0.05</v>
      </c>
      <c r="C4" s="1258">
        <v>0.25</v>
      </c>
      <c r="D4" s="1257">
        <v>0.5</v>
      </c>
      <c r="E4" s="1258">
        <v>0.25</v>
      </c>
      <c r="F4" s="1257">
        <v>0.05</v>
      </c>
    </row>
    <row r="5" spans="1:6" ht="67.75" customHeight="1">
      <c r="A5" s="269"/>
      <c r="B5" s="1259" t="s">
        <v>1808</v>
      </c>
      <c r="C5" s="1260" t="s">
        <v>1808</v>
      </c>
      <c r="D5" s="1259" t="s">
        <v>1809</v>
      </c>
      <c r="E5" s="1260" t="s">
        <v>1810</v>
      </c>
      <c r="F5" s="1259" t="s">
        <v>1810</v>
      </c>
    </row>
    <row r="6" spans="1:6" ht="18" customHeight="1">
      <c r="A6" s="273"/>
      <c r="B6" s="274"/>
      <c r="C6" s="275"/>
      <c r="D6" s="274"/>
      <c r="E6" s="275"/>
      <c r="F6" s="362"/>
    </row>
    <row r="7" spans="1:6" ht="30" customHeight="1" thickBot="1">
      <c r="A7" s="1119" t="s">
        <v>502</v>
      </c>
      <c r="B7" s="352">
        <v>78.199996948242188</v>
      </c>
      <c r="C7" s="353">
        <v>90.400001525878906</v>
      </c>
      <c r="D7" s="352">
        <v>98.5</v>
      </c>
      <c r="E7" s="353">
        <v>106.30000305175781</v>
      </c>
      <c r="F7" s="352">
        <v>120.40000152587891</v>
      </c>
    </row>
    <row r="8" spans="1:6" ht="20" customHeight="1" thickBot="1">
      <c r="A8" s="1122" t="s">
        <v>503</v>
      </c>
      <c r="B8" s="289">
        <v>77.199996948242188</v>
      </c>
      <c r="C8" s="159">
        <v>88.599998474121094</v>
      </c>
      <c r="D8" s="289">
        <v>98</v>
      </c>
      <c r="E8" s="159">
        <v>105.19999694824219</v>
      </c>
      <c r="F8" s="289">
        <v>120.69999694824219</v>
      </c>
    </row>
    <row r="9" spans="1:6" ht="20" customHeight="1" thickBot="1">
      <c r="A9" s="1122" t="s">
        <v>504</v>
      </c>
      <c r="B9" s="289">
        <v>69</v>
      </c>
      <c r="C9" s="159">
        <v>78.5</v>
      </c>
      <c r="D9" s="289">
        <v>81.800003051757812</v>
      </c>
      <c r="E9" s="159">
        <v>89.300003051757812</v>
      </c>
      <c r="F9" s="289">
        <v>97.800003051757812</v>
      </c>
    </row>
    <row r="10" spans="1:6" ht="20" customHeight="1" thickBot="1">
      <c r="A10" s="1122" t="s">
        <v>505</v>
      </c>
      <c r="B10" s="289">
        <v>64.699996948242188</v>
      </c>
      <c r="C10" s="159">
        <v>71.099998474121094</v>
      </c>
      <c r="D10" s="289">
        <v>82.099998474121094</v>
      </c>
      <c r="E10" s="159">
        <v>88.800003051757812</v>
      </c>
      <c r="F10" s="289">
        <v>93.300003051757812</v>
      </c>
    </row>
    <row r="11" spans="1:6" ht="20" customHeight="1" thickBot="1">
      <c r="A11" s="1122" t="s">
        <v>506</v>
      </c>
      <c r="B11" s="289">
        <v>67.300003051757812</v>
      </c>
      <c r="C11" s="159">
        <v>77.900001525878906</v>
      </c>
      <c r="D11" s="289">
        <v>82.699996948242188</v>
      </c>
      <c r="E11" s="159">
        <v>88.699996948242188</v>
      </c>
      <c r="F11" s="289">
        <v>98.800003051757812</v>
      </c>
    </row>
    <row r="12" spans="1:6" ht="20" customHeight="1" thickBot="1">
      <c r="A12" s="1122" t="s">
        <v>507</v>
      </c>
      <c r="B12" s="289">
        <v>71.300003051757812</v>
      </c>
      <c r="C12" s="159">
        <v>79</v>
      </c>
      <c r="D12" s="289">
        <v>79.300003051757812</v>
      </c>
      <c r="E12" s="159">
        <v>79.300003051757812</v>
      </c>
      <c r="F12" s="289">
        <v>89.900001525878906</v>
      </c>
    </row>
    <row r="13" spans="1:6" ht="20" customHeight="1" thickBot="1">
      <c r="A13" s="1122" t="s">
        <v>508</v>
      </c>
      <c r="B13" s="289">
        <v>64.5</v>
      </c>
      <c r="C13" s="159">
        <v>73.5</v>
      </c>
      <c r="D13" s="289">
        <v>75.400001525878906</v>
      </c>
      <c r="E13" s="159">
        <v>75.400001525878906</v>
      </c>
      <c r="F13" s="289">
        <v>96.099998474121094</v>
      </c>
    </row>
    <row r="14" spans="1:6" ht="20" customHeight="1" thickBot="1">
      <c r="A14" s="1122" t="s">
        <v>509</v>
      </c>
      <c r="B14" s="289">
        <v>59.400001525878906</v>
      </c>
      <c r="C14" s="159">
        <v>75.5</v>
      </c>
      <c r="D14" s="289">
        <v>77</v>
      </c>
      <c r="E14" s="159">
        <v>92</v>
      </c>
      <c r="F14" s="289">
        <v>99.300003051757812</v>
      </c>
    </row>
    <row r="15" spans="1:6" ht="20" customHeight="1" thickBot="1">
      <c r="A15" s="1122" t="s">
        <v>510</v>
      </c>
      <c r="B15" s="289">
        <v>68.400001525878906</v>
      </c>
      <c r="C15" s="159">
        <v>75.5</v>
      </c>
      <c r="D15" s="289">
        <v>84.699996948242188</v>
      </c>
      <c r="E15" s="159">
        <v>86.400001525878906</v>
      </c>
      <c r="F15" s="289">
        <v>91.800003051757812</v>
      </c>
    </row>
    <row r="16" spans="1:6" ht="20" customHeight="1" thickBot="1">
      <c r="A16" s="1122" t="s">
        <v>511</v>
      </c>
      <c r="B16" s="289">
        <v>81</v>
      </c>
      <c r="C16" s="159">
        <v>83.400001525878906</v>
      </c>
      <c r="D16" s="289">
        <v>85</v>
      </c>
      <c r="E16" s="159">
        <v>93</v>
      </c>
      <c r="F16" s="289">
        <v>102.30000305175781</v>
      </c>
    </row>
    <row r="17" spans="1:6" ht="20" customHeight="1" thickBot="1">
      <c r="A17" s="1122" t="s">
        <v>512</v>
      </c>
      <c r="B17" s="289">
        <v>75.5</v>
      </c>
      <c r="C17" s="159">
        <v>86</v>
      </c>
      <c r="D17" s="289">
        <v>87.099998474121094</v>
      </c>
      <c r="E17" s="159">
        <v>93.5</v>
      </c>
      <c r="F17" s="289">
        <v>110.09999847412109</v>
      </c>
    </row>
    <row r="18" spans="1:6" ht="20" customHeight="1" thickBot="1">
      <c r="A18" s="1122" t="s">
        <v>513</v>
      </c>
      <c r="B18" s="289">
        <v>96.900001525878906</v>
      </c>
      <c r="C18" s="159">
        <v>109</v>
      </c>
      <c r="D18" s="289">
        <v>133.5</v>
      </c>
      <c r="E18" s="159">
        <v>143.80000305175781</v>
      </c>
      <c r="F18" s="289">
        <v>146.80000305175781</v>
      </c>
    </row>
    <row r="19" spans="1:6" ht="20" customHeight="1" thickBot="1">
      <c r="A19" s="1122" t="s">
        <v>514</v>
      </c>
      <c r="B19" s="289">
        <v>88.400001525878906</v>
      </c>
      <c r="C19" s="159">
        <v>94.800003051757812</v>
      </c>
      <c r="D19" s="289">
        <v>102</v>
      </c>
      <c r="E19" s="159">
        <v>115.40000152587891</v>
      </c>
      <c r="F19" s="289">
        <v>128.80000305175781</v>
      </c>
    </row>
    <row r="20" spans="1:6" ht="20" customHeight="1" thickBot="1">
      <c r="A20" s="1122" t="s">
        <v>515</v>
      </c>
      <c r="B20" s="289">
        <v>67.099998474121094</v>
      </c>
      <c r="C20" s="159">
        <v>85</v>
      </c>
      <c r="D20" s="289">
        <v>96.400001525878906</v>
      </c>
      <c r="E20" s="159">
        <v>100.69999694824219</v>
      </c>
      <c r="F20" s="289">
        <v>107</v>
      </c>
    </row>
    <row r="21" spans="1:6" ht="20" customHeight="1" thickBot="1">
      <c r="A21" s="1122" t="s">
        <v>516</v>
      </c>
      <c r="B21" s="289">
        <v>64</v>
      </c>
      <c r="C21" s="159">
        <v>73</v>
      </c>
      <c r="D21" s="289">
        <v>85.5</v>
      </c>
      <c r="E21" s="159">
        <v>91.300003051757812</v>
      </c>
      <c r="F21" s="289">
        <v>92.400001525878906</v>
      </c>
    </row>
    <row r="22" spans="1:6" ht="20" customHeight="1" thickBot="1">
      <c r="A22" s="1122" t="s">
        <v>517</v>
      </c>
      <c r="B22" s="289">
        <v>59.900001525878906</v>
      </c>
      <c r="C22" s="159">
        <v>70.800003051757812</v>
      </c>
      <c r="D22" s="289">
        <v>76.199996948242188</v>
      </c>
      <c r="E22" s="159">
        <v>83.5</v>
      </c>
      <c r="F22" s="289">
        <v>83.5</v>
      </c>
    </row>
    <row r="23" spans="1:6" ht="20" customHeight="1" thickBot="1">
      <c r="A23" s="1122" t="s">
        <v>518</v>
      </c>
      <c r="B23" s="289">
        <v>69.300003051757812</v>
      </c>
      <c r="C23" s="159">
        <v>81.599998474121094</v>
      </c>
      <c r="D23" s="289">
        <v>89</v>
      </c>
      <c r="E23" s="159">
        <v>96.5</v>
      </c>
      <c r="F23" s="289">
        <v>107</v>
      </c>
    </row>
    <row r="24" spans="1:6" ht="20" customHeight="1" thickBot="1">
      <c r="A24" s="1122" t="s">
        <v>519</v>
      </c>
      <c r="B24" s="289">
        <v>71.400001525878906</v>
      </c>
      <c r="C24" s="159">
        <v>81.400001525878906</v>
      </c>
      <c r="D24" s="289">
        <v>82.5</v>
      </c>
      <c r="E24" s="159">
        <v>88.5</v>
      </c>
      <c r="F24" s="289">
        <v>97.5</v>
      </c>
    </row>
    <row r="25" spans="1:6" ht="20" customHeight="1" thickBot="1">
      <c r="A25" s="1122" t="s">
        <v>520</v>
      </c>
      <c r="B25" s="289">
        <v>70.800003051757812</v>
      </c>
      <c r="C25" s="159">
        <v>84.300003051757812</v>
      </c>
      <c r="D25" s="289">
        <v>86</v>
      </c>
      <c r="E25" s="159">
        <v>96.599998474121094</v>
      </c>
      <c r="F25" s="289">
        <v>108</v>
      </c>
    </row>
    <row r="26" spans="1:6" ht="20" customHeight="1" thickBot="1">
      <c r="A26" s="1122" t="s">
        <v>521</v>
      </c>
      <c r="B26" s="289">
        <v>74.300003051757812</v>
      </c>
      <c r="C26" s="159">
        <v>84</v>
      </c>
      <c r="D26" s="289">
        <v>87.599998474121094</v>
      </c>
      <c r="E26" s="159">
        <v>98.800003051757812</v>
      </c>
      <c r="F26" s="289">
        <v>100.40000152587891</v>
      </c>
    </row>
    <row r="27" spans="1:6" ht="20" customHeight="1" thickBot="1">
      <c r="A27" s="1122" t="s">
        <v>522</v>
      </c>
      <c r="B27" s="289">
        <v>72.199996948242188</v>
      </c>
      <c r="C27" s="159">
        <v>92</v>
      </c>
      <c r="D27" s="289">
        <v>100</v>
      </c>
      <c r="E27" s="159">
        <v>110.59999847412109</v>
      </c>
      <c r="F27" s="289">
        <v>124.5</v>
      </c>
    </row>
    <row r="28" spans="1:6" ht="20" customHeight="1" thickBot="1">
      <c r="A28" s="1122" t="s">
        <v>523</v>
      </c>
      <c r="B28" s="289">
        <v>81.099998474121094</v>
      </c>
      <c r="C28" s="159">
        <v>98.400001525878906</v>
      </c>
      <c r="D28" s="289">
        <v>106.90000152587891</v>
      </c>
      <c r="E28" s="159">
        <v>111</v>
      </c>
      <c r="F28" s="289">
        <v>125.30000305175781</v>
      </c>
    </row>
    <row r="29" spans="1:6" ht="20" customHeight="1" thickBot="1">
      <c r="A29" s="1122" t="s">
        <v>524</v>
      </c>
      <c r="B29" s="289">
        <v>66</v>
      </c>
      <c r="C29" s="159">
        <v>76</v>
      </c>
      <c r="D29" s="289">
        <v>82</v>
      </c>
      <c r="E29" s="159">
        <v>82</v>
      </c>
      <c r="F29" s="289">
        <v>92.199996948242188</v>
      </c>
    </row>
    <row r="30" spans="1:6" ht="20" customHeight="1" thickBot="1">
      <c r="A30" s="1122" t="s">
        <v>525</v>
      </c>
      <c r="B30" s="289">
        <v>67.800003051757812</v>
      </c>
      <c r="C30" s="159">
        <v>67.800003051757812</v>
      </c>
      <c r="D30" s="289">
        <v>99</v>
      </c>
      <c r="E30" s="159">
        <v>103.40000152587891</v>
      </c>
      <c r="F30" s="289">
        <v>128.80000305175781</v>
      </c>
    </row>
    <row r="31" spans="1:6" ht="20" customHeight="1" thickBot="1">
      <c r="A31" s="1122" t="s">
        <v>526</v>
      </c>
      <c r="B31" s="289">
        <v>71.599998474121094</v>
      </c>
      <c r="C31" s="159">
        <v>116.59999847412109</v>
      </c>
      <c r="D31" s="289">
        <v>117</v>
      </c>
      <c r="E31" s="159">
        <v>117</v>
      </c>
      <c r="F31" s="289">
        <v>133.60000610351562</v>
      </c>
    </row>
    <row r="32" spans="1:6" ht="20" customHeight="1" thickBot="1">
      <c r="A32" s="1122" t="s">
        <v>527</v>
      </c>
      <c r="B32" s="289">
        <v>69.099998474121094</v>
      </c>
      <c r="C32" s="159">
        <v>69.099998474121094</v>
      </c>
      <c r="D32" s="289">
        <v>93</v>
      </c>
      <c r="E32" s="159">
        <v>99.400001525878906</v>
      </c>
      <c r="F32" s="289">
        <v>115</v>
      </c>
    </row>
    <row r="33" spans="1:6" ht="30" customHeight="1" thickBot="1">
      <c r="A33" s="354" t="s">
        <v>530</v>
      </c>
      <c r="B33" s="290">
        <v>71.599998474121094</v>
      </c>
      <c r="C33" s="291">
        <v>84</v>
      </c>
      <c r="D33" s="290">
        <v>93.099998474121094</v>
      </c>
      <c r="E33" s="291">
        <v>105.19999694824219</v>
      </c>
      <c r="F33" s="290">
        <v>122</v>
      </c>
    </row>
    <row r="34" spans="1:6" ht="20" customHeight="1">
      <c r="A34" s="189" t="s">
        <v>1813</v>
      </c>
      <c r="B34" s="1261"/>
      <c r="C34" s="1261"/>
      <c r="D34" s="1261"/>
      <c r="E34" s="1261"/>
      <c r="F34" s="1261"/>
    </row>
    <row r="35" spans="1:6" ht="15.75" customHeight="1">
      <c r="A35" s="219"/>
      <c r="B35" s="621"/>
      <c r="C35" s="621"/>
      <c r="D35" s="621"/>
      <c r="E35" s="621"/>
      <c r="F35" s="621"/>
    </row>
    <row r="36" spans="1:6" ht="20.25" customHeight="1">
      <c r="A36" s="219" t="s">
        <v>1814</v>
      </c>
      <c r="B36" s="621"/>
      <c r="C36" s="621"/>
      <c r="D36" s="621"/>
      <c r="E36" s="621"/>
      <c r="F36" s="621"/>
    </row>
    <row r="37" spans="1:6" ht="13.5" customHeight="1">
      <c r="A37" s="219"/>
      <c r="B37" s="621"/>
      <c r="C37" s="621"/>
      <c r="D37" s="621"/>
      <c r="E37" s="621"/>
      <c r="F37" s="621"/>
    </row>
    <row r="38" spans="1:6" ht="12.75" customHeight="1">
      <c r="A38" s="219" t="s">
        <v>1811</v>
      </c>
      <c r="B38" s="621"/>
      <c r="C38" s="621"/>
      <c r="D38" s="621"/>
      <c r="E38" s="621"/>
      <c r="F38" s="621"/>
    </row>
    <row r="39" spans="1:6">
      <c r="A39" s="3" t="s">
        <v>2212</v>
      </c>
      <c r="B39" s="63"/>
      <c r="C39" s="63"/>
      <c r="D39" s="63"/>
      <c r="E39" s="63"/>
      <c r="F39" s="63"/>
    </row>
    <row r="40" spans="1:6">
      <c r="A40" s="3" t="s">
        <v>1815</v>
      </c>
      <c r="B40" s="63"/>
      <c r="C40" s="63"/>
      <c r="D40" s="63"/>
      <c r="E40" s="63"/>
      <c r="F40" s="63"/>
    </row>
    <row r="41" spans="1:6">
      <c r="A41" s="3" t="s">
        <v>1816</v>
      </c>
      <c r="B41" s="63"/>
      <c r="C41" s="63"/>
      <c r="D41" s="63"/>
      <c r="E41" s="63"/>
      <c r="F41" s="63"/>
    </row>
    <row r="42" spans="1:6">
      <c r="A42" s="3" t="s">
        <v>1817</v>
      </c>
      <c r="B42" s="63"/>
      <c r="C42" s="63"/>
      <c r="D42" s="63"/>
      <c r="E42" s="63"/>
      <c r="F42" s="63"/>
    </row>
    <row r="43" spans="1:6">
      <c r="A43" s="3" t="s">
        <v>1818</v>
      </c>
      <c r="B43" s="63"/>
      <c r="C43" s="63"/>
      <c r="D43" s="63"/>
      <c r="E43" s="63"/>
      <c r="F43" s="63"/>
    </row>
    <row r="44" spans="1:6">
      <c r="B44" s="63"/>
      <c r="C44" s="63"/>
      <c r="D44" s="63"/>
      <c r="E44" s="63"/>
      <c r="F44" s="63"/>
    </row>
    <row r="45" spans="1:6">
      <c r="B45" s="63"/>
      <c r="C45" s="63"/>
      <c r="D45" s="63"/>
      <c r="E45" s="63"/>
      <c r="F45" s="63"/>
    </row>
    <row r="46" spans="1:6">
      <c r="A46" s="3" t="s">
        <v>302</v>
      </c>
      <c r="B46" s="63"/>
      <c r="C46" s="63"/>
      <c r="D46" s="63"/>
      <c r="E46" s="63"/>
      <c r="F46" s="63"/>
    </row>
  </sheetData>
  <pageMargins left="0.6692913385826772" right="0.59055118110236227" top="0.70866141732283472" bottom="0.47244094488188981" header="0.59055118110236227" footer="0.51181102362204722"/>
  <pageSetup paperSize="9" scale="74"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152</vt:i4>
      </vt:variant>
      <vt:variant>
        <vt:lpstr>Benannte Bereiche</vt:lpstr>
      </vt:variant>
      <vt:variant>
        <vt:i4>157</vt:i4>
      </vt:variant>
    </vt:vector>
  </HeadingPairs>
  <TitlesOfParts>
    <vt:vector size="309" baseType="lpstr">
      <vt:lpstr>Info</vt:lpstr>
      <vt:lpstr>Ad</vt:lpstr>
      <vt:lpstr>Bd</vt:lpstr>
      <vt:lpstr>B1d</vt:lpstr>
      <vt:lpstr>F1d</vt:lpstr>
      <vt:lpstr>F2d</vt:lpstr>
      <vt:lpstr>F3d</vt:lpstr>
      <vt:lpstr>Jd</vt:lpstr>
      <vt:lpstr>T1d</vt:lpstr>
      <vt:lpstr>101d</vt:lpstr>
      <vt:lpstr>102d</vt:lpstr>
      <vt:lpstr>103d</vt:lpstr>
      <vt:lpstr>104d</vt:lpstr>
      <vt:lpstr>105d</vt:lpstr>
      <vt:lpstr>106d</vt:lpstr>
      <vt:lpstr>107d</vt:lpstr>
      <vt:lpstr>108d</vt:lpstr>
      <vt:lpstr>109d</vt:lpstr>
      <vt:lpstr>110d</vt:lpstr>
      <vt:lpstr>111d</vt:lpstr>
      <vt:lpstr>112d</vt:lpstr>
      <vt:lpstr>113d</vt:lpstr>
      <vt:lpstr>T2d</vt:lpstr>
      <vt:lpstr>201d</vt:lpstr>
      <vt:lpstr>202d</vt:lpstr>
      <vt:lpstr>203d</vt:lpstr>
      <vt:lpstr>204d</vt:lpstr>
      <vt:lpstr>205d</vt:lpstr>
      <vt:lpstr>206d</vt:lpstr>
      <vt:lpstr>207d</vt:lpstr>
      <vt:lpstr>208d</vt:lpstr>
      <vt:lpstr>209d</vt:lpstr>
      <vt:lpstr>210d</vt:lpstr>
      <vt:lpstr>211d</vt:lpstr>
      <vt:lpstr>212d</vt:lpstr>
      <vt:lpstr>213d</vt:lpstr>
      <vt:lpstr>214d</vt:lpstr>
      <vt:lpstr>215d</vt:lpstr>
      <vt:lpstr>216d</vt:lpstr>
      <vt:lpstr>217d</vt:lpstr>
      <vt:lpstr>218d</vt:lpstr>
      <vt:lpstr>219d</vt:lpstr>
      <vt:lpstr>220d</vt:lpstr>
      <vt:lpstr>221d</vt:lpstr>
      <vt:lpstr>222d</vt:lpstr>
      <vt:lpstr>223d</vt:lpstr>
      <vt:lpstr>224d</vt:lpstr>
      <vt:lpstr>225d</vt:lpstr>
      <vt:lpstr>226d</vt:lpstr>
      <vt:lpstr>T3d</vt:lpstr>
      <vt:lpstr>301d</vt:lpstr>
      <vt:lpstr>302d</vt:lpstr>
      <vt:lpstr>303d</vt:lpstr>
      <vt:lpstr>304d</vt:lpstr>
      <vt:lpstr>305d</vt:lpstr>
      <vt:lpstr>306d</vt:lpstr>
      <vt:lpstr>307d</vt:lpstr>
      <vt:lpstr>308d</vt:lpstr>
      <vt:lpstr>T4d</vt:lpstr>
      <vt:lpstr>401d</vt:lpstr>
      <vt:lpstr>402d</vt:lpstr>
      <vt:lpstr>403d</vt:lpstr>
      <vt:lpstr>404d</vt:lpstr>
      <vt:lpstr>405d</vt:lpstr>
      <vt:lpstr>406d</vt:lpstr>
      <vt:lpstr>407d</vt:lpstr>
      <vt:lpstr>408d</vt:lpstr>
      <vt:lpstr>409d</vt:lpstr>
      <vt:lpstr>410d</vt:lpstr>
      <vt:lpstr>411d</vt:lpstr>
      <vt:lpstr>T5d</vt:lpstr>
      <vt:lpstr>501d</vt:lpstr>
      <vt:lpstr>502d</vt:lpstr>
      <vt:lpstr>503d</vt:lpstr>
      <vt:lpstr>504d</vt:lpstr>
      <vt:lpstr>505d</vt:lpstr>
      <vt:lpstr>506d</vt:lpstr>
      <vt:lpstr>507d</vt:lpstr>
      <vt:lpstr>508d</vt:lpstr>
      <vt:lpstr>509d</vt:lpstr>
      <vt:lpstr>510d</vt:lpstr>
      <vt:lpstr>T6d</vt:lpstr>
      <vt:lpstr>601d</vt:lpstr>
      <vt:lpstr>602d</vt:lpstr>
      <vt:lpstr>603d</vt:lpstr>
      <vt:lpstr>604d</vt:lpstr>
      <vt:lpstr>605d</vt:lpstr>
      <vt:lpstr>606d</vt:lpstr>
      <vt:lpstr>T7d</vt:lpstr>
      <vt:lpstr>701d</vt:lpstr>
      <vt:lpstr>702d</vt:lpstr>
      <vt:lpstr>T8d</vt:lpstr>
      <vt:lpstr>801d</vt:lpstr>
      <vt:lpstr>802d</vt:lpstr>
      <vt:lpstr>803d</vt:lpstr>
      <vt:lpstr>804d</vt:lpstr>
      <vt:lpstr>805d</vt:lpstr>
      <vt:lpstr>806d</vt:lpstr>
      <vt:lpstr>807d</vt:lpstr>
      <vt:lpstr>808d</vt:lpstr>
      <vt:lpstr>809d</vt:lpstr>
      <vt:lpstr>810d</vt:lpstr>
      <vt:lpstr>811d</vt:lpstr>
      <vt:lpstr>T9d</vt:lpstr>
      <vt:lpstr>901d</vt:lpstr>
      <vt:lpstr>902d</vt:lpstr>
      <vt:lpstr>903d</vt:lpstr>
      <vt:lpstr>904d</vt:lpstr>
      <vt:lpstr>905d</vt:lpstr>
      <vt:lpstr>906d</vt:lpstr>
      <vt:lpstr>907d</vt:lpstr>
      <vt:lpstr>908d</vt:lpstr>
      <vt:lpstr>909d</vt:lpstr>
      <vt:lpstr>910d</vt:lpstr>
      <vt:lpstr>911d</vt:lpstr>
      <vt:lpstr>912d</vt:lpstr>
      <vt:lpstr>913d</vt:lpstr>
      <vt:lpstr>914d</vt:lpstr>
      <vt:lpstr>915d</vt:lpstr>
      <vt:lpstr>T10d</vt:lpstr>
      <vt:lpstr>1001d</vt:lpstr>
      <vt:lpstr>1002d</vt:lpstr>
      <vt:lpstr>1003d</vt:lpstr>
      <vt:lpstr>1004d</vt:lpstr>
      <vt:lpstr>1005d</vt:lpstr>
      <vt:lpstr>T11d</vt:lpstr>
      <vt:lpstr>1101d</vt:lpstr>
      <vt:lpstr>1102d</vt:lpstr>
      <vt:lpstr>1103d</vt:lpstr>
      <vt:lpstr>1104d</vt:lpstr>
      <vt:lpstr>1105d</vt:lpstr>
      <vt:lpstr>1106d</vt:lpstr>
      <vt:lpstr>1107d</vt:lpstr>
      <vt:lpstr>1108d</vt:lpstr>
      <vt:lpstr>1109d</vt:lpstr>
      <vt:lpstr>1110d</vt:lpstr>
      <vt:lpstr>1111d</vt:lpstr>
      <vt:lpstr>1112d</vt:lpstr>
      <vt:lpstr>1113d</vt:lpstr>
      <vt:lpstr>1114d</vt:lpstr>
      <vt:lpstr>1115d</vt:lpstr>
      <vt:lpstr>1116d</vt:lpstr>
      <vt:lpstr>1117d</vt:lpstr>
      <vt:lpstr>1118d</vt:lpstr>
      <vt:lpstr>T12d</vt:lpstr>
      <vt:lpstr>1201d</vt:lpstr>
      <vt:lpstr>1202d</vt:lpstr>
      <vt:lpstr>1203d</vt:lpstr>
      <vt:lpstr>1204d</vt:lpstr>
      <vt:lpstr>1205d</vt:lpstr>
      <vt:lpstr>1206d</vt:lpstr>
      <vt:lpstr>1207d</vt:lpstr>
      <vt:lpstr>'1001d'!Druckbereich</vt:lpstr>
      <vt:lpstr>'1002d'!Druckbereich</vt:lpstr>
      <vt:lpstr>'1003d'!Druckbereich</vt:lpstr>
      <vt:lpstr>'1004d'!Druckbereich</vt:lpstr>
      <vt:lpstr>'1005d'!Druckbereich</vt:lpstr>
      <vt:lpstr>'101d'!Druckbereich</vt:lpstr>
      <vt:lpstr>'102d'!Druckbereich</vt:lpstr>
      <vt:lpstr>'103d'!Druckbereich</vt:lpstr>
      <vt:lpstr>'104d'!Druckbereich</vt:lpstr>
      <vt:lpstr>'105d'!Druckbereich</vt:lpstr>
      <vt:lpstr>'106d'!Druckbereich</vt:lpstr>
      <vt:lpstr>'107d'!Druckbereich</vt:lpstr>
      <vt:lpstr>'108d'!Druckbereich</vt:lpstr>
      <vt:lpstr>'109d'!Druckbereich</vt:lpstr>
      <vt:lpstr>'1101d'!Druckbereich</vt:lpstr>
      <vt:lpstr>'1102d'!Druckbereich</vt:lpstr>
      <vt:lpstr>'1103d'!Druckbereich</vt:lpstr>
      <vt:lpstr>'1104d'!Druckbereich</vt:lpstr>
      <vt:lpstr>'1105d'!Druckbereich</vt:lpstr>
      <vt:lpstr>'1106d'!Druckbereich</vt:lpstr>
      <vt:lpstr>'1107d'!Druckbereich</vt:lpstr>
      <vt:lpstr>'1108d'!Druckbereich</vt:lpstr>
      <vt:lpstr>'1109d'!Druckbereich</vt:lpstr>
      <vt:lpstr>'110d'!Druckbereich</vt:lpstr>
      <vt:lpstr>'1110d'!Druckbereich</vt:lpstr>
      <vt:lpstr>'1111d'!Druckbereich</vt:lpstr>
      <vt:lpstr>'1112d'!Druckbereich</vt:lpstr>
      <vt:lpstr>'1113d'!Druckbereich</vt:lpstr>
      <vt:lpstr>'1114d'!Druckbereich</vt:lpstr>
      <vt:lpstr>'1115d'!Druckbereich</vt:lpstr>
      <vt:lpstr>'1116d'!Druckbereich</vt:lpstr>
      <vt:lpstr>'1117d'!Druckbereich</vt:lpstr>
      <vt:lpstr>'1118d'!Druckbereich</vt:lpstr>
      <vt:lpstr>'111d'!Druckbereich</vt:lpstr>
      <vt:lpstr>'112d'!Druckbereich</vt:lpstr>
      <vt:lpstr>'113d'!Druckbereich</vt:lpstr>
      <vt:lpstr>'1201d'!Druckbereich</vt:lpstr>
      <vt:lpstr>'1202d'!Druckbereich</vt:lpstr>
      <vt:lpstr>'1203d'!Druckbereich</vt:lpstr>
      <vt:lpstr>'1204d'!Druckbereich</vt:lpstr>
      <vt:lpstr>'1205d'!Druckbereich</vt:lpstr>
      <vt:lpstr>'1206d'!Druckbereich</vt:lpstr>
      <vt:lpstr>'1207d'!Druckbereich</vt:lpstr>
      <vt:lpstr>'201d'!Druckbereich</vt:lpstr>
      <vt:lpstr>'202d'!Druckbereich</vt:lpstr>
      <vt:lpstr>'203d'!Druckbereich</vt:lpstr>
      <vt:lpstr>'204d'!Druckbereich</vt:lpstr>
      <vt:lpstr>'205d'!Druckbereich</vt:lpstr>
      <vt:lpstr>'206d'!Druckbereich</vt:lpstr>
      <vt:lpstr>'207d'!Druckbereich</vt:lpstr>
      <vt:lpstr>'208d'!Druckbereich</vt:lpstr>
      <vt:lpstr>'209d'!Druckbereich</vt:lpstr>
      <vt:lpstr>'210d'!Druckbereich</vt:lpstr>
      <vt:lpstr>'211d'!Druckbereich</vt:lpstr>
      <vt:lpstr>'212d'!Druckbereich</vt:lpstr>
      <vt:lpstr>'213d'!Druckbereich</vt:lpstr>
      <vt:lpstr>'214d'!Druckbereich</vt:lpstr>
      <vt:lpstr>'215d'!Druckbereich</vt:lpstr>
      <vt:lpstr>'216d'!Druckbereich</vt:lpstr>
      <vt:lpstr>'217d'!Druckbereich</vt:lpstr>
      <vt:lpstr>'218d'!Druckbereich</vt:lpstr>
      <vt:lpstr>'219d'!Druckbereich</vt:lpstr>
      <vt:lpstr>'220d'!Druckbereich</vt:lpstr>
      <vt:lpstr>'221d'!Druckbereich</vt:lpstr>
      <vt:lpstr>'222d'!Druckbereich</vt:lpstr>
      <vt:lpstr>'223d'!Druckbereich</vt:lpstr>
      <vt:lpstr>'224d'!Druckbereich</vt:lpstr>
      <vt:lpstr>'225d'!Druckbereich</vt:lpstr>
      <vt:lpstr>'226d'!Druckbereich</vt:lpstr>
      <vt:lpstr>'301d'!Druckbereich</vt:lpstr>
      <vt:lpstr>'302d'!Druckbereich</vt:lpstr>
      <vt:lpstr>'303d'!Druckbereich</vt:lpstr>
      <vt:lpstr>'304d'!Druckbereich</vt:lpstr>
      <vt:lpstr>'305d'!Druckbereich</vt:lpstr>
      <vt:lpstr>'306d'!Druckbereich</vt:lpstr>
      <vt:lpstr>'307d'!Druckbereich</vt:lpstr>
      <vt:lpstr>'308d'!Druckbereich</vt:lpstr>
      <vt:lpstr>'401d'!Druckbereich</vt:lpstr>
      <vt:lpstr>'402d'!Druckbereich</vt:lpstr>
      <vt:lpstr>'403d'!Druckbereich</vt:lpstr>
      <vt:lpstr>'404d'!Druckbereich</vt:lpstr>
      <vt:lpstr>'405d'!Druckbereich</vt:lpstr>
      <vt:lpstr>'406d'!Druckbereich</vt:lpstr>
      <vt:lpstr>'407d'!Druckbereich</vt:lpstr>
      <vt:lpstr>'408d'!Druckbereich</vt:lpstr>
      <vt:lpstr>'409d'!Druckbereich</vt:lpstr>
      <vt:lpstr>'410d'!Druckbereich</vt:lpstr>
      <vt:lpstr>'411d'!Druckbereich</vt:lpstr>
      <vt:lpstr>'501d'!Druckbereich</vt:lpstr>
      <vt:lpstr>'502d'!Druckbereich</vt:lpstr>
      <vt:lpstr>'503d'!Druckbereich</vt:lpstr>
      <vt:lpstr>'504d'!Druckbereich</vt:lpstr>
      <vt:lpstr>'505d'!Druckbereich</vt:lpstr>
      <vt:lpstr>'506d'!Druckbereich</vt:lpstr>
      <vt:lpstr>'507d'!Druckbereich</vt:lpstr>
      <vt:lpstr>'508d'!Druckbereich</vt:lpstr>
      <vt:lpstr>'509d'!Druckbereich</vt:lpstr>
      <vt:lpstr>'510d'!Druckbereich</vt:lpstr>
      <vt:lpstr>'601d'!Druckbereich</vt:lpstr>
      <vt:lpstr>'602d'!Druckbereich</vt:lpstr>
      <vt:lpstr>'603d'!Druckbereich</vt:lpstr>
      <vt:lpstr>'604d'!Druckbereich</vt:lpstr>
      <vt:lpstr>'605d'!Druckbereich</vt:lpstr>
      <vt:lpstr>'606d'!Druckbereich</vt:lpstr>
      <vt:lpstr>'701d'!Druckbereich</vt:lpstr>
      <vt:lpstr>'702d'!Druckbereich</vt:lpstr>
      <vt:lpstr>'801d'!Druckbereich</vt:lpstr>
      <vt:lpstr>'802d'!Druckbereich</vt:lpstr>
      <vt:lpstr>'803d'!Druckbereich</vt:lpstr>
      <vt:lpstr>'804d'!Druckbereich</vt:lpstr>
      <vt:lpstr>'805d'!Druckbereich</vt:lpstr>
      <vt:lpstr>'806d'!Druckbereich</vt:lpstr>
      <vt:lpstr>'807d'!Druckbereich</vt:lpstr>
      <vt:lpstr>'808d'!Druckbereich</vt:lpstr>
      <vt:lpstr>'809d'!Druckbereich</vt:lpstr>
      <vt:lpstr>'810d'!Druckbereich</vt:lpstr>
      <vt:lpstr>'811d'!Druckbereich</vt:lpstr>
      <vt:lpstr>'901d'!Druckbereich</vt:lpstr>
      <vt:lpstr>'902d'!Druckbereich</vt:lpstr>
      <vt:lpstr>'903d'!Druckbereich</vt:lpstr>
      <vt:lpstr>'904d'!Druckbereich</vt:lpstr>
      <vt:lpstr>'905d'!Druckbereich</vt:lpstr>
      <vt:lpstr>'906d'!Druckbereich</vt:lpstr>
      <vt:lpstr>'907d'!Druckbereich</vt:lpstr>
      <vt:lpstr>'908d'!Druckbereich</vt:lpstr>
      <vt:lpstr>'909d'!Druckbereich</vt:lpstr>
      <vt:lpstr>'910d'!Druckbereich</vt:lpstr>
      <vt:lpstr>'911d'!Druckbereich</vt:lpstr>
      <vt:lpstr>'912d'!Druckbereich</vt:lpstr>
      <vt:lpstr>'913d'!Druckbereich</vt:lpstr>
      <vt:lpstr>'914d'!Druckbereich</vt:lpstr>
      <vt:lpstr>'915d'!Druckbereich</vt:lpstr>
      <vt:lpstr>B1d!Druckbereich</vt:lpstr>
      <vt:lpstr>F1d!Druckbereich</vt:lpstr>
      <vt:lpstr>F2d!Druckbereich</vt:lpstr>
      <vt:lpstr>F3d!Druckbereich</vt:lpstr>
      <vt:lpstr>Info!Druckbereich</vt:lpstr>
      <vt:lpstr>Jd!Druckbereich</vt:lpstr>
      <vt:lpstr>T10d!Druckbereich</vt:lpstr>
      <vt:lpstr>T11d!Druckbereich</vt:lpstr>
      <vt:lpstr>T12d!Druckbereich</vt:lpstr>
      <vt:lpstr>T1d!Druckbereich</vt:lpstr>
      <vt:lpstr>T2d!Druckbereich</vt:lpstr>
      <vt:lpstr>T3d!Druckbereich</vt:lpstr>
      <vt:lpstr>T4d!Druckbereich</vt:lpstr>
      <vt:lpstr>T5d!Druckbereich</vt:lpstr>
      <vt:lpstr>T8d!Druckbereich</vt:lpstr>
      <vt:lpstr>'501d'!Drucktitel</vt:lpstr>
      <vt:lpstr>'503d'!Drucktitel</vt:lpstr>
      <vt:lpstr>'504d'!Drucktitel</vt:lpstr>
      <vt:lpstr>'505d'!Drucktitel</vt:lpstr>
      <vt:lpstr>'506d'!Drucktitel</vt:lpstr>
      <vt:lpstr>'507d'!Drucktitel</vt:lpstr>
      <vt:lpstr>'508d'!Drucktitel</vt:lpstr>
      <vt:lpstr>'509d'!Drucktitel</vt:lpstr>
      <vt:lpstr>'510d'!Drucktitel</vt:lpstr>
      <vt:lpstr>B1d!Drucktitel</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U80714669</dc:creator>
  <cp:lastModifiedBy>Smaili Kenan (smailken)</cp:lastModifiedBy>
  <cp:lastPrinted>2015-04-28T08:02:06Z</cp:lastPrinted>
  <dcterms:created xsi:type="dcterms:W3CDTF">2014-09-05T12:52:44Z</dcterms:created>
  <dcterms:modified xsi:type="dcterms:W3CDTF">2026-04-30T19:59:11Z</dcterms:modified>
</cp:coreProperties>
</file>